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5 Campy plasmids/Writing_Chapter05/Appendix/"/>
    </mc:Choice>
  </mc:AlternateContent>
  <xr:revisionPtr revIDLastSave="145" documentId="8_{E824669F-27E9-47E3-AA2A-D6721E1BE2C3}" xr6:coauthVersionLast="47" xr6:coauthVersionMax="47" xr10:uidLastSave="{4E3BBBAF-2684-40BB-BA81-B6967FEBEDF1}"/>
  <bookViews>
    <workbookView xWindow="-24120" yWindow="-840" windowWidth="24240" windowHeight="17520" activeTab="1" xr2:uid="{0675AA6B-094D-4566-B624-21E0DE7F838D}"/>
  </bookViews>
  <sheets>
    <sheet name="Nanoplot_results" sheetId="1" r:id="rId1"/>
    <sheet name="Quast_results" sheetId="5" r:id="rId2"/>
  </sheets>
  <definedNames>
    <definedName name="_xlnm._FilterDatabase" localSheetId="0" hidden="1">Nanoplot_results!$A$1:$A$66</definedName>
    <definedName name="_xlnm._FilterDatabase" localSheetId="1" hidden="1">Quast_results!$A$1:$A$65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G66" i="1"/>
  <c r="B66" i="1"/>
  <c r="C66" i="1"/>
  <c r="O3" i="1"/>
  <c r="O66" i="1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</calcChain>
</file>

<file path=xl/sharedStrings.xml><?xml version="1.0" encoding="utf-8"?>
<sst xmlns="http://schemas.openxmlformats.org/spreadsheetml/2006/main" count="232" uniqueCount="104">
  <si>
    <t>ID</t>
  </si>
  <si>
    <t>mean_length</t>
  </si>
  <si>
    <t>mean_qual</t>
  </si>
  <si>
    <t>median_length</t>
  </si>
  <si>
    <t>median_qual</t>
  </si>
  <si>
    <t>n_reads</t>
  </si>
  <si>
    <t>N50</t>
  </si>
  <si>
    <t>stdev_length</t>
  </si>
  <si>
    <t>total_bases</t>
  </si>
  <si>
    <t>% Q10</t>
  </si>
  <si>
    <t>% Q15</t>
  </si>
  <si>
    <t>% Q20</t>
  </si>
  <si>
    <t>% Q25</t>
  </si>
  <si>
    <t>% Q30</t>
  </si>
  <si>
    <t>Sequence Depth</t>
  </si>
  <si>
    <t>SC0001</t>
  </si>
  <si>
    <t>SC0014</t>
  </si>
  <si>
    <t>SC0017</t>
  </si>
  <si>
    <t>SC0028</t>
  </si>
  <si>
    <t>SC0031</t>
  </si>
  <si>
    <t>SC0037</t>
  </si>
  <si>
    <t>SC0058</t>
  </si>
  <si>
    <t>SC0082</t>
  </si>
  <si>
    <t>SC0083</t>
  </si>
  <si>
    <t>SC0084</t>
  </si>
  <si>
    <t>SC0088</t>
  </si>
  <si>
    <t>SC0089</t>
  </si>
  <si>
    <t>SC0109</t>
  </si>
  <si>
    <t>SC0119</t>
  </si>
  <si>
    <t>SC0134</t>
  </si>
  <si>
    <t>SC0154</t>
  </si>
  <si>
    <t>SC0158</t>
  </si>
  <si>
    <t>SC0199</t>
  </si>
  <si>
    <t>SC0203</t>
  </si>
  <si>
    <t>SC0212</t>
  </si>
  <si>
    <t>SC0222</t>
  </si>
  <si>
    <t>SC0227</t>
  </si>
  <si>
    <t>SC0250</t>
  </si>
  <si>
    <t>SC0354</t>
  </si>
  <si>
    <t>SC0388</t>
  </si>
  <si>
    <t>SC0391</t>
  </si>
  <si>
    <t>SC0417</t>
  </si>
  <si>
    <t>SC0436</t>
  </si>
  <si>
    <t>SC0567</t>
  </si>
  <si>
    <t>SC0580</t>
  </si>
  <si>
    <t>SC0583</t>
  </si>
  <si>
    <t>SC0592</t>
  </si>
  <si>
    <t>SC0600</t>
  </si>
  <si>
    <t>SC0650</t>
  </si>
  <si>
    <t>SC0682</t>
  </si>
  <si>
    <t>SC0733</t>
  </si>
  <si>
    <t>SC0841</t>
  </si>
  <si>
    <t>SC0853</t>
  </si>
  <si>
    <t>SC0909</t>
  </si>
  <si>
    <t>SC0941</t>
  </si>
  <si>
    <t>SC0947</t>
  </si>
  <si>
    <t>SC0963</t>
  </si>
  <si>
    <t>SC0987</t>
  </si>
  <si>
    <t>SC1065</t>
  </si>
  <si>
    <t>SC1210</t>
  </si>
  <si>
    <t>SC1235</t>
  </si>
  <si>
    <t>SC1268</t>
  </si>
  <si>
    <t>SC1272</t>
  </si>
  <si>
    <t>SC1320</t>
  </si>
  <si>
    <t>SC1380</t>
  </si>
  <si>
    <t>SC1426</t>
  </si>
  <si>
    <t>SC1437</t>
  </si>
  <si>
    <t>SC1449</t>
  </si>
  <si>
    <t>SC1521</t>
  </si>
  <si>
    <t>SC1586</t>
  </si>
  <si>
    <t>SC1597</t>
  </si>
  <si>
    <t>SC1620</t>
  </si>
  <si>
    <t>SC1622</t>
  </si>
  <si>
    <t>SC1667</t>
  </si>
  <si>
    <t>SC1689</t>
  </si>
  <si>
    <t>SC1704</t>
  </si>
  <si>
    <t>SC1706</t>
  </si>
  <si>
    <t>SC1707</t>
  </si>
  <si>
    <t>SC1718</t>
  </si>
  <si>
    <t>Total Average</t>
  </si>
  <si>
    <t>Assembly method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</si>
  <si>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</si>
  <si>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</si>
  <si>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</si>
  <si>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</si>
  <si>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</si>
  <si>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</si>
  <si>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</si>
  <si>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</si>
  <si>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</si>
  <si>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</si>
  <si>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</si>
  <si>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</si>
  <si>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</si>
  <si>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</si>
  <si>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</si>
  <si>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GC (%)</t>
  </si>
  <si>
    <t>N90</t>
  </si>
  <si>
    <t>auN</t>
  </si>
  <si>
    <t>L50</t>
  </si>
  <si>
    <t>L90</t>
  </si>
  <si>
    <t># N's per 100 kbp</t>
  </si>
  <si>
    <t>Unicycler</t>
  </si>
  <si>
    <t>Flye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</si>
</sst>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F119-857F-4618-9FD2-271FFEDB7A34}">
  <dimension ref="A1:O66"/>
  <sheetViews>
    <sheetView zoomScale="130" zoomScaleNormal="130" workbookViewId="0">
      <selection activeCell="D12" sqref="D12:D13"/>
    </sheetView>
  </sheetViews>
  <sheetFormatPr defaultRowHeight="15" x14ac:dyDescent="0.25"/>
  <cols>
    <col min="1" max="1" width="7.85546875" bestFit="1" customWidth="1"/>
    <col min="2" max="2" width="12.28515625" bestFit="1" customWidth="1"/>
    <col min="3" max="3" width="10.85546875" bestFit="1" customWidth="1"/>
    <col min="4" max="4" width="14.140625" bestFit="1" customWidth="1"/>
    <col min="5" max="5" width="12.5703125" bestFit="1" customWidth="1"/>
    <col min="6" max="6" width="10.85546875" bestFit="1" customWidth="1"/>
    <col min="7" max="7" width="9.85546875" bestFit="1" customWidth="1"/>
    <col min="8" max="8" width="11.85546875" bestFit="1" customWidth="1"/>
    <col min="9" max="9" width="16.5703125" bestFit="1" customWidth="1"/>
    <col min="10" max="14" width="6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>
        <v>14682.9</v>
      </c>
      <c r="C2" s="1">
        <v>20.3</v>
      </c>
      <c r="D2" s="1">
        <v>9991</v>
      </c>
      <c r="E2" s="1">
        <v>22.8</v>
      </c>
      <c r="F2" s="1">
        <v>17521</v>
      </c>
      <c r="G2" s="1">
        <v>22008</v>
      </c>
      <c r="H2" s="1">
        <v>12952.2</v>
      </c>
      <c r="I2" s="1">
        <v>257258969</v>
      </c>
      <c r="J2">
        <v>100</v>
      </c>
      <c r="K2">
        <v>96.7</v>
      </c>
      <c r="L2">
        <v>82.6</v>
      </c>
      <c r="M2">
        <v>11.5</v>
      </c>
      <c r="N2">
        <v>0.1</v>
      </c>
      <c r="O2">
        <f>I2/1700000</f>
        <v>151.32880529411764</v>
      </c>
    </row>
    <row r="3" spans="1:15" x14ac:dyDescent="0.25">
      <c r="A3" s="1" t="s">
        <v>16</v>
      </c>
      <c r="B3" s="1">
        <v>13709</v>
      </c>
      <c r="C3" s="1">
        <v>21</v>
      </c>
      <c r="D3" s="1">
        <v>9603</v>
      </c>
      <c r="E3" s="1">
        <v>23.9</v>
      </c>
      <c r="F3" s="1">
        <v>29718</v>
      </c>
      <c r="G3" s="1">
        <v>20094</v>
      </c>
      <c r="H3" s="1">
        <v>11406.1</v>
      </c>
      <c r="I3" s="1">
        <v>407404170</v>
      </c>
      <c r="J3">
        <v>100</v>
      </c>
      <c r="K3">
        <v>96.9</v>
      </c>
      <c r="L3">
        <v>86.1</v>
      </c>
      <c r="M3">
        <v>31.8</v>
      </c>
      <c r="N3">
        <v>0.5</v>
      </c>
      <c r="O3">
        <f t="shared" ref="O3:O65" si="0">I3/1700000</f>
        <v>239.64951176470589</v>
      </c>
    </row>
    <row r="4" spans="1:15" x14ac:dyDescent="0.25">
      <c r="A4" s="1" t="s">
        <v>17</v>
      </c>
      <c r="B4" s="1">
        <v>15607.4</v>
      </c>
      <c r="C4" s="1">
        <v>19.8</v>
      </c>
      <c r="D4" s="1">
        <v>9990</v>
      </c>
      <c r="E4" s="1">
        <v>22.7</v>
      </c>
      <c r="F4" s="1">
        <v>1521</v>
      </c>
      <c r="G4" s="1">
        <v>25094</v>
      </c>
      <c r="H4" s="1">
        <v>15358.8</v>
      </c>
      <c r="I4" s="1">
        <v>23738920</v>
      </c>
      <c r="J4">
        <v>100</v>
      </c>
      <c r="K4">
        <v>95.9</v>
      </c>
      <c r="L4">
        <v>78.099999999999994</v>
      </c>
      <c r="M4">
        <v>13</v>
      </c>
      <c r="N4">
        <v>0.2</v>
      </c>
      <c r="O4">
        <f t="shared" si="0"/>
        <v>13.964070588235295</v>
      </c>
    </row>
    <row r="5" spans="1:15" x14ac:dyDescent="0.25">
      <c r="A5" s="1" t="s">
        <v>18</v>
      </c>
      <c r="B5" s="1">
        <v>8639.2000000000007</v>
      </c>
      <c r="C5" s="1">
        <v>19</v>
      </c>
      <c r="D5" s="1">
        <v>3736</v>
      </c>
      <c r="E5">
        <v>21.7</v>
      </c>
      <c r="F5" s="1">
        <v>984</v>
      </c>
      <c r="G5" s="1">
        <v>18593</v>
      </c>
      <c r="H5" s="1">
        <v>11718.3</v>
      </c>
      <c r="I5" s="1">
        <v>8500931</v>
      </c>
      <c r="J5">
        <v>99.9</v>
      </c>
      <c r="K5">
        <v>91.9</v>
      </c>
      <c r="L5">
        <v>69.599999999999994</v>
      </c>
      <c r="M5">
        <v>14.4</v>
      </c>
      <c r="N5">
        <v>0.1</v>
      </c>
      <c r="O5">
        <f t="shared" si="0"/>
        <v>5.0005476470588235</v>
      </c>
    </row>
    <row r="6" spans="1:15" x14ac:dyDescent="0.25">
      <c r="A6" s="1" t="s">
        <v>19</v>
      </c>
      <c r="B6" s="1">
        <v>11268.6</v>
      </c>
      <c r="C6" s="1">
        <v>20.6</v>
      </c>
      <c r="D6" s="1">
        <v>7869</v>
      </c>
      <c r="E6" s="1">
        <v>23.3</v>
      </c>
      <c r="F6" s="1">
        <v>16278</v>
      </c>
      <c r="G6" s="1">
        <v>16418</v>
      </c>
      <c r="H6" s="1">
        <v>10212.299999999999</v>
      </c>
      <c r="I6" s="1">
        <v>183430929</v>
      </c>
      <c r="J6">
        <v>100</v>
      </c>
      <c r="K6">
        <v>96.8</v>
      </c>
      <c r="L6">
        <v>83.8</v>
      </c>
      <c r="M6">
        <v>21</v>
      </c>
      <c r="N6">
        <v>0.3</v>
      </c>
      <c r="O6">
        <f t="shared" si="0"/>
        <v>107.90054647058824</v>
      </c>
    </row>
    <row r="7" spans="1:15" x14ac:dyDescent="0.25">
      <c r="A7" s="1" t="s">
        <v>20</v>
      </c>
      <c r="B7" s="1">
        <v>9827.7999999999993</v>
      </c>
      <c r="C7" s="1">
        <v>20.9</v>
      </c>
      <c r="D7" s="1">
        <v>6673</v>
      </c>
      <c r="E7" s="1">
        <v>23.7</v>
      </c>
      <c r="F7" s="1">
        <v>60363</v>
      </c>
      <c r="G7" s="1">
        <v>14008</v>
      </c>
      <c r="H7" s="1">
        <v>9082</v>
      </c>
      <c r="I7" s="1">
        <v>593236038</v>
      </c>
      <c r="J7">
        <v>100</v>
      </c>
      <c r="K7">
        <v>97</v>
      </c>
      <c r="L7">
        <v>84.6</v>
      </c>
      <c r="M7">
        <v>29.7</v>
      </c>
      <c r="N7">
        <v>0.6</v>
      </c>
      <c r="O7">
        <f t="shared" si="0"/>
        <v>348.96237529411763</v>
      </c>
    </row>
    <row r="8" spans="1:15" x14ac:dyDescent="0.25">
      <c r="A8" s="1" t="s">
        <v>21</v>
      </c>
      <c r="B8" s="1">
        <v>14637</v>
      </c>
      <c r="C8" s="1">
        <v>20.8</v>
      </c>
      <c r="D8" s="1">
        <v>10706</v>
      </c>
      <c r="E8" s="1">
        <v>23.7</v>
      </c>
      <c r="F8" s="1">
        <v>10901</v>
      </c>
      <c r="G8" s="1">
        <v>20942</v>
      </c>
      <c r="H8" s="1">
        <v>11905.2</v>
      </c>
      <c r="I8" s="1">
        <v>159557723</v>
      </c>
      <c r="J8">
        <v>100</v>
      </c>
      <c r="K8">
        <v>96.9</v>
      </c>
      <c r="L8">
        <v>85.2</v>
      </c>
      <c r="M8">
        <v>27.8</v>
      </c>
      <c r="N8">
        <v>0.3</v>
      </c>
      <c r="O8">
        <f t="shared" si="0"/>
        <v>93.857484117647061</v>
      </c>
    </row>
    <row r="9" spans="1:15" x14ac:dyDescent="0.25">
      <c r="A9" s="1" t="s">
        <v>22</v>
      </c>
      <c r="B9" s="1">
        <v>8121.1</v>
      </c>
      <c r="C9" s="1">
        <v>19</v>
      </c>
      <c r="D9" s="1">
        <v>3675</v>
      </c>
      <c r="E9" s="1">
        <v>21.9</v>
      </c>
      <c r="F9" s="1">
        <v>10028</v>
      </c>
      <c r="G9" s="1">
        <v>17372</v>
      </c>
      <c r="H9" s="1">
        <v>10551.5</v>
      </c>
      <c r="I9" s="1">
        <v>81438187</v>
      </c>
      <c r="J9">
        <v>100</v>
      </c>
      <c r="K9">
        <v>93.4</v>
      </c>
      <c r="L9">
        <v>69</v>
      </c>
      <c r="M9">
        <v>14.8</v>
      </c>
      <c r="N9">
        <v>0.4</v>
      </c>
      <c r="O9">
        <f t="shared" si="0"/>
        <v>47.904815882352942</v>
      </c>
    </row>
    <row r="10" spans="1:15" x14ac:dyDescent="0.25">
      <c r="A10" s="1" t="s">
        <v>23</v>
      </c>
      <c r="B10" s="1">
        <v>3896.3</v>
      </c>
      <c r="C10" s="1">
        <v>15.4</v>
      </c>
      <c r="D10" s="1">
        <v>1968</v>
      </c>
      <c r="E10" s="1">
        <v>16.600000000000001</v>
      </c>
      <c r="F10" s="1">
        <v>72387</v>
      </c>
      <c r="G10" s="1">
        <v>6107</v>
      </c>
      <c r="H10" s="1">
        <v>5730.6</v>
      </c>
      <c r="I10" s="1">
        <v>282044084</v>
      </c>
      <c r="J10">
        <v>99.9</v>
      </c>
      <c r="K10">
        <v>75.400000000000006</v>
      </c>
      <c r="L10">
        <v>4.9000000000000004</v>
      </c>
      <c r="M10">
        <v>0</v>
      </c>
      <c r="N10">
        <v>0</v>
      </c>
      <c r="O10">
        <f t="shared" si="0"/>
        <v>165.90828470588235</v>
      </c>
    </row>
    <row r="11" spans="1:15" x14ac:dyDescent="0.25">
      <c r="A11" s="1" t="s">
        <v>24</v>
      </c>
      <c r="B11" s="1">
        <v>16996.8</v>
      </c>
      <c r="C11" s="1">
        <v>20.5</v>
      </c>
      <c r="D11" s="1">
        <v>12197</v>
      </c>
      <c r="E11" s="1">
        <v>23.1</v>
      </c>
      <c r="F11" s="1">
        <v>9923</v>
      </c>
      <c r="G11" s="1">
        <v>25257</v>
      </c>
      <c r="H11" s="1">
        <v>13795.9</v>
      </c>
      <c r="I11" s="1">
        <v>168659027</v>
      </c>
      <c r="J11">
        <v>100</v>
      </c>
      <c r="K11">
        <v>96.8</v>
      </c>
      <c r="L11">
        <v>84</v>
      </c>
      <c r="M11">
        <v>15.7</v>
      </c>
      <c r="N11">
        <v>0.1</v>
      </c>
      <c r="O11">
        <f t="shared" si="0"/>
        <v>99.211192352941183</v>
      </c>
    </row>
    <row r="12" spans="1:15" x14ac:dyDescent="0.25">
      <c r="A12" s="1" t="s">
        <v>25</v>
      </c>
      <c r="B12" s="1">
        <v>16086.9</v>
      </c>
      <c r="C12" s="1">
        <v>21</v>
      </c>
      <c r="D12" s="1">
        <v>11912</v>
      </c>
      <c r="E12" s="1">
        <v>23.7</v>
      </c>
      <c r="F12" s="1">
        <v>30637</v>
      </c>
      <c r="G12" s="1">
        <v>23283</v>
      </c>
      <c r="H12" s="1">
        <v>12612.9</v>
      </c>
      <c r="I12" s="1">
        <v>492853790</v>
      </c>
      <c r="J12">
        <v>100</v>
      </c>
      <c r="K12">
        <v>97.3</v>
      </c>
      <c r="L12">
        <v>86.2</v>
      </c>
      <c r="M12">
        <v>26</v>
      </c>
      <c r="N12">
        <v>0.2</v>
      </c>
      <c r="O12">
        <f t="shared" si="0"/>
        <v>289.91399411764706</v>
      </c>
    </row>
    <row r="13" spans="1:15" x14ac:dyDescent="0.25">
      <c r="A13" s="1" t="s">
        <v>26</v>
      </c>
      <c r="B13" s="1">
        <v>9403.1</v>
      </c>
      <c r="C13" s="1">
        <v>20.5</v>
      </c>
      <c r="D13" s="1">
        <v>5923</v>
      </c>
      <c r="E13" s="1">
        <v>23.3</v>
      </c>
      <c r="F13" s="1">
        <v>1680</v>
      </c>
      <c r="G13" s="1">
        <v>14469</v>
      </c>
      <c r="H13" s="1">
        <v>9807.5</v>
      </c>
      <c r="I13" s="1">
        <v>15797189</v>
      </c>
      <c r="J13">
        <v>100</v>
      </c>
      <c r="K13">
        <v>96.1</v>
      </c>
      <c r="L13">
        <v>83.2</v>
      </c>
      <c r="M13">
        <v>25.3</v>
      </c>
      <c r="N13">
        <v>0.6</v>
      </c>
      <c r="O13">
        <f t="shared" si="0"/>
        <v>9.292464117647059</v>
      </c>
    </row>
    <row r="14" spans="1:15" x14ac:dyDescent="0.25">
      <c r="A14" s="1" t="s">
        <v>27</v>
      </c>
      <c r="B14" s="1">
        <v>10649</v>
      </c>
      <c r="C14" s="1">
        <v>20.7</v>
      </c>
      <c r="D14" s="1">
        <v>7420</v>
      </c>
      <c r="E14" s="1">
        <v>23.4</v>
      </c>
      <c r="F14" s="1">
        <v>23415</v>
      </c>
      <c r="G14" s="1">
        <v>15228</v>
      </c>
      <c r="H14" s="1">
        <v>9362.6</v>
      </c>
      <c r="I14" s="1">
        <v>249345581</v>
      </c>
      <c r="J14">
        <v>100</v>
      </c>
      <c r="K14">
        <v>96.9</v>
      </c>
      <c r="L14">
        <v>84.6</v>
      </c>
      <c r="M14">
        <v>23.7</v>
      </c>
      <c r="N14">
        <v>0.4</v>
      </c>
      <c r="O14">
        <f t="shared" si="0"/>
        <v>146.67387117647058</v>
      </c>
    </row>
    <row r="15" spans="1:15" x14ac:dyDescent="0.25">
      <c r="A15" s="1" t="s">
        <v>28</v>
      </c>
      <c r="B15" s="1">
        <v>1865.1</v>
      </c>
      <c r="C15" s="1">
        <v>17.600000000000001</v>
      </c>
      <c r="D15" s="1">
        <v>1504</v>
      </c>
      <c r="E15" s="1">
        <v>21.3</v>
      </c>
      <c r="F15" s="1">
        <v>56213</v>
      </c>
      <c r="G15" s="1">
        <v>1883</v>
      </c>
      <c r="H15" s="1">
        <v>1837.1</v>
      </c>
      <c r="I15" s="1">
        <v>104844448</v>
      </c>
      <c r="J15">
        <v>98.3</v>
      </c>
      <c r="K15">
        <v>88.4</v>
      </c>
      <c r="L15">
        <v>59.1</v>
      </c>
      <c r="M15">
        <v>22.7</v>
      </c>
      <c r="N15">
        <v>4.0999999999999996</v>
      </c>
      <c r="O15">
        <f t="shared" si="0"/>
        <v>61.673204705882355</v>
      </c>
    </row>
    <row r="16" spans="1:15" x14ac:dyDescent="0.25">
      <c r="A16" s="1" t="s">
        <v>29</v>
      </c>
      <c r="B16" s="1">
        <v>6123.3</v>
      </c>
      <c r="C16" s="1">
        <v>19</v>
      </c>
      <c r="D16" s="1">
        <v>2563</v>
      </c>
      <c r="E16">
        <v>21.4</v>
      </c>
      <c r="F16" s="1">
        <v>431</v>
      </c>
      <c r="G16" s="1">
        <v>15344</v>
      </c>
      <c r="H16" s="1">
        <v>8321.1</v>
      </c>
      <c r="I16" s="1">
        <v>2639150</v>
      </c>
      <c r="J16">
        <v>100</v>
      </c>
      <c r="K16">
        <v>93.7</v>
      </c>
      <c r="L16">
        <v>64</v>
      </c>
      <c r="M16">
        <v>13</v>
      </c>
      <c r="N16">
        <v>0</v>
      </c>
      <c r="O16">
        <f t="shared" si="0"/>
        <v>1.5524411764705883</v>
      </c>
    </row>
    <row r="17" spans="1:15" x14ac:dyDescent="0.25">
      <c r="A17" s="1" t="s">
        <v>30</v>
      </c>
      <c r="B17" s="1">
        <v>6743.2</v>
      </c>
      <c r="C17" s="1">
        <v>18.7</v>
      </c>
      <c r="D17" s="1">
        <v>3122.5</v>
      </c>
      <c r="E17">
        <v>21.2</v>
      </c>
      <c r="F17" s="1">
        <v>878</v>
      </c>
      <c r="G17" s="1">
        <v>13867</v>
      </c>
      <c r="H17" s="1">
        <v>8759.4</v>
      </c>
      <c r="I17" s="1">
        <v>5920565</v>
      </c>
      <c r="J17">
        <v>100</v>
      </c>
      <c r="K17">
        <v>92.7</v>
      </c>
      <c r="L17">
        <v>64.400000000000006</v>
      </c>
      <c r="M17">
        <v>11.5</v>
      </c>
      <c r="N17">
        <v>0.3</v>
      </c>
      <c r="O17">
        <f t="shared" si="0"/>
        <v>3.4826852941176472</v>
      </c>
    </row>
    <row r="18" spans="1:15" x14ac:dyDescent="0.25">
      <c r="A18" s="1" t="s">
        <v>31</v>
      </c>
      <c r="B18" s="1">
        <v>9042</v>
      </c>
      <c r="C18" s="1">
        <v>19.5</v>
      </c>
      <c r="D18" s="1">
        <v>4227</v>
      </c>
      <c r="E18" s="1">
        <v>22.3</v>
      </c>
      <c r="F18" s="1">
        <v>1331</v>
      </c>
      <c r="G18" s="1">
        <v>19619</v>
      </c>
      <c r="H18" s="1">
        <v>11397.3</v>
      </c>
      <c r="I18" s="1">
        <v>12034839</v>
      </c>
      <c r="J18">
        <v>100</v>
      </c>
      <c r="K18">
        <v>94.2</v>
      </c>
      <c r="L18">
        <v>74.3</v>
      </c>
      <c r="M18">
        <v>18.600000000000001</v>
      </c>
      <c r="N18">
        <v>0.7</v>
      </c>
      <c r="O18">
        <f t="shared" si="0"/>
        <v>7.0793170588235297</v>
      </c>
    </row>
    <row r="19" spans="1:15" x14ac:dyDescent="0.25">
      <c r="A19" s="1" t="s">
        <v>32</v>
      </c>
      <c r="B19" s="1">
        <v>15354.4</v>
      </c>
      <c r="C19" s="1">
        <v>19.7</v>
      </c>
      <c r="D19" s="1">
        <v>10629</v>
      </c>
      <c r="E19" s="1">
        <v>22.5</v>
      </c>
      <c r="F19" s="1">
        <v>26118</v>
      </c>
      <c r="G19" s="1">
        <v>22454</v>
      </c>
      <c r="H19" s="1">
        <v>13811.6</v>
      </c>
      <c r="I19" s="1">
        <v>401025166</v>
      </c>
      <c r="J19">
        <v>100</v>
      </c>
      <c r="K19">
        <v>95</v>
      </c>
      <c r="L19">
        <v>77.2</v>
      </c>
      <c r="M19">
        <v>10.5</v>
      </c>
      <c r="N19">
        <v>0.1</v>
      </c>
      <c r="O19">
        <f t="shared" si="0"/>
        <v>235.89715647058824</v>
      </c>
    </row>
    <row r="20" spans="1:15" x14ac:dyDescent="0.25">
      <c r="A20" s="1" t="s">
        <v>33</v>
      </c>
      <c r="B20" s="1">
        <v>10946.2</v>
      </c>
      <c r="C20" s="1">
        <v>19.899999999999999</v>
      </c>
      <c r="D20" s="1">
        <v>6676</v>
      </c>
      <c r="E20" s="1">
        <v>22.7</v>
      </c>
      <c r="F20" s="1">
        <v>1111</v>
      </c>
      <c r="G20" s="1">
        <v>17672</v>
      </c>
      <c r="H20" s="1">
        <v>11416.3</v>
      </c>
      <c r="I20" s="1">
        <v>12161272</v>
      </c>
      <c r="J20">
        <v>100</v>
      </c>
      <c r="K20">
        <v>95.6</v>
      </c>
      <c r="L20">
        <v>77.3</v>
      </c>
      <c r="M20">
        <v>17.600000000000001</v>
      </c>
      <c r="N20">
        <v>0.4</v>
      </c>
      <c r="O20">
        <f t="shared" si="0"/>
        <v>7.1536894117647059</v>
      </c>
    </row>
    <row r="21" spans="1:15" x14ac:dyDescent="0.25">
      <c r="A21" s="1" t="s">
        <v>34</v>
      </c>
      <c r="B21" s="1">
        <v>2694.3</v>
      </c>
      <c r="C21" s="1">
        <v>18.2</v>
      </c>
      <c r="D21" s="1">
        <v>1777.5</v>
      </c>
      <c r="E21" s="1">
        <v>22.7</v>
      </c>
      <c r="F21" s="1">
        <v>89422</v>
      </c>
      <c r="G21" s="1">
        <v>3213</v>
      </c>
      <c r="H21" s="1">
        <v>2795.7</v>
      </c>
      <c r="I21" s="1">
        <v>240929369</v>
      </c>
      <c r="J21">
        <v>98.3</v>
      </c>
      <c r="K21">
        <v>90</v>
      </c>
      <c r="L21">
        <v>68.599999999999994</v>
      </c>
      <c r="M21">
        <v>31.5</v>
      </c>
      <c r="N21">
        <v>6.2</v>
      </c>
      <c r="O21">
        <f t="shared" si="0"/>
        <v>141.72315823529411</v>
      </c>
    </row>
    <row r="22" spans="1:15" x14ac:dyDescent="0.25">
      <c r="A22" s="1" t="s">
        <v>35</v>
      </c>
      <c r="B22" s="1">
        <v>2567.1</v>
      </c>
      <c r="C22" s="1">
        <v>17.3</v>
      </c>
      <c r="D22" s="1">
        <v>1843</v>
      </c>
      <c r="E22" s="1">
        <v>22</v>
      </c>
      <c r="F22" s="1">
        <v>143090</v>
      </c>
      <c r="G22" s="1">
        <v>2902</v>
      </c>
      <c r="H22" s="1">
        <v>2756.7</v>
      </c>
      <c r="I22" s="1">
        <v>367325682</v>
      </c>
      <c r="J22">
        <v>97.3</v>
      </c>
      <c r="K22">
        <v>87.1</v>
      </c>
      <c r="L22">
        <v>64.2</v>
      </c>
      <c r="M22">
        <v>26.5</v>
      </c>
      <c r="N22">
        <v>4.5999999999999996</v>
      </c>
      <c r="O22">
        <f t="shared" si="0"/>
        <v>216.0739305882353</v>
      </c>
    </row>
    <row r="23" spans="1:15" x14ac:dyDescent="0.25">
      <c r="A23" s="1" t="s">
        <v>36</v>
      </c>
      <c r="B23" s="1">
        <v>2640.4</v>
      </c>
      <c r="C23" s="1">
        <v>18.100000000000001</v>
      </c>
      <c r="D23" s="1">
        <v>1752</v>
      </c>
      <c r="E23" s="1">
        <v>22.4</v>
      </c>
      <c r="F23" s="1">
        <v>101025</v>
      </c>
      <c r="G23" s="1">
        <v>3124</v>
      </c>
      <c r="H23" s="1">
        <v>2624.1</v>
      </c>
      <c r="I23" s="1">
        <v>266747675</v>
      </c>
      <c r="J23">
        <v>98.4</v>
      </c>
      <c r="K23">
        <v>90.2</v>
      </c>
      <c r="L23">
        <v>67.099999999999994</v>
      </c>
      <c r="M23">
        <v>29.3</v>
      </c>
      <c r="N23">
        <v>5.4</v>
      </c>
      <c r="O23">
        <f t="shared" si="0"/>
        <v>156.91039705882352</v>
      </c>
    </row>
    <row r="24" spans="1:15" x14ac:dyDescent="0.25">
      <c r="A24" s="1" t="s">
        <v>37</v>
      </c>
      <c r="B24" s="1">
        <v>4873.3999999999996</v>
      </c>
      <c r="C24" s="1">
        <v>19.399999999999999</v>
      </c>
      <c r="D24" s="1">
        <v>3122</v>
      </c>
      <c r="E24" s="1">
        <v>21.8</v>
      </c>
      <c r="F24" s="1">
        <v>119603</v>
      </c>
      <c r="G24" s="1">
        <v>7252</v>
      </c>
      <c r="H24" s="1">
        <v>5715.1</v>
      </c>
      <c r="I24" s="1">
        <v>582878284</v>
      </c>
      <c r="J24">
        <v>100</v>
      </c>
      <c r="K24">
        <v>95</v>
      </c>
      <c r="L24">
        <v>70.900000000000006</v>
      </c>
      <c r="M24">
        <v>10.9</v>
      </c>
      <c r="N24">
        <v>0.4</v>
      </c>
      <c r="O24">
        <f t="shared" si="0"/>
        <v>342.86957882352942</v>
      </c>
    </row>
    <row r="25" spans="1:15" x14ac:dyDescent="0.25">
      <c r="A25" s="1" t="s">
        <v>38</v>
      </c>
      <c r="B25" s="1">
        <v>4254.3999999999996</v>
      </c>
      <c r="C25" s="1">
        <v>18.100000000000001</v>
      </c>
      <c r="D25" s="1">
        <v>2616.5</v>
      </c>
      <c r="E25" s="1">
        <v>22.9</v>
      </c>
      <c r="F25" s="1">
        <v>8994</v>
      </c>
      <c r="G25" s="1">
        <v>6485</v>
      </c>
      <c r="H25" s="1">
        <v>4379.2</v>
      </c>
      <c r="I25" s="1">
        <v>38263747</v>
      </c>
      <c r="J25">
        <v>97.9</v>
      </c>
      <c r="K25">
        <v>90</v>
      </c>
      <c r="L25">
        <v>69.5</v>
      </c>
      <c r="M25">
        <v>33.6</v>
      </c>
      <c r="N25">
        <v>5.9</v>
      </c>
      <c r="O25">
        <f t="shared" si="0"/>
        <v>22.508086470588236</v>
      </c>
    </row>
    <row r="26" spans="1:15" x14ac:dyDescent="0.25">
      <c r="A26" s="1" t="s">
        <v>39</v>
      </c>
      <c r="B26" s="1">
        <v>12157.8</v>
      </c>
      <c r="C26" s="1">
        <v>20.399999999999999</v>
      </c>
      <c r="D26" s="1">
        <v>8326</v>
      </c>
      <c r="E26" s="1">
        <v>23.1</v>
      </c>
      <c r="F26" s="1">
        <v>74839</v>
      </c>
      <c r="G26" s="1">
        <v>17783</v>
      </c>
      <c r="H26" s="1">
        <v>10858.5</v>
      </c>
      <c r="I26" s="1">
        <v>909879284</v>
      </c>
      <c r="J26">
        <v>100</v>
      </c>
      <c r="K26">
        <v>96.5</v>
      </c>
      <c r="L26">
        <v>82.7</v>
      </c>
      <c r="M26">
        <v>17.899999999999999</v>
      </c>
      <c r="N26">
        <v>0.2</v>
      </c>
      <c r="O26">
        <f t="shared" si="0"/>
        <v>535.22310823529415</v>
      </c>
    </row>
    <row r="27" spans="1:15" x14ac:dyDescent="0.25">
      <c r="A27" s="1" t="s">
        <v>40</v>
      </c>
      <c r="B27" s="1">
        <v>10114.4</v>
      </c>
      <c r="C27" s="1">
        <v>20.8</v>
      </c>
      <c r="D27" s="1">
        <v>5359</v>
      </c>
      <c r="E27" s="1">
        <v>23.4</v>
      </c>
      <c r="F27" s="1">
        <v>57184</v>
      </c>
      <c r="G27" s="1">
        <v>16395</v>
      </c>
      <c r="H27" s="1">
        <v>10482.799999999999</v>
      </c>
      <c r="I27" s="1">
        <v>578379485</v>
      </c>
      <c r="J27">
        <v>100</v>
      </c>
      <c r="K27">
        <v>97.2</v>
      </c>
      <c r="L27">
        <v>84.3</v>
      </c>
      <c r="M27">
        <v>24</v>
      </c>
      <c r="N27">
        <v>0.3</v>
      </c>
      <c r="O27">
        <f t="shared" si="0"/>
        <v>340.22322647058826</v>
      </c>
    </row>
    <row r="28" spans="1:15" x14ac:dyDescent="0.25">
      <c r="A28" s="1" t="s">
        <v>41</v>
      </c>
      <c r="B28" s="1">
        <v>3481.7</v>
      </c>
      <c r="C28" s="1">
        <v>18</v>
      </c>
      <c r="D28" s="1">
        <v>2121</v>
      </c>
      <c r="E28" s="1">
        <v>22.5</v>
      </c>
      <c r="F28" s="1">
        <v>27438</v>
      </c>
      <c r="G28" s="1">
        <v>5039</v>
      </c>
      <c r="H28" s="1">
        <v>3654.1</v>
      </c>
      <c r="I28" s="1">
        <v>95529948</v>
      </c>
      <c r="J28">
        <v>98</v>
      </c>
      <c r="K28">
        <v>89.6</v>
      </c>
      <c r="L28">
        <v>68.7</v>
      </c>
      <c r="M28">
        <v>29.3</v>
      </c>
      <c r="N28">
        <v>4.5</v>
      </c>
      <c r="O28">
        <f t="shared" si="0"/>
        <v>56.194087058823527</v>
      </c>
    </row>
    <row r="29" spans="1:15" x14ac:dyDescent="0.25">
      <c r="A29" s="1" t="s">
        <v>42</v>
      </c>
      <c r="B29" s="1">
        <v>4921.7</v>
      </c>
      <c r="C29" s="1">
        <v>22.5</v>
      </c>
      <c r="D29" s="1">
        <v>2661</v>
      </c>
      <c r="E29" s="1">
        <v>23.2</v>
      </c>
      <c r="F29" s="1">
        <v>354070</v>
      </c>
      <c r="G29" s="1">
        <v>9911</v>
      </c>
      <c r="H29" s="1">
        <v>6419.5</v>
      </c>
      <c r="I29" s="1">
        <v>1742612826</v>
      </c>
      <c r="J29" s="1">
        <v>98.2</v>
      </c>
      <c r="K29" s="1">
        <v>93.5</v>
      </c>
      <c r="L29" s="1">
        <v>0</v>
      </c>
      <c r="M29" s="1">
        <v>0</v>
      </c>
      <c r="N29" s="1">
        <v>0</v>
      </c>
      <c r="O29">
        <f t="shared" si="0"/>
        <v>1025.066368235294</v>
      </c>
    </row>
    <row r="30" spans="1:15" x14ac:dyDescent="0.25">
      <c r="A30" s="1" t="s">
        <v>43</v>
      </c>
      <c r="B30" s="1">
        <v>2329.1</v>
      </c>
      <c r="C30" s="1">
        <v>12.2</v>
      </c>
      <c r="D30" s="1">
        <v>1</v>
      </c>
      <c r="E30" s="1">
        <v>9</v>
      </c>
      <c r="F30" s="1">
        <v>4027</v>
      </c>
      <c r="G30" s="1">
        <v>21779</v>
      </c>
      <c r="H30" s="1">
        <v>7223</v>
      </c>
      <c r="I30" s="1">
        <v>9379414</v>
      </c>
      <c r="J30" s="1">
        <v>46.2</v>
      </c>
      <c r="K30" s="1">
        <v>35.369999999999997</v>
      </c>
      <c r="L30" s="1">
        <v>0</v>
      </c>
      <c r="M30" s="1">
        <v>0</v>
      </c>
      <c r="N30" s="1">
        <v>0</v>
      </c>
      <c r="O30">
        <f t="shared" si="0"/>
        <v>5.5173023529411767</v>
      </c>
    </row>
    <row r="31" spans="1:15" x14ac:dyDescent="0.25">
      <c r="A31" s="1" t="s">
        <v>44</v>
      </c>
      <c r="B31" s="1">
        <v>3374.7</v>
      </c>
      <c r="C31" s="1">
        <v>17.100000000000001</v>
      </c>
      <c r="D31" s="1">
        <v>2087</v>
      </c>
      <c r="E31" s="1">
        <v>21.6</v>
      </c>
      <c r="F31" s="1">
        <v>16274</v>
      </c>
      <c r="G31" s="1">
        <v>4665</v>
      </c>
      <c r="H31" s="1">
        <v>3945.4</v>
      </c>
      <c r="I31" s="1">
        <v>54919429</v>
      </c>
      <c r="J31">
        <v>97.3</v>
      </c>
      <c r="K31">
        <v>86.8</v>
      </c>
      <c r="L31">
        <v>61.5</v>
      </c>
      <c r="M31">
        <v>24.2</v>
      </c>
      <c r="N31">
        <v>3.4</v>
      </c>
      <c r="O31">
        <f t="shared" si="0"/>
        <v>32.305546470588233</v>
      </c>
    </row>
    <row r="32" spans="1:15" x14ac:dyDescent="0.25">
      <c r="A32" s="1" t="s">
        <v>45</v>
      </c>
      <c r="B32" s="1">
        <v>10729.1</v>
      </c>
      <c r="C32" s="1">
        <v>20</v>
      </c>
      <c r="D32" s="1">
        <v>5475.5</v>
      </c>
      <c r="E32" s="1">
        <v>22.6</v>
      </c>
      <c r="F32" s="1">
        <v>1370</v>
      </c>
      <c r="G32" s="1">
        <v>20794</v>
      </c>
      <c r="H32" s="1">
        <v>11793.8</v>
      </c>
      <c r="I32" s="1">
        <v>14698879</v>
      </c>
      <c r="J32">
        <v>100</v>
      </c>
      <c r="K32">
        <v>96.2</v>
      </c>
      <c r="L32">
        <v>78.599999999999994</v>
      </c>
      <c r="M32">
        <v>16.600000000000001</v>
      </c>
      <c r="N32">
        <v>0.6</v>
      </c>
      <c r="O32">
        <f t="shared" si="0"/>
        <v>8.6463994117647065</v>
      </c>
    </row>
    <row r="33" spans="1:15" x14ac:dyDescent="0.25">
      <c r="A33" s="1" t="s">
        <v>46</v>
      </c>
      <c r="B33" s="1">
        <v>9406.1</v>
      </c>
      <c r="C33" s="1">
        <v>20.6</v>
      </c>
      <c r="D33" s="1">
        <v>6982</v>
      </c>
      <c r="E33" s="1">
        <v>24.3</v>
      </c>
      <c r="F33" s="1">
        <v>31331</v>
      </c>
      <c r="G33" s="1">
        <v>12794</v>
      </c>
      <c r="H33" s="1">
        <v>7694.5</v>
      </c>
      <c r="I33" s="1">
        <v>294703420</v>
      </c>
      <c r="J33">
        <v>99.7</v>
      </c>
      <c r="K33">
        <v>95.7</v>
      </c>
      <c r="L33">
        <v>81.400000000000006</v>
      </c>
      <c r="M33">
        <v>42.4</v>
      </c>
      <c r="N33">
        <v>4.0999999999999996</v>
      </c>
      <c r="O33">
        <f t="shared" si="0"/>
        <v>173.35495294117646</v>
      </c>
    </row>
    <row r="34" spans="1:15" x14ac:dyDescent="0.25">
      <c r="A34" s="1" t="s">
        <v>47</v>
      </c>
      <c r="B34" s="1">
        <v>2452.6</v>
      </c>
      <c r="C34" s="1">
        <v>17.8</v>
      </c>
      <c r="D34" s="1">
        <v>1715</v>
      </c>
      <c r="E34" s="1">
        <v>22.1</v>
      </c>
      <c r="F34" s="1">
        <v>112897</v>
      </c>
      <c r="G34" s="1">
        <v>2709</v>
      </c>
      <c r="H34" s="1">
        <v>2459</v>
      </c>
      <c r="I34" s="1">
        <v>276893231</v>
      </c>
      <c r="J34">
        <v>98.1</v>
      </c>
      <c r="K34">
        <v>89</v>
      </c>
      <c r="L34">
        <v>65.2</v>
      </c>
      <c r="M34">
        <v>27.5</v>
      </c>
      <c r="N34">
        <v>5</v>
      </c>
      <c r="O34">
        <f t="shared" si="0"/>
        <v>162.87837117647058</v>
      </c>
    </row>
    <row r="35" spans="1:15" x14ac:dyDescent="0.25">
      <c r="A35" s="1" t="s">
        <v>48</v>
      </c>
      <c r="B35" s="1">
        <v>4381.8</v>
      </c>
      <c r="C35" s="1">
        <v>18.8</v>
      </c>
      <c r="D35" s="1">
        <v>2578</v>
      </c>
      <c r="E35" s="1">
        <v>23.4</v>
      </c>
      <c r="F35" s="1">
        <v>45630</v>
      </c>
      <c r="G35" s="1">
        <v>7006</v>
      </c>
      <c r="H35" s="1">
        <v>4709.3999999999996</v>
      </c>
      <c r="I35" s="1">
        <v>199940676</v>
      </c>
      <c r="J35">
        <v>98.5</v>
      </c>
      <c r="K35">
        <v>91.7</v>
      </c>
      <c r="L35">
        <v>73.900000000000006</v>
      </c>
      <c r="M35">
        <v>35.9</v>
      </c>
      <c r="N35">
        <v>5.3</v>
      </c>
      <c r="O35">
        <f t="shared" si="0"/>
        <v>117.61216235294118</v>
      </c>
    </row>
    <row r="36" spans="1:15" x14ac:dyDescent="0.25">
      <c r="A36" s="1" t="s">
        <v>49</v>
      </c>
      <c r="B36" s="1">
        <v>7183.2</v>
      </c>
      <c r="C36" s="1">
        <v>20.100000000000001</v>
      </c>
      <c r="D36" s="1">
        <v>5046</v>
      </c>
      <c r="E36" s="1">
        <v>23.9</v>
      </c>
      <c r="F36" s="1">
        <v>54466</v>
      </c>
      <c r="G36" s="1">
        <v>10381</v>
      </c>
      <c r="H36" s="1">
        <v>6587.7</v>
      </c>
      <c r="I36" s="1">
        <v>391240376</v>
      </c>
      <c r="J36">
        <v>99.6</v>
      </c>
      <c r="K36">
        <v>95</v>
      </c>
      <c r="L36">
        <v>78.599999999999994</v>
      </c>
      <c r="M36">
        <v>38.5</v>
      </c>
      <c r="N36">
        <v>4</v>
      </c>
      <c r="O36">
        <f t="shared" si="0"/>
        <v>230.14139764705882</v>
      </c>
    </row>
    <row r="37" spans="1:15" x14ac:dyDescent="0.25">
      <c r="A37" s="1" t="s">
        <v>50</v>
      </c>
      <c r="B37" s="1">
        <v>4788.3999999999996</v>
      </c>
      <c r="C37" s="1">
        <v>19.100000000000001</v>
      </c>
      <c r="D37" s="1">
        <v>2201</v>
      </c>
      <c r="E37" s="1">
        <v>21.6</v>
      </c>
      <c r="F37" s="1">
        <v>3449</v>
      </c>
      <c r="G37" s="1">
        <v>10198</v>
      </c>
      <c r="H37" s="1">
        <v>7025.8</v>
      </c>
      <c r="I37" s="1">
        <v>16515037</v>
      </c>
      <c r="J37">
        <v>100</v>
      </c>
      <c r="K37">
        <v>94.1</v>
      </c>
      <c r="L37">
        <v>67.8</v>
      </c>
      <c r="M37">
        <v>13.7</v>
      </c>
      <c r="N37">
        <v>0.8</v>
      </c>
      <c r="O37">
        <f t="shared" si="0"/>
        <v>9.7147276470588242</v>
      </c>
    </row>
    <row r="38" spans="1:15" x14ac:dyDescent="0.25">
      <c r="A38" s="1" t="s">
        <v>51</v>
      </c>
      <c r="B38" s="1">
        <v>8835.2000000000007</v>
      </c>
      <c r="C38" s="1">
        <v>19.899999999999999</v>
      </c>
      <c r="D38" s="1">
        <v>5664</v>
      </c>
      <c r="E38" s="1">
        <v>22.7</v>
      </c>
      <c r="F38" s="1">
        <v>22889</v>
      </c>
      <c r="G38" s="1">
        <v>13926</v>
      </c>
      <c r="H38" s="1">
        <v>8796.1</v>
      </c>
      <c r="I38" s="1">
        <v>202229151</v>
      </c>
      <c r="J38">
        <v>100</v>
      </c>
      <c r="K38">
        <v>95.5</v>
      </c>
      <c r="L38">
        <v>77.400000000000006</v>
      </c>
      <c r="M38">
        <v>18.100000000000001</v>
      </c>
      <c r="N38">
        <v>0.4</v>
      </c>
      <c r="O38">
        <f t="shared" si="0"/>
        <v>118.95832411764705</v>
      </c>
    </row>
    <row r="39" spans="1:15" x14ac:dyDescent="0.25">
      <c r="A39" s="1" t="s">
        <v>52</v>
      </c>
      <c r="B39" s="1">
        <v>8562.9</v>
      </c>
      <c r="C39" s="1">
        <v>18.7</v>
      </c>
      <c r="D39" s="1">
        <v>3364</v>
      </c>
      <c r="E39" s="1">
        <v>21.1</v>
      </c>
      <c r="F39" s="1">
        <v>2457</v>
      </c>
      <c r="G39" s="1">
        <v>20804</v>
      </c>
      <c r="H39" s="1">
        <v>11445.7</v>
      </c>
      <c r="I39" s="1">
        <v>21039078</v>
      </c>
      <c r="J39">
        <v>100</v>
      </c>
      <c r="K39">
        <v>93.5</v>
      </c>
      <c r="L39">
        <v>63.3</v>
      </c>
      <c r="M39">
        <v>7.4</v>
      </c>
      <c r="N39">
        <v>0.2</v>
      </c>
      <c r="O39">
        <f t="shared" si="0"/>
        <v>12.375928235294118</v>
      </c>
    </row>
    <row r="40" spans="1:15" x14ac:dyDescent="0.25">
      <c r="A40" s="1" t="s">
        <v>53</v>
      </c>
      <c r="B40" s="1">
        <v>8537.4</v>
      </c>
      <c r="C40" s="1">
        <v>21</v>
      </c>
      <c r="D40" s="1">
        <v>6022</v>
      </c>
      <c r="E40" s="1">
        <v>24.5</v>
      </c>
      <c r="F40" s="1">
        <v>75978</v>
      </c>
      <c r="G40" s="1">
        <v>12055</v>
      </c>
      <c r="H40" s="1">
        <v>7640.8</v>
      </c>
      <c r="I40" s="1">
        <v>648656051</v>
      </c>
      <c r="J40">
        <v>99.8</v>
      </c>
      <c r="K40">
        <v>96.5</v>
      </c>
      <c r="L40">
        <v>82.9</v>
      </c>
      <c r="M40">
        <v>44.9</v>
      </c>
      <c r="N40">
        <v>5.3</v>
      </c>
      <c r="O40">
        <f t="shared" si="0"/>
        <v>381.56238294117645</v>
      </c>
    </row>
    <row r="41" spans="1:15" x14ac:dyDescent="0.25">
      <c r="A41" s="4" t="s">
        <v>54</v>
      </c>
      <c r="B41" s="4">
        <v>4889.6000000000004</v>
      </c>
      <c r="C41" s="4">
        <v>19.600000000000001</v>
      </c>
      <c r="D41" s="4">
        <v>3255</v>
      </c>
      <c r="E41" s="4">
        <v>22.1</v>
      </c>
      <c r="F41" s="4">
        <v>92206</v>
      </c>
      <c r="G41" s="4">
        <v>6663</v>
      </c>
      <c r="H41" s="4">
        <v>4853.3</v>
      </c>
      <c r="I41" s="4">
        <v>450853266</v>
      </c>
      <c r="J41" s="5">
        <v>100</v>
      </c>
      <c r="K41" s="5">
        <v>95.5</v>
      </c>
      <c r="L41" s="5">
        <v>73</v>
      </c>
      <c r="M41" s="5">
        <v>12.7</v>
      </c>
      <c r="N41" s="5">
        <v>0.4</v>
      </c>
      <c r="O41" s="5">
        <f t="shared" si="0"/>
        <v>265.20780352941176</v>
      </c>
    </row>
    <row r="42" spans="1:15" x14ac:dyDescent="0.25">
      <c r="A42" s="1" t="s">
        <v>55</v>
      </c>
      <c r="B42" s="1">
        <v>5804</v>
      </c>
      <c r="C42" s="1">
        <v>19.899999999999999</v>
      </c>
      <c r="D42" s="1">
        <v>3744</v>
      </c>
      <c r="E42" s="1">
        <v>23.7</v>
      </c>
      <c r="F42" s="1">
        <v>55515</v>
      </c>
      <c r="G42" s="1">
        <v>9320</v>
      </c>
      <c r="H42" s="1">
        <v>5938.4</v>
      </c>
      <c r="I42" s="1">
        <v>322210095</v>
      </c>
      <c r="J42">
        <v>99.5</v>
      </c>
      <c r="K42">
        <v>94.6</v>
      </c>
      <c r="L42">
        <v>77.599999999999994</v>
      </c>
      <c r="M42">
        <v>37.1</v>
      </c>
      <c r="N42">
        <v>4.3</v>
      </c>
      <c r="O42">
        <f t="shared" si="0"/>
        <v>189.53534999999999</v>
      </c>
    </row>
    <row r="43" spans="1:15" x14ac:dyDescent="0.25">
      <c r="A43" s="1" t="s">
        <v>56</v>
      </c>
      <c r="B43" s="1">
        <v>7967.5</v>
      </c>
      <c r="C43" s="1">
        <v>21.1</v>
      </c>
      <c r="D43" s="1">
        <v>5889</v>
      </c>
      <c r="E43" s="1">
        <v>25</v>
      </c>
      <c r="F43" s="1">
        <v>12026</v>
      </c>
      <c r="G43" s="1">
        <v>11022</v>
      </c>
      <c r="H43" s="1">
        <v>6630.6</v>
      </c>
      <c r="I43" s="1">
        <v>95817331</v>
      </c>
      <c r="J43">
        <v>99.8</v>
      </c>
      <c r="K43">
        <v>96.2</v>
      </c>
      <c r="L43">
        <v>83.4</v>
      </c>
      <c r="M43">
        <v>49.7</v>
      </c>
      <c r="N43">
        <v>9.5</v>
      </c>
      <c r="O43">
        <f t="shared" si="0"/>
        <v>56.363135882352942</v>
      </c>
    </row>
    <row r="44" spans="1:15" x14ac:dyDescent="0.25">
      <c r="A44" s="4" t="s">
        <v>57</v>
      </c>
      <c r="B44" s="4">
        <v>3104.1</v>
      </c>
      <c r="C44" s="4">
        <v>19.2</v>
      </c>
      <c r="D44" s="4">
        <v>2193</v>
      </c>
      <c r="E44" s="4">
        <v>21.6</v>
      </c>
      <c r="F44" s="4">
        <v>55462</v>
      </c>
      <c r="G44" s="4">
        <v>3983</v>
      </c>
      <c r="H44" s="4">
        <v>3720.3</v>
      </c>
      <c r="I44" s="4">
        <v>172161632</v>
      </c>
      <c r="J44" s="5">
        <v>100</v>
      </c>
      <c r="K44" s="5">
        <v>94.7</v>
      </c>
      <c r="L44" s="5">
        <v>68.400000000000006</v>
      </c>
      <c r="M44" s="5">
        <v>11.5</v>
      </c>
      <c r="N44" s="5">
        <v>0.6</v>
      </c>
      <c r="O44" s="5">
        <f t="shared" si="0"/>
        <v>101.27154823529412</v>
      </c>
    </row>
    <row r="45" spans="1:15" x14ac:dyDescent="0.25">
      <c r="A45" s="1" t="s">
        <v>58</v>
      </c>
      <c r="B45" s="1">
        <v>4309</v>
      </c>
      <c r="C45" s="1">
        <v>20.100000000000001</v>
      </c>
      <c r="D45" s="1">
        <v>2847</v>
      </c>
      <c r="E45" s="1">
        <v>24.1</v>
      </c>
      <c r="F45" s="1">
        <v>63953</v>
      </c>
      <c r="G45" s="1">
        <v>6338</v>
      </c>
      <c r="H45" s="1">
        <v>4094.7</v>
      </c>
      <c r="I45" s="1">
        <v>275576643</v>
      </c>
      <c r="J45">
        <v>99.5</v>
      </c>
      <c r="K45">
        <v>95.2</v>
      </c>
      <c r="L45">
        <v>78.099999999999994</v>
      </c>
      <c r="M45">
        <v>42.2</v>
      </c>
      <c r="N45">
        <v>8.1</v>
      </c>
      <c r="O45">
        <f t="shared" si="0"/>
        <v>162.10390764705883</v>
      </c>
    </row>
    <row r="46" spans="1:15" x14ac:dyDescent="0.25">
      <c r="A46" s="1" t="s">
        <v>59</v>
      </c>
      <c r="B46" s="1">
        <v>11912.7</v>
      </c>
      <c r="C46" s="1">
        <v>19.7</v>
      </c>
      <c r="D46" s="1">
        <v>6538</v>
      </c>
      <c r="E46" s="1">
        <v>22.6</v>
      </c>
      <c r="F46" s="1">
        <v>1609</v>
      </c>
      <c r="G46" s="1">
        <v>23624</v>
      </c>
      <c r="H46" s="1">
        <v>12632.1</v>
      </c>
      <c r="I46" s="1">
        <v>19167507</v>
      </c>
      <c r="J46">
        <v>100</v>
      </c>
      <c r="K46">
        <v>95.1</v>
      </c>
      <c r="L46">
        <v>75.599999999999994</v>
      </c>
      <c r="M46">
        <v>18.3</v>
      </c>
      <c r="N46">
        <v>0.4</v>
      </c>
      <c r="O46">
        <f t="shared" si="0"/>
        <v>11.275004117647059</v>
      </c>
    </row>
    <row r="47" spans="1:15" x14ac:dyDescent="0.25">
      <c r="A47" s="1" t="s">
        <v>60</v>
      </c>
      <c r="B47" s="1">
        <v>8426.2999999999993</v>
      </c>
      <c r="C47" s="1">
        <v>20.9</v>
      </c>
      <c r="D47" s="1">
        <v>6224</v>
      </c>
      <c r="E47" s="1">
        <v>24.9</v>
      </c>
      <c r="F47" s="1">
        <v>23873</v>
      </c>
      <c r="G47" s="1">
        <v>11609</v>
      </c>
      <c r="H47" s="1">
        <v>6958.3</v>
      </c>
      <c r="I47" s="1">
        <v>201160667</v>
      </c>
      <c r="J47">
        <v>99.7</v>
      </c>
      <c r="K47">
        <v>96</v>
      </c>
      <c r="L47">
        <v>83.5</v>
      </c>
      <c r="M47">
        <v>48.6</v>
      </c>
      <c r="N47">
        <v>6.5</v>
      </c>
      <c r="O47">
        <f t="shared" si="0"/>
        <v>118.32980411764706</v>
      </c>
    </row>
    <row r="48" spans="1:15" x14ac:dyDescent="0.25">
      <c r="A48" s="1" t="s">
        <v>61</v>
      </c>
      <c r="B48" s="1">
        <v>2648.1</v>
      </c>
      <c r="C48" s="1">
        <v>17.600000000000001</v>
      </c>
      <c r="D48" s="1">
        <v>1854</v>
      </c>
      <c r="E48" s="1">
        <v>21.8</v>
      </c>
      <c r="F48" s="1">
        <v>120033</v>
      </c>
      <c r="G48" s="1">
        <v>3083</v>
      </c>
      <c r="H48" s="1">
        <v>2430.5</v>
      </c>
      <c r="I48" s="1">
        <v>317855865</v>
      </c>
      <c r="J48">
        <v>97.9</v>
      </c>
      <c r="K48">
        <v>88.4</v>
      </c>
      <c r="L48">
        <v>63.7</v>
      </c>
      <c r="M48">
        <v>23.8</v>
      </c>
      <c r="N48">
        <v>3.8</v>
      </c>
      <c r="O48">
        <f t="shared" si="0"/>
        <v>186.97403823529413</v>
      </c>
    </row>
    <row r="49" spans="1:15" x14ac:dyDescent="0.25">
      <c r="A49" s="1" t="s">
        <v>62</v>
      </c>
      <c r="B49" s="1">
        <v>11791</v>
      </c>
      <c r="C49" s="1">
        <v>19.899999999999999</v>
      </c>
      <c r="D49" s="1">
        <v>5370</v>
      </c>
      <c r="E49">
        <v>22.2</v>
      </c>
      <c r="F49" s="1">
        <v>966</v>
      </c>
      <c r="G49" s="1">
        <v>20495</v>
      </c>
      <c r="H49" s="1">
        <v>13251.2</v>
      </c>
      <c r="I49" s="1">
        <v>11390064</v>
      </c>
      <c r="J49">
        <v>100</v>
      </c>
      <c r="K49">
        <v>96.8</v>
      </c>
      <c r="L49">
        <v>75.2</v>
      </c>
      <c r="M49">
        <v>12.7</v>
      </c>
      <c r="N49">
        <v>0</v>
      </c>
      <c r="O49">
        <f t="shared" si="0"/>
        <v>6.7000376470588234</v>
      </c>
    </row>
    <row r="50" spans="1:15" x14ac:dyDescent="0.25">
      <c r="A50" s="1" t="s">
        <v>63</v>
      </c>
      <c r="B50" s="1">
        <v>16813.099999999999</v>
      </c>
      <c r="C50" s="1">
        <v>20.5</v>
      </c>
      <c r="D50" s="1">
        <v>11275</v>
      </c>
      <c r="E50" s="1">
        <v>23.3</v>
      </c>
      <c r="F50" s="1">
        <v>10107</v>
      </c>
      <c r="G50" s="1">
        <v>25637</v>
      </c>
      <c r="H50" s="1">
        <v>15171.1</v>
      </c>
      <c r="I50" s="1">
        <v>169930429</v>
      </c>
      <c r="J50">
        <v>100</v>
      </c>
      <c r="K50">
        <v>96.2</v>
      </c>
      <c r="L50">
        <v>82.2</v>
      </c>
      <c r="M50">
        <v>22.1</v>
      </c>
      <c r="N50">
        <v>0.2</v>
      </c>
      <c r="O50">
        <f t="shared" si="0"/>
        <v>99.959075882352934</v>
      </c>
    </row>
    <row r="51" spans="1:15" x14ac:dyDescent="0.25">
      <c r="A51" s="1" t="s">
        <v>64</v>
      </c>
      <c r="B51" s="1">
        <v>3420.4</v>
      </c>
      <c r="C51" s="1">
        <v>18.899999999999999</v>
      </c>
      <c r="D51" s="1">
        <v>2428</v>
      </c>
      <c r="E51" s="1">
        <v>22.6</v>
      </c>
      <c r="F51" s="1">
        <v>263896</v>
      </c>
      <c r="G51" s="1">
        <v>4598</v>
      </c>
      <c r="H51" s="1">
        <v>2912.9</v>
      </c>
      <c r="I51" s="1">
        <v>902617915</v>
      </c>
      <c r="J51">
        <v>99</v>
      </c>
      <c r="K51">
        <v>92.8</v>
      </c>
      <c r="L51">
        <v>71.5</v>
      </c>
      <c r="M51">
        <v>26</v>
      </c>
      <c r="N51">
        <v>3.4</v>
      </c>
      <c r="O51">
        <f t="shared" si="0"/>
        <v>530.95171470588241</v>
      </c>
    </row>
    <row r="52" spans="1:15" x14ac:dyDescent="0.25">
      <c r="A52" s="1" t="s">
        <v>65</v>
      </c>
      <c r="B52" s="1">
        <v>5216.1000000000004</v>
      </c>
      <c r="C52" s="1">
        <v>20</v>
      </c>
      <c r="D52" s="1">
        <v>3544</v>
      </c>
      <c r="E52" s="1">
        <v>23.8</v>
      </c>
      <c r="F52" s="1">
        <v>418842</v>
      </c>
      <c r="G52" s="1">
        <v>7767</v>
      </c>
      <c r="H52" s="1">
        <v>4997.6000000000004</v>
      </c>
      <c r="I52" s="1">
        <v>2184740488</v>
      </c>
      <c r="J52">
        <v>99.5</v>
      </c>
      <c r="K52">
        <v>94.9</v>
      </c>
      <c r="L52">
        <v>77.900000000000006</v>
      </c>
      <c r="M52">
        <v>38.700000000000003</v>
      </c>
      <c r="N52">
        <v>5.0999999999999996</v>
      </c>
      <c r="O52">
        <f t="shared" si="0"/>
        <v>1285.1414635294118</v>
      </c>
    </row>
    <row r="53" spans="1:15" x14ac:dyDescent="0.25">
      <c r="A53" s="1" t="s">
        <v>66</v>
      </c>
      <c r="B53" s="1">
        <v>4398.8</v>
      </c>
      <c r="C53" s="1">
        <v>20.2</v>
      </c>
      <c r="D53" s="1">
        <v>2969</v>
      </c>
      <c r="E53" s="1">
        <v>24.5</v>
      </c>
      <c r="F53" s="1">
        <v>40525</v>
      </c>
      <c r="G53" s="1">
        <v>6364</v>
      </c>
      <c r="H53" s="1">
        <v>4371.8999999999996</v>
      </c>
      <c r="I53" s="1">
        <v>178262047</v>
      </c>
      <c r="J53">
        <v>99.4</v>
      </c>
      <c r="K53">
        <v>94.9</v>
      </c>
      <c r="L53">
        <v>80.400000000000006</v>
      </c>
      <c r="M53">
        <v>45.8</v>
      </c>
      <c r="N53">
        <v>9.6</v>
      </c>
      <c r="O53">
        <f t="shared" si="0"/>
        <v>104.86002764705883</v>
      </c>
    </row>
    <row r="54" spans="1:15" x14ac:dyDescent="0.25">
      <c r="A54" s="1" t="s">
        <v>67</v>
      </c>
      <c r="B54" s="1">
        <v>6788.8</v>
      </c>
      <c r="C54" s="1">
        <v>20.9</v>
      </c>
      <c r="D54" s="1">
        <v>4980.5</v>
      </c>
      <c r="E54" s="1">
        <v>24.6</v>
      </c>
      <c r="F54" s="1">
        <v>12776</v>
      </c>
      <c r="G54" s="1">
        <v>9734</v>
      </c>
      <c r="H54" s="1">
        <v>5865.1</v>
      </c>
      <c r="I54" s="1">
        <v>86734018</v>
      </c>
      <c r="J54">
        <v>99.7</v>
      </c>
      <c r="K54">
        <v>96</v>
      </c>
      <c r="L54">
        <v>83.1</v>
      </c>
      <c r="M54">
        <v>45.2</v>
      </c>
      <c r="N54">
        <v>5.3</v>
      </c>
      <c r="O54">
        <f t="shared" si="0"/>
        <v>51.020010588235294</v>
      </c>
    </row>
    <row r="55" spans="1:15" x14ac:dyDescent="0.25">
      <c r="A55" s="1" t="s">
        <v>68</v>
      </c>
      <c r="B55" s="1">
        <v>6142.7</v>
      </c>
      <c r="C55" s="1">
        <v>20.399999999999999</v>
      </c>
      <c r="D55" s="1">
        <v>4248</v>
      </c>
      <c r="E55" s="1">
        <v>24.5</v>
      </c>
      <c r="F55" s="1">
        <v>94121</v>
      </c>
      <c r="G55" s="1">
        <v>8946</v>
      </c>
      <c r="H55" s="1">
        <v>5690.1</v>
      </c>
      <c r="I55" s="1">
        <v>578156115</v>
      </c>
      <c r="J55">
        <v>99.5</v>
      </c>
      <c r="K55">
        <v>95.3</v>
      </c>
      <c r="L55">
        <v>80.8</v>
      </c>
      <c r="M55">
        <v>45.4</v>
      </c>
      <c r="N55">
        <v>8</v>
      </c>
      <c r="O55">
        <f t="shared" si="0"/>
        <v>340.0918323529412</v>
      </c>
    </row>
    <row r="56" spans="1:15" x14ac:dyDescent="0.25">
      <c r="A56" s="1" t="s">
        <v>69</v>
      </c>
      <c r="B56" s="1">
        <v>5496.8</v>
      </c>
      <c r="C56" s="1">
        <v>17.8</v>
      </c>
      <c r="D56" s="1">
        <v>2815</v>
      </c>
      <c r="E56" s="1">
        <v>20.5</v>
      </c>
      <c r="F56" s="1">
        <v>2374</v>
      </c>
      <c r="G56" s="1">
        <v>9938</v>
      </c>
      <c r="H56" s="1">
        <v>7022.4</v>
      </c>
      <c r="I56" s="1">
        <v>13049466</v>
      </c>
      <c r="J56">
        <v>99.9</v>
      </c>
      <c r="K56">
        <v>89.6</v>
      </c>
      <c r="L56">
        <v>54.9</v>
      </c>
      <c r="M56">
        <v>7.3</v>
      </c>
      <c r="N56">
        <v>0.1</v>
      </c>
      <c r="O56">
        <f t="shared" si="0"/>
        <v>7.6761564705882357</v>
      </c>
    </row>
    <row r="57" spans="1:15" x14ac:dyDescent="0.25">
      <c r="A57" s="1" t="s">
        <v>70</v>
      </c>
      <c r="B57" s="1">
        <v>6742.6</v>
      </c>
      <c r="C57" s="1">
        <v>17.5</v>
      </c>
      <c r="D57" s="1">
        <v>3517</v>
      </c>
      <c r="E57" s="1">
        <v>20.399999999999999</v>
      </c>
      <c r="F57" s="1">
        <v>1635</v>
      </c>
      <c r="G57" s="1">
        <v>12987</v>
      </c>
      <c r="H57" s="1">
        <v>9162.2999999999993</v>
      </c>
      <c r="I57" s="1">
        <v>11024150</v>
      </c>
      <c r="J57">
        <v>99.9</v>
      </c>
      <c r="K57">
        <v>88.1</v>
      </c>
      <c r="L57">
        <v>54</v>
      </c>
      <c r="M57">
        <v>6.1</v>
      </c>
      <c r="N57">
        <v>0.1</v>
      </c>
      <c r="O57">
        <f t="shared" si="0"/>
        <v>6.4847941176470592</v>
      </c>
    </row>
    <row r="58" spans="1:15" x14ac:dyDescent="0.25">
      <c r="A58" s="1" t="s">
        <v>71</v>
      </c>
      <c r="B58" s="1">
        <v>9329.5</v>
      </c>
      <c r="C58" s="1">
        <v>20.6</v>
      </c>
      <c r="D58" s="1">
        <v>6343</v>
      </c>
      <c r="E58" s="1">
        <v>24.6</v>
      </c>
      <c r="F58" s="1">
        <v>4381</v>
      </c>
      <c r="G58" s="1">
        <v>14129</v>
      </c>
      <c r="H58" s="1">
        <v>8370.4</v>
      </c>
      <c r="I58" s="1">
        <v>40872405</v>
      </c>
      <c r="J58">
        <v>99.6</v>
      </c>
      <c r="K58">
        <v>95.4</v>
      </c>
      <c r="L58">
        <v>82</v>
      </c>
      <c r="M58">
        <v>45.9</v>
      </c>
      <c r="N58">
        <v>5.6</v>
      </c>
      <c r="O58">
        <f t="shared" si="0"/>
        <v>24.042591176470587</v>
      </c>
    </row>
    <row r="59" spans="1:15" x14ac:dyDescent="0.25">
      <c r="A59" s="1" t="s">
        <v>72</v>
      </c>
      <c r="B59" s="1">
        <v>5813.5</v>
      </c>
      <c r="C59" s="1">
        <v>19.899999999999999</v>
      </c>
      <c r="D59" s="1">
        <v>3564</v>
      </c>
      <c r="E59" s="1">
        <v>24.1</v>
      </c>
      <c r="F59" s="1">
        <v>176155</v>
      </c>
      <c r="G59" s="1">
        <v>9499</v>
      </c>
      <c r="H59" s="1">
        <v>6255.1</v>
      </c>
      <c r="I59" s="1">
        <v>1024069176</v>
      </c>
      <c r="J59">
        <v>99.4</v>
      </c>
      <c r="K59">
        <v>94.3</v>
      </c>
      <c r="L59">
        <v>77.7</v>
      </c>
      <c r="M59">
        <v>41.9</v>
      </c>
      <c r="N59">
        <v>7.1</v>
      </c>
      <c r="O59">
        <f t="shared" si="0"/>
        <v>602.39363294117652</v>
      </c>
    </row>
    <row r="60" spans="1:15" x14ac:dyDescent="0.25">
      <c r="A60" s="1" t="s">
        <v>73</v>
      </c>
      <c r="B60" s="1">
        <v>4812.2</v>
      </c>
      <c r="C60" s="1">
        <v>18.7</v>
      </c>
      <c r="D60" s="1">
        <v>2809</v>
      </c>
      <c r="E60" s="1">
        <v>23.3</v>
      </c>
      <c r="F60" s="1">
        <v>25342</v>
      </c>
      <c r="G60" s="1">
        <v>7860</v>
      </c>
      <c r="H60" s="1">
        <v>5498.5</v>
      </c>
      <c r="I60" s="1">
        <v>121951275</v>
      </c>
      <c r="J60">
        <v>98.6</v>
      </c>
      <c r="K60">
        <v>91.9</v>
      </c>
      <c r="L60">
        <v>72</v>
      </c>
      <c r="M60">
        <v>35.700000000000003</v>
      </c>
      <c r="N60">
        <v>5.7</v>
      </c>
      <c r="O60">
        <f t="shared" si="0"/>
        <v>71.736044117647054</v>
      </c>
    </row>
    <row r="61" spans="1:15" x14ac:dyDescent="0.25">
      <c r="A61" s="1" t="s">
        <v>74</v>
      </c>
      <c r="B61" s="1">
        <v>5896.9</v>
      </c>
      <c r="C61" s="1">
        <v>15.6</v>
      </c>
      <c r="D61" s="1">
        <v>2752</v>
      </c>
      <c r="E61" s="1">
        <v>16.899999999999999</v>
      </c>
      <c r="F61" s="1">
        <v>43291</v>
      </c>
      <c r="G61" s="1">
        <v>11292</v>
      </c>
      <c r="H61" s="1">
        <v>7307.9</v>
      </c>
      <c r="I61" s="1">
        <v>255284618</v>
      </c>
      <c r="J61">
        <v>99.9</v>
      </c>
      <c r="K61">
        <v>79.400000000000006</v>
      </c>
      <c r="L61">
        <v>4.8</v>
      </c>
      <c r="M61">
        <v>0</v>
      </c>
      <c r="N61">
        <v>0</v>
      </c>
      <c r="O61">
        <f t="shared" si="0"/>
        <v>150.16742235294117</v>
      </c>
    </row>
    <row r="62" spans="1:15" x14ac:dyDescent="0.25">
      <c r="A62" s="1" t="s">
        <v>75</v>
      </c>
      <c r="B62" s="1">
        <v>8984.5</v>
      </c>
      <c r="C62" s="1">
        <v>18.600000000000001</v>
      </c>
      <c r="D62" s="1">
        <v>4360</v>
      </c>
      <c r="E62" s="1">
        <v>21.6</v>
      </c>
      <c r="F62" s="1">
        <v>14688</v>
      </c>
      <c r="G62" s="1">
        <v>18392</v>
      </c>
      <c r="H62" s="1">
        <v>11349.4</v>
      </c>
      <c r="I62" s="1">
        <v>131963946</v>
      </c>
      <c r="J62">
        <v>100</v>
      </c>
      <c r="K62">
        <v>91.6</v>
      </c>
      <c r="L62">
        <v>65.7</v>
      </c>
      <c r="M62">
        <v>13.5</v>
      </c>
      <c r="N62">
        <v>0.3</v>
      </c>
      <c r="O62">
        <f t="shared" si="0"/>
        <v>77.625850588235295</v>
      </c>
    </row>
    <row r="63" spans="1:15" x14ac:dyDescent="0.25">
      <c r="A63" s="1" t="s">
        <v>76</v>
      </c>
      <c r="B63" s="1">
        <v>5100.8</v>
      </c>
      <c r="C63" s="1">
        <v>20</v>
      </c>
      <c r="D63" s="1">
        <v>3395</v>
      </c>
      <c r="E63" s="1">
        <v>24</v>
      </c>
      <c r="F63" s="1">
        <v>143957</v>
      </c>
      <c r="G63" s="1">
        <v>7628</v>
      </c>
      <c r="H63" s="1">
        <v>5012.8</v>
      </c>
      <c r="I63" s="1">
        <v>734295658</v>
      </c>
      <c r="J63">
        <v>99.5</v>
      </c>
      <c r="K63">
        <v>94.8</v>
      </c>
      <c r="L63">
        <v>78.099999999999994</v>
      </c>
      <c r="M63">
        <v>41.4</v>
      </c>
      <c r="N63">
        <v>7</v>
      </c>
      <c r="O63">
        <f t="shared" si="0"/>
        <v>431.9386223529412</v>
      </c>
    </row>
    <row r="64" spans="1:15" x14ac:dyDescent="0.25">
      <c r="A64" s="1" t="s">
        <v>77</v>
      </c>
      <c r="B64" s="1">
        <v>5318.5</v>
      </c>
      <c r="C64" s="1">
        <v>19.399999999999999</v>
      </c>
      <c r="D64" s="1">
        <v>3252</v>
      </c>
      <c r="E64" s="1">
        <v>23.6</v>
      </c>
      <c r="F64" s="1">
        <v>91639</v>
      </c>
      <c r="G64" s="1">
        <v>8660</v>
      </c>
      <c r="H64" s="1">
        <v>5534.8</v>
      </c>
      <c r="I64" s="1">
        <v>487383683</v>
      </c>
      <c r="J64">
        <v>99.2</v>
      </c>
      <c r="K64">
        <v>93.4</v>
      </c>
      <c r="L64">
        <v>74.599999999999994</v>
      </c>
      <c r="M64">
        <v>37.700000000000003</v>
      </c>
      <c r="N64">
        <v>5.9</v>
      </c>
      <c r="O64">
        <f t="shared" si="0"/>
        <v>286.69628411764705</v>
      </c>
    </row>
    <row r="65" spans="1:15" x14ac:dyDescent="0.25">
      <c r="A65" s="1" t="s">
        <v>78</v>
      </c>
      <c r="B65" s="1">
        <v>9733.7999999999993</v>
      </c>
      <c r="C65" s="1">
        <v>16</v>
      </c>
      <c r="D65" s="1">
        <v>6383</v>
      </c>
      <c r="E65" s="1">
        <v>17.3</v>
      </c>
      <c r="F65" s="1">
        <v>53185</v>
      </c>
      <c r="G65" s="1">
        <v>14637</v>
      </c>
      <c r="H65" s="1">
        <v>9275.6</v>
      </c>
      <c r="I65" s="1">
        <v>517690944</v>
      </c>
      <c r="J65">
        <v>100</v>
      </c>
      <c r="K65">
        <v>84.8</v>
      </c>
      <c r="L65">
        <v>5.2</v>
      </c>
      <c r="M65">
        <v>0</v>
      </c>
      <c r="N65">
        <v>0</v>
      </c>
      <c r="O65">
        <f t="shared" si="0"/>
        <v>304.52408470588233</v>
      </c>
    </row>
    <row r="66" spans="1:15" x14ac:dyDescent="0.25">
      <c r="A66" s="2" t="s">
        <v>79</v>
      </c>
      <c r="B66" s="2">
        <f>AVERAGE(B2:B65)</f>
        <v>7699.1609374999989</v>
      </c>
      <c r="C66" s="2">
        <f>AVERAGE(C2:C65)</f>
        <v>19.296875000000004</v>
      </c>
      <c r="D66" s="3"/>
      <c r="E66" s="3"/>
      <c r="F66" s="3"/>
      <c r="G66" s="2">
        <f>AVERAGE(G2:G65)</f>
        <v>12705.1875</v>
      </c>
      <c r="H66" s="3"/>
      <c r="I66" s="3"/>
      <c r="J66" s="3"/>
      <c r="K66" s="3"/>
      <c r="L66" s="3"/>
      <c r="M66" s="3"/>
      <c r="N66" s="3"/>
      <c r="O66" s="3">
        <f>AVERAGE(O2:O65)</f>
        <v>181.23962704963239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B811-FD4A-4EDB-B776-FA2BD9440A90}">
  <dimension ref="A1:X65"/>
  <sheetViews>
    <sheetView tabSelected="1" workbookViewId="0">
      <selection activeCell="O6" sqref="O6"/>
    </sheetView>
  </sheetViews>
  <sheetFormatPr defaultRowHeight="15" x14ac:dyDescent="0.25"/>
  <cols>
    <col min="1" max="1" width="9.42578125" bestFit="1" customWidth="1"/>
    <col min="2" max="2" width="17.42578125" bestFit="1" customWidth="1"/>
  </cols>
  <sheetData>
    <row r="1" spans="1:24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6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</row>
    <row r="2" spans="1:24" x14ac:dyDescent="0.25">
      <c r="A2" t="s">
        <v>15</v>
      </c>
      <c r="B2" t="s">
        <v>102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1696156</v>
      </c>
      <c r="J2">
        <v>1696156</v>
      </c>
      <c r="K2">
        <v>1696156</v>
      </c>
      <c r="L2">
        <v>1696156</v>
      </c>
      <c r="M2">
        <v>1696156</v>
      </c>
      <c r="N2">
        <v>1696156</v>
      </c>
      <c r="O2">
        <v>1</v>
      </c>
      <c r="P2">
        <v>1696156</v>
      </c>
      <c r="Q2">
        <v>1696156</v>
      </c>
      <c r="R2">
        <v>31.45</v>
      </c>
      <c r="S2">
        <v>1696156</v>
      </c>
      <c r="T2">
        <v>1696156</v>
      </c>
      <c r="U2">
        <v>1696156</v>
      </c>
      <c r="V2">
        <v>1</v>
      </c>
      <c r="W2">
        <v>1</v>
      </c>
      <c r="X2">
        <v>0</v>
      </c>
    </row>
    <row r="3" spans="1:24" x14ac:dyDescent="0.25">
      <c r="A3" t="s">
        <v>16</v>
      </c>
      <c r="B3" t="s">
        <v>102</v>
      </c>
      <c r="C3">
        <v>4</v>
      </c>
      <c r="D3">
        <v>4</v>
      </c>
      <c r="E3">
        <v>4</v>
      </c>
      <c r="F3">
        <v>4</v>
      </c>
      <c r="G3">
        <v>3</v>
      </c>
      <c r="H3">
        <v>1</v>
      </c>
      <c r="I3">
        <v>1768705</v>
      </c>
      <c r="J3">
        <v>1768705</v>
      </c>
      <c r="K3">
        <v>1768705</v>
      </c>
      <c r="L3">
        <v>1768705</v>
      </c>
      <c r="M3">
        <v>1749911</v>
      </c>
      <c r="N3">
        <v>1673991</v>
      </c>
      <c r="O3">
        <v>4</v>
      </c>
      <c r="P3">
        <v>1673991</v>
      </c>
      <c r="Q3">
        <v>1768705</v>
      </c>
      <c r="R3">
        <v>30.34</v>
      </c>
      <c r="S3">
        <v>1673991</v>
      </c>
      <c r="T3">
        <v>1673991</v>
      </c>
      <c r="U3">
        <v>1586181.1</v>
      </c>
      <c r="V3">
        <v>1</v>
      </c>
      <c r="W3">
        <v>1</v>
      </c>
      <c r="X3">
        <v>0</v>
      </c>
    </row>
    <row r="4" spans="1:24" x14ac:dyDescent="0.25">
      <c r="A4" t="s">
        <v>17</v>
      </c>
      <c r="B4" t="s">
        <v>102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1710642</v>
      </c>
      <c r="J4">
        <v>1710642</v>
      </c>
      <c r="K4">
        <v>1710642</v>
      </c>
      <c r="L4">
        <v>1710642</v>
      </c>
      <c r="M4">
        <v>1710642</v>
      </c>
      <c r="N4">
        <v>1710642</v>
      </c>
      <c r="O4">
        <v>1</v>
      </c>
      <c r="P4">
        <v>1710642</v>
      </c>
      <c r="Q4">
        <v>1710642</v>
      </c>
      <c r="R4">
        <v>30.5</v>
      </c>
      <c r="S4">
        <v>1710642</v>
      </c>
      <c r="T4">
        <v>1710642</v>
      </c>
      <c r="U4">
        <v>1710642</v>
      </c>
      <c r="V4">
        <v>1</v>
      </c>
      <c r="W4">
        <v>1</v>
      </c>
      <c r="X4">
        <v>0</v>
      </c>
    </row>
    <row r="5" spans="1:24" x14ac:dyDescent="0.25">
      <c r="A5" t="s">
        <v>18</v>
      </c>
      <c r="B5" t="s">
        <v>102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1709276</v>
      </c>
      <c r="J5">
        <v>1709276</v>
      </c>
      <c r="K5">
        <v>1709276</v>
      </c>
      <c r="L5">
        <v>1709276</v>
      </c>
      <c r="M5">
        <v>1709276</v>
      </c>
      <c r="N5">
        <v>1709276</v>
      </c>
      <c r="O5">
        <v>1</v>
      </c>
      <c r="P5">
        <v>1709276</v>
      </c>
      <c r="Q5">
        <v>1709276</v>
      </c>
      <c r="R5">
        <v>30.37</v>
      </c>
      <c r="S5">
        <v>1709276</v>
      </c>
      <c r="T5">
        <v>1709276</v>
      </c>
      <c r="U5">
        <v>1709276</v>
      </c>
      <c r="V5">
        <v>1</v>
      </c>
      <c r="W5">
        <v>1</v>
      </c>
      <c r="X5">
        <v>0</v>
      </c>
    </row>
    <row r="6" spans="1:24" x14ac:dyDescent="0.25">
      <c r="A6" t="s">
        <v>19</v>
      </c>
      <c r="B6" t="s">
        <v>102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1731326</v>
      </c>
      <c r="J6">
        <v>1731326</v>
      </c>
      <c r="K6">
        <v>1731326</v>
      </c>
      <c r="L6">
        <v>1731326</v>
      </c>
      <c r="M6">
        <v>1731326</v>
      </c>
      <c r="N6">
        <v>1731326</v>
      </c>
      <c r="O6">
        <v>1</v>
      </c>
      <c r="P6">
        <v>1731326</v>
      </c>
      <c r="Q6">
        <v>1731326</v>
      </c>
      <c r="R6">
        <v>30.43</v>
      </c>
      <c r="S6">
        <v>1731326</v>
      </c>
      <c r="T6">
        <v>1731326</v>
      </c>
      <c r="U6">
        <v>1731326</v>
      </c>
      <c r="V6">
        <v>1</v>
      </c>
      <c r="W6">
        <v>1</v>
      </c>
      <c r="X6">
        <v>0</v>
      </c>
    </row>
    <row r="7" spans="1:24" x14ac:dyDescent="0.25">
      <c r="A7" t="s">
        <v>20</v>
      </c>
      <c r="B7" t="s">
        <v>102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1673783</v>
      </c>
      <c r="J7">
        <v>1673783</v>
      </c>
      <c r="K7">
        <v>1673783</v>
      </c>
      <c r="L7">
        <v>1673783</v>
      </c>
      <c r="M7">
        <v>1673783</v>
      </c>
      <c r="N7">
        <v>1673783</v>
      </c>
      <c r="O7">
        <v>1</v>
      </c>
      <c r="P7">
        <v>1673783</v>
      </c>
      <c r="Q7">
        <v>1673783</v>
      </c>
      <c r="R7">
        <v>30.39</v>
      </c>
      <c r="S7">
        <v>1673783</v>
      </c>
      <c r="T7">
        <v>1673783</v>
      </c>
      <c r="U7">
        <v>1673783</v>
      </c>
      <c r="V7">
        <v>1</v>
      </c>
      <c r="W7">
        <v>1</v>
      </c>
      <c r="X7">
        <v>0</v>
      </c>
    </row>
    <row r="8" spans="1:24" x14ac:dyDescent="0.25">
      <c r="A8" t="s">
        <v>21</v>
      </c>
      <c r="B8" t="s">
        <v>102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1677105</v>
      </c>
      <c r="J8">
        <v>1677105</v>
      </c>
      <c r="K8">
        <v>1677105</v>
      </c>
      <c r="L8">
        <v>1677105</v>
      </c>
      <c r="M8">
        <v>1677105</v>
      </c>
      <c r="N8">
        <v>1636429</v>
      </c>
      <c r="O8">
        <v>2</v>
      </c>
      <c r="P8">
        <v>1636429</v>
      </c>
      <c r="Q8">
        <v>1677105</v>
      </c>
      <c r="R8">
        <v>30.37</v>
      </c>
      <c r="S8">
        <v>1636429</v>
      </c>
      <c r="T8">
        <v>1636429</v>
      </c>
      <c r="U8">
        <v>1597726.1</v>
      </c>
      <c r="V8">
        <v>1</v>
      </c>
      <c r="W8">
        <v>1</v>
      </c>
      <c r="X8">
        <v>0</v>
      </c>
    </row>
    <row r="9" spans="1:24" x14ac:dyDescent="0.25">
      <c r="A9" t="s">
        <v>22</v>
      </c>
      <c r="B9" t="s">
        <v>102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1740615</v>
      </c>
      <c r="J9">
        <v>1740615</v>
      </c>
      <c r="K9">
        <v>1740615</v>
      </c>
      <c r="L9">
        <v>1740615</v>
      </c>
      <c r="M9">
        <v>1740615</v>
      </c>
      <c r="N9">
        <v>1696952</v>
      </c>
      <c r="O9">
        <v>2</v>
      </c>
      <c r="P9">
        <v>1696952</v>
      </c>
      <c r="Q9">
        <v>1740615</v>
      </c>
      <c r="R9">
        <v>30.45</v>
      </c>
      <c r="S9">
        <v>1696952</v>
      </c>
      <c r="T9">
        <v>1696952</v>
      </c>
      <c r="U9">
        <v>1655479.6</v>
      </c>
      <c r="V9">
        <v>1</v>
      </c>
      <c r="W9">
        <v>1</v>
      </c>
      <c r="X9">
        <v>0</v>
      </c>
    </row>
    <row r="10" spans="1:24" x14ac:dyDescent="0.25">
      <c r="A10" t="s">
        <v>23</v>
      </c>
      <c r="B10" t="s">
        <v>102</v>
      </c>
      <c r="C10">
        <v>3</v>
      </c>
      <c r="D10">
        <v>3</v>
      </c>
      <c r="E10">
        <v>2</v>
      </c>
      <c r="F10">
        <v>2</v>
      </c>
      <c r="G10">
        <v>2</v>
      </c>
      <c r="H10">
        <v>2</v>
      </c>
      <c r="I10">
        <v>1801138</v>
      </c>
      <c r="J10">
        <v>1801138</v>
      </c>
      <c r="K10">
        <v>1796670</v>
      </c>
      <c r="L10">
        <v>1796670</v>
      </c>
      <c r="M10">
        <v>1796670</v>
      </c>
      <c r="N10">
        <v>1796670</v>
      </c>
      <c r="O10">
        <v>3</v>
      </c>
      <c r="P10">
        <v>1152905</v>
      </c>
      <c r="Q10">
        <v>1801138</v>
      </c>
      <c r="R10">
        <v>29.76</v>
      </c>
      <c r="S10">
        <v>1152905</v>
      </c>
      <c r="T10">
        <v>643765</v>
      </c>
      <c r="U10">
        <v>968078.7</v>
      </c>
      <c r="V10">
        <v>1</v>
      </c>
      <c r="W10">
        <v>2</v>
      </c>
      <c r="X10">
        <v>0</v>
      </c>
    </row>
    <row r="11" spans="1:24" x14ac:dyDescent="0.25">
      <c r="A11" t="s">
        <v>24</v>
      </c>
      <c r="B11" t="s">
        <v>102</v>
      </c>
      <c r="C11">
        <v>3</v>
      </c>
      <c r="D11">
        <v>3</v>
      </c>
      <c r="E11">
        <v>3</v>
      </c>
      <c r="F11">
        <v>3</v>
      </c>
      <c r="G11">
        <v>3</v>
      </c>
      <c r="H11">
        <v>2</v>
      </c>
      <c r="I11">
        <v>1744715</v>
      </c>
      <c r="J11">
        <v>1744715</v>
      </c>
      <c r="K11">
        <v>1744715</v>
      </c>
      <c r="L11">
        <v>1744715</v>
      </c>
      <c r="M11">
        <v>1744715</v>
      </c>
      <c r="N11">
        <v>1705895</v>
      </c>
      <c r="O11">
        <v>3</v>
      </c>
      <c r="P11">
        <v>1553382</v>
      </c>
      <c r="Q11">
        <v>1744715</v>
      </c>
      <c r="R11">
        <v>30.17</v>
      </c>
      <c r="S11">
        <v>1553382</v>
      </c>
      <c r="T11">
        <v>152513</v>
      </c>
      <c r="U11">
        <v>1397227</v>
      </c>
      <c r="V11">
        <v>1</v>
      </c>
      <c r="W11">
        <v>2</v>
      </c>
      <c r="X11">
        <v>0</v>
      </c>
    </row>
    <row r="12" spans="1:24" x14ac:dyDescent="0.25">
      <c r="A12" t="s">
        <v>25</v>
      </c>
      <c r="B12" t="s">
        <v>102</v>
      </c>
      <c r="C12">
        <v>2</v>
      </c>
      <c r="D12">
        <v>2</v>
      </c>
      <c r="E12">
        <v>2</v>
      </c>
      <c r="F12">
        <v>2</v>
      </c>
      <c r="G12">
        <v>2</v>
      </c>
      <c r="H12">
        <v>1</v>
      </c>
      <c r="I12">
        <v>1657735</v>
      </c>
      <c r="J12">
        <v>1657735</v>
      </c>
      <c r="K12">
        <v>1657735</v>
      </c>
      <c r="L12">
        <v>1657735</v>
      </c>
      <c r="M12">
        <v>1657735</v>
      </c>
      <c r="N12">
        <v>1627913</v>
      </c>
      <c r="O12">
        <v>2</v>
      </c>
      <c r="P12">
        <v>1627913</v>
      </c>
      <c r="Q12">
        <v>1657735</v>
      </c>
      <c r="R12">
        <v>30.44</v>
      </c>
      <c r="S12">
        <v>1627913</v>
      </c>
      <c r="T12">
        <v>1627913</v>
      </c>
      <c r="U12">
        <v>1599164</v>
      </c>
      <c r="V12">
        <v>1</v>
      </c>
      <c r="W12">
        <v>1</v>
      </c>
      <c r="X12">
        <v>0</v>
      </c>
    </row>
    <row r="13" spans="1:24" x14ac:dyDescent="0.25">
      <c r="A13" t="s">
        <v>26</v>
      </c>
      <c r="B13" t="s">
        <v>102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1675405</v>
      </c>
      <c r="J13">
        <v>1675405</v>
      </c>
      <c r="K13">
        <v>1675405</v>
      </c>
      <c r="L13">
        <v>1675405</v>
      </c>
      <c r="M13">
        <v>1675405</v>
      </c>
      <c r="N13">
        <v>1675405</v>
      </c>
      <c r="O13">
        <v>2</v>
      </c>
      <c r="P13">
        <v>1625367</v>
      </c>
      <c r="Q13">
        <v>1675405</v>
      </c>
      <c r="R13">
        <v>30.3</v>
      </c>
      <c r="S13">
        <v>1625367</v>
      </c>
      <c r="T13">
        <v>1625367</v>
      </c>
      <c r="U13">
        <v>1578317.9</v>
      </c>
      <c r="V13">
        <v>1</v>
      </c>
      <c r="W13">
        <v>1</v>
      </c>
      <c r="X13">
        <v>0</v>
      </c>
    </row>
    <row r="14" spans="1:24" x14ac:dyDescent="0.25">
      <c r="A14" t="s">
        <v>27</v>
      </c>
      <c r="B14" t="s">
        <v>102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1700197</v>
      </c>
      <c r="J14">
        <v>1700197</v>
      </c>
      <c r="K14">
        <v>1700197</v>
      </c>
      <c r="L14">
        <v>1700197</v>
      </c>
      <c r="M14">
        <v>1700197</v>
      </c>
      <c r="N14">
        <v>1700197</v>
      </c>
      <c r="O14">
        <v>1</v>
      </c>
      <c r="P14">
        <v>1700197</v>
      </c>
      <c r="Q14">
        <v>1700197</v>
      </c>
      <c r="R14">
        <v>30.3</v>
      </c>
      <c r="S14">
        <v>1700197</v>
      </c>
      <c r="T14">
        <v>1700197</v>
      </c>
      <c r="U14">
        <v>1700197</v>
      </c>
      <c r="V14">
        <v>1</v>
      </c>
      <c r="W14">
        <v>1</v>
      </c>
      <c r="X14">
        <v>0</v>
      </c>
    </row>
    <row r="15" spans="1:24" x14ac:dyDescent="0.25">
      <c r="A15" t="s">
        <v>28</v>
      </c>
      <c r="B15" t="s">
        <v>102</v>
      </c>
      <c r="C15">
        <v>10</v>
      </c>
      <c r="D15">
        <v>3</v>
      </c>
      <c r="E15">
        <v>3</v>
      </c>
      <c r="F15">
        <v>2</v>
      </c>
      <c r="G15">
        <v>2</v>
      </c>
      <c r="H15">
        <v>2</v>
      </c>
      <c r="I15">
        <v>1743762</v>
      </c>
      <c r="J15">
        <v>1739706</v>
      </c>
      <c r="K15">
        <v>1739706</v>
      </c>
      <c r="L15">
        <v>1734127</v>
      </c>
      <c r="M15">
        <v>1734127</v>
      </c>
      <c r="N15">
        <v>1734127</v>
      </c>
      <c r="O15">
        <v>8</v>
      </c>
      <c r="P15">
        <v>967512</v>
      </c>
      <c r="Q15">
        <v>1743183</v>
      </c>
      <c r="R15">
        <v>30.41</v>
      </c>
      <c r="S15">
        <v>967512</v>
      </c>
      <c r="T15">
        <v>766615</v>
      </c>
      <c r="U15">
        <v>874154.8</v>
      </c>
      <c r="V15">
        <v>1</v>
      </c>
      <c r="W15">
        <v>2</v>
      </c>
      <c r="X15">
        <v>0</v>
      </c>
    </row>
    <row r="16" spans="1:24" x14ac:dyDescent="0.25">
      <c r="A16" t="s">
        <v>29</v>
      </c>
      <c r="B16" t="s">
        <v>103</v>
      </c>
      <c r="C16">
        <v>4</v>
      </c>
      <c r="D16">
        <v>4</v>
      </c>
      <c r="E16">
        <v>3</v>
      </c>
      <c r="F16">
        <v>3</v>
      </c>
      <c r="G16">
        <v>3</v>
      </c>
      <c r="H16">
        <v>0</v>
      </c>
      <c r="I16">
        <v>113430</v>
      </c>
      <c r="J16">
        <v>113430</v>
      </c>
      <c r="K16">
        <v>109939</v>
      </c>
      <c r="L16">
        <v>109939</v>
      </c>
      <c r="M16">
        <v>109939</v>
      </c>
      <c r="N16">
        <v>0</v>
      </c>
      <c r="O16">
        <v>4</v>
      </c>
      <c r="P16">
        <v>49136</v>
      </c>
      <c r="Q16">
        <v>113430</v>
      </c>
      <c r="R16">
        <v>30.62</v>
      </c>
      <c r="S16">
        <v>31052</v>
      </c>
      <c r="T16">
        <v>29751</v>
      </c>
      <c r="U16">
        <v>37696.199999999997</v>
      </c>
      <c r="V16">
        <v>2</v>
      </c>
      <c r="W16">
        <v>3</v>
      </c>
      <c r="X16">
        <v>0</v>
      </c>
    </row>
    <row r="17" spans="1:24" x14ac:dyDescent="0.25">
      <c r="A17" t="s">
        <v>30</v>
      </c>
      <c r="B17" t="s">
        <v>102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1707353</v>
      </c>
      <c r="J17">
        <v>1707353</v>
      </c>
      <c r="K17">
        <v>1707353</v>
      </c>
      <c r="L17">
        <v>1707353</v>
      </c>
      <c r="M17">
        <v>1707353</v>
      </c>
      <c r="N17">
        <v>1707353</v>
      </c>
      <c r="O17">
        <v>1</v>
      </c>
      <c r="P17">
        <v>1707353</v>
      </c>
      <c r="Q17">
        <v>1707353</v>
      </c>
      <c r="R17">
        <v>30.26</v>
      </c>
      <c r="S17">
        <v>1707353</v>
      </c>
      <c r="T17">
        <v>1707353</v>
      </c>
      <c r="U17">
        <v>1707353</v>
      </c>
      <c r="V17">
        <v>1</v>
      </c>
      <c r="W17">
        <v>1</v>
      </c>
      <c r="X17">
        <v>0</v>
      </c>
    </row>
    <row r="18" spans="1:24" x14ac:dyDescent="0.25">
      <c r="A18" t="s">
        <v>31</v>
      </c>
      <c r="B18" t="s">
        <v>102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1726165</v>
      </c>
      <c r="J18">
        <v>1726165</v>
      </c>
      <c r="K18">
        <v>1726165</v>
      </c>
      <c r="L18">
        <v>1726165</v>
      </c>
      <c r="M18">
        <v>1726165</v>
      </c>
      <c r="N18">
        <v>1726165</v>
      </c>
      <c r="O18">
        <v>2</v>
      </c>
      <c r="P18">
        <v>1652417</v>
      </c>
      <c r="Q18">
        <v>1726165</v>
      </c>
      <c r="R18">
        <v>30.48</v>
      </c>
      <c r="S18">
        <v>1652417</v>
      </c>
      <c r="T18">
        <v>1652417</v>
      </c>
      <c r="U18">
        <v>1584970.6</v>
      </c>
      <c r="V18">
        <v>1</v>
      </c>
      <c r="W18">
        <v>1</v>
      </c>
      <c r="X18">
        <v>0</v>
      </c>
    </row>
    <row r="19" spans="1:24" x14ac:dyDescent="0.25">
      <c r="A19" t="s">
        <v>32</v>
      </c>
      <c r="B19" t="s">
        <v>102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1760073</v>
      </c>
      <c r="J19">
        <v>1760073</v>
      </c>
      <c r="K19">
        <v>1760073</v>
      </c>
      <c r="L19">
        <v>1760073</v>
      </c>
      <c r="M19">
        <v>1760073</v>
      </c>
      <c r="N19">
        <v>1760073</v>
      </c>
      <c r="O19">
        <v>1</v>
      </c>
      <c r="P19">
        <v>1760073</v>
      </c>
      <c r="Q19">
        <v>1760073</v>
      </c>
      <c r="R19">
        <v>30.24</v>
      </c>
      <c r="S19">
        <v>1760073</v>
      </c>
      <c r="T19">
        <v>1760073</v>
      </c>
      <c r="U19">
        <v>1760073</v>
      </c>
      <c r="V19">
        <v>1</v>
      </c>
      <c r="W19">
        <v>1</v>
      </c>
      <c r="X19">
        <v>0</v>
      </c>
    </row>
    <row r="20" spans="1:24" x14ac:dyDescent="0.25">
      <c r="A20" t="s">
        <v>33</v>
      </c>
      <c r="B20" t="s">
        <v>103</v>
      </c>
      <c r="C20">
        <v>5</v>
      </c>
      <c r="D20">
        <v>5</v>
      </c>
      <c r="E20">
        <v>5</v>
      </c>
      <c r="F20">
        <v>5</v>
      </c>
      <c r="G20">
        <v>5</v>
      </c>
      <c r="H20">
        <v>3</v>
      </c>
      <c r="I20">
        <v>1706987</v>
      </c>
      <c r="J20">
        <v>1706987</v>
      </c>
      <c r="K20">
        <v>1706987</v>
      </c>
      <c r="L20">
        <v>1706987</v>
      </c>
      <c r="M20">
        <v>1706987</v>
      </c>
      <c r="N20">
        <v>1635108</v>
      </c>
      <c r="O20">
        <v>5</v>
      </c>
      <c r="P20">
        <v>1104483</v>
      </c>
      <c r="Q20">
        <v>1706987</v>
      </c>
      <c r="R20">
        <v>30.29</v>
      </c>
      <c r="S20">
        <v>1104483</v>
      </c>
      <c r="T20">
        <v>159989</v>
      </c>
      <c r="U20">
        <v>811740.7</v>
      </c>
      <c r="V20">
        <v>1</v>
      </c>
      <c r="W20">
        <v>3</v>
      </c>
      <c r="X20">
        <v>0</v>
      </c>
    </row>
    <row r="21" spans="1:24" x14ac:dyDescent="0.25">
      <c r="A21" t="s">
        <v>34</v>
      </c>
      <c r="B21" t="s">
        <v>102</v>
      </c>
      <c r="C21">
        <v>9</v>
      </c>
      <c r="D21">
        <v>9</v>
      </c>
      <c r="E21">
        <v>4</v>
      </c>
      <c r="F21">
        <v>4</v>
      </c>
      <c r="G21">
        <v>4</v>
      </c>
      <c r="H21">
        <v>2</v>
      </c>
      <c r="I21">
        <v>1829402</v>
      </c>
      <c r="J21">
        <v>1829402</v>
      </c>
      <c r="K21">
        <v>1820231</v>
      </c>
      <c r="L21">
        <v>1820231</v>
      </c>
      <c r="M21">
        <v>1820231</v>
      </c>
      <c r="N21">
        <v>1750130</v>
      </c>
      <c r="O21">
        <v>9</v>
      </c>
      <c r="P21">
        <v>1663958</v>
      </c>
      <c r="Q21">
        <v>1829402</v>
      </c>
      <c r="R21">
        <v>30.27</v>
      </c>
      <c r="S21">
        <v>1663958</v>
      </c>
      <c r="T21">
        <v>1663958</v>
      </c>
      <c r="U21">
        <v>1518943.6</v>
      </c>
      <c r="V21">
        <v>1</v>
      </c>
      <c r="W21">
        <v>1</v>
      </c>
      <c r="X21">
        <v>0</v>
      </c>
    </row>
    <row r="22" spans="1:24" x14ac:dyDescent="0.25">
      <c r="A22" t="s">
        <v>35</v>
      </c>
      <c r="B22" t="s">
        <v>102</v>
      </c>
      <c r="C22">
        <v>3</v>
      </c>
      <c r="D22">
        <v>3</v>
      </c>
      <c r="E22">
        <v>3</v>
      </c>
      <c r="F22">
        <v>3</v>
      </c>
      <c r="G22">
        <v>3</v>
      </c>
      <c r="H22">
        <v>1</v>
      </c>
      <c r="I22">
        <v>1745406</v>
      </c>
      <c r="J22">
        <v>1745406</v>
      </c>
      <c r="K22">
        <v>1745406</v>
      </c>
      <c r="L22">
        <v>1745406</v>
      </c>
      <c r="M22">
        <v>1745406</v>
      </c>
      <c r="N22">
        <v>1673280</v>
      </c>
      <c r="O22">
        <v>3</v>
      </c>
      <c r="P22">
        <v>1673280</v>
      </c>
      <c r="Q22">
        <v>1745406</v>
      </c>
      <c r="R22">
        <v>30.46</v>
      </c>
      <c r="S22">
        <v>1673280</v>
      </c>
      <c r="T22">
        <v>1673280</v>
      </c>
      <c r="U22">
        <v>1605666</v>
      </c>
      <c r="V22">
        <v>1</v>
      </c>
      <c r="W22">
        <v>1</v>
      </c>
      <c r="X22">
        <v>0</v>
      </c>
    </row>
    <row r="23" spans="1:24" x14ac:dyDescent="0.25">
      <c r="A23" t="s">
        <v>36</v>
      </c>
      <c r="B23" t="s">
        <v>102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1763408</v>
      </c>
      <c r="J23">
        <v>1763408</v>
      </c>
      <c r="K23">
        <v>1763408</v>
      </c>
      <c r="L23">
        <v>1763408</v>
      </c>
      <c r="M23">
        <v>1763408</v>
      </c>
      <c r="N23">
        <v>1763408</v>
      </c>
      <c r="O23">
        <v>1</v>
      </c>
      <c r="P23">
        <v>1763408</v>
      </c>
      <c r="Q23">
        <v>1763408</v>
      </c>
      <c r="R23">
        <v>30.41</v>
      </c>
      <c r="S23">
        <v>1763408</v>
      </c>
      <c r="T23">
        <v>1763408</v>
      </c>
      <c r="U23">
        <v>1763408</v>
      </c>
      <c r="V23">
        <v>1</v>
      </c>
      <c r="W23">
        <v>1</v>
      </c>
      <c r="X23">
        <v>0</v>
      </c>
    </row>
    <row r="24" spans="1:24" x14ac:dyDescent="0.25">
      <c r="A24" t="s">
        <v>37</v>
      </c>
      <c r="B24" t="s">
        <v>102</v>
      </c>
      <c r="C24">
        <v>8</v>
      </c>
      <c r="D24">
        <v>5</v>
      </c>
      <c r="E24">
        <v>3</v>
      </c>
      <c r="F24">
        <v>3</v>
      </c>
      <c r="G24">
        <v>3</v>
      </c>
      <c r="H24">
        <v>3</v>
      </c>
      <c r="I24">
        <v>1717701</v>
      </c>
      <c r="J24">
        <v>1716246</v>
      </c>
      <c r="K24">
        <v>1710677</v>
      </c>
      <c r="L24">
        <v>1710677</v>
      </c>
      <c r="M24">
        <v>1710677</v>
      </c>
      <c r="N24">
        <v>1710677</v>
      </c>
      <c r="O24">
        <v>7</v>
      </c>
      <c r="P24">
        <v>1500473</v>
      </c>
      <c r="Q24">
        <v>1717369</v>
      </c>
      <c r="R24">
        <v>31.38</v>
      </c>
      <c r="S24">
        <v>1500473</v>
      </c>
      <c r="T24">
        <v>136590</v>
      </c>
      <c r="U24">
        <v>1325000.3</v>
      </c>
      <c r="V24">
        <v>1</v>
      </c>
      <c r="W24">
        <v>2</v>
      </c>
      <c r="X24">
        <v>0</v>
      </c>
    </row>
    <row r="25" spans="1:24" x14ac:dyDescent="0.25">
      <c r="A25" t="s">
        <v>38</v>
      </c>
      <c r="B25" t="s">
        <v>102</v>
      </c>
      <c r="C25">
        <v>2</v>
      </c>
      <c r="D25">
        <v>2</v>
      </c>
      <c r="E25">
        <v>2</v>
      </c>
      <c r="F25">
        <v>2</v>
      </c>
      <c r="G25">
        <v>2</v>
      </c>
      <c r="H25">
        <v>1</v>
      </c>
      <c r="I25">
        <v>1746745</v>
      </c>
      <c r="J25">
        <v>1746745</v>
      </c>
      <c r="K25">
        <v>1746745</v>
      </c>
      <c r="L25">
        <v>1746745</v>
      </c>
      <c r="M25">
        <v>1746745</v>
      </c>
      <c r="N25">
        <v>1706894</v>
      </c>
      <c r="O25">
        <v>2</v>
      </c>
      <c r="P25">
        <v>1706894</v>
      </c>
      <c r="Q25">
        <v>1746745</v>
      </c>
      <c r="R25">
        <v>30.43</v>
      </c>
      <c r="S25">
        <v>1706894</v>
      </c>
      <c r="T25">
        <v>1706894</v>
      </c>
      <c r="U25">
        <v>1668861.4</v>
      </c>
      <c r="V25">
        <v>1</v>
      </c>
      <c r="W25">
        <v>1</v>
      </c>
      <c r="X25">
        <v>0</v>
      </c>
    </row>
    <row r="26" spans="1:24" x14ac:dyDescent="0.25">
      <c r="A26" t="s">
        <v>39</v>
      </c>
      <c r="B26" t="s">
        <v>102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1760141</v>
      </c>
      <c r="J26">
        <v>1760141</v>
      </c>
      <c r="K26">
        <v>1760141</v>
      </c>
      <c r="L26">
        <v>1760141</v>
      </c>
      <c r="M26">
        <v>1760141</v>
      </c>
      <c r="N26">
        <v>1732603</v>
      </c>
      <c r="O26">
        <v>2</v>
      </c>
      <c r="P26">
        <v>1732603</v>
      </c>
      <c r="Q26">
        <v>1760141</v>
      </c>
      <c r="R26">
        <v>31.24</v>
      </c>
      <c r="S26">
        <v>1732603</v>
      </c>
      <c r="T26">
        <v>1732603</v>
      </c>
      <c r="U26">
        <v>1705926.7</v>
      </c>
      <c r="V26">
        <v>1</v>
      </c>
      <c r="W26">
        <v>1</v>
      </c>
      <c r="X26">
        <v>0</v>
      </c>
    </row>
    <row r="27" spans="1:24" x14ac:dyDescent="0.25">
      <c r="A27" t="s">
        <v>40</v>
      </c>
      <c r="B27" t="s">
        <v>102</v>
      </c>
      <c r="C27">
        <v>2</v>
      </c>
      <c r="D27">
        <v>2</v>
      </c>
      <c r="E27">
        <v>2</v>
      </c>
      <c r="F27">
        <v>2</v>
      </c>
      <c r="G27">
        <v>2</v>
      </c>
      <c r="H27">
        <v>1</v>
      </c>
      <c r="I27">
        <v>1695943</v>
      </c>
      <c r="J27">
        <v>1695943</v>
      </c>
      <c r="K27">
        <v>1695943</v>
      </c>
      <c r="L27">
        <v>1695943</v>
      </c>
      <c r="M27">
        <v>1695943</v>
      </c>
      <c r="N27">
        <v>1659464</v>
      </c>
      <c r="O27">
        <v>2</v>
      </c>
      <c r="P27">
        <v>1659464</v>
      </c>
      <c r="Q27">
        <v>1695943</v>
      </c>
      <c r="R27">
        <v>31.35</v>
      </c>
      <c r="S27">
        <v>1659464</v>
      </c>
      <c r="T27">
        <v>1659464</v>
      </c>
      <c r="U27">
        <v>1624554.3</v>
      </c>
      <c r="V27">
        <v>1</v>
      </c>
      <c r="W27">
        <v>1</v>
      </c>
      <c r="X27">
        <v>0</v>
      </c>
    </row>
    <row r="28" spans="1:24" x14ac:dyDescent="0.25">
      <c r="A28" t="s">
        <v>41</v>
      </c>
      <c r="B28" t="s">
        <v>103</v>
      </c>
      <c r="C28">
        <v>2</v>
      </c>
      <c r="D28">
        <v>2</v>
      </c>
      <c r="E28">
        <v>2</v>
      </c>
      <c r="F28">
        <v>2</v>
      </c>
      <c r="G28">
        <v>2</v>
      </c>
      <c r="H28">
        <v>1</v>
      </c>
      <c r="I28">
        <v>1740628</v>
      </c>
      <c r="J28">
        <v>1740628</v>
      </c>
      <c r="K28">
        <v>1740628</v>
      </c>
      <c r="L28">
        <v>1740628</v>
      </c>
      <c r="M28">
        <v>1740628</v>
      </c>
      <c r="N28">
        <v>1696963</v>
      </c>
      <c r="O28">
        <v>2</v>
      </c>
      <c r="P28">
        <v>1696963</v>
      </c>
      <c r="Q28">
        <v>1740628</v>
      </c>
      <c r="R28">
        <v>30.45</v>
      </c>
      <c r="S28">
        <v>1696963</v>
      </c>
      <c r="T28">
        <v>1696963</v>
      </c>
      <c r="U28">
        <v>1655488.7</v>
      </c>
      <c r="V28">
        <v>1</v>
      </c>
      <c r="W28">
        <v>1</v>
      </c>
      <c r="X28">
        <v>0</v>
      </c>
    </row>
    <row r="29" spans="1:24" x14ac:dyDescent="0.25">
      <c r="A29" t="s">
        <v>42</v>
      </c>
      <c r="B29" t="s">
        <v>102</v>
      </c>
      <c r="C29">
        <v>2</v>
      </c>
      <c r="D29">
        <v>2</v>
      </c>
      <c r="E29">
        <v>2</v>
      </c>
      <c r="F29">
        <v>2</v>
      </c>
      <c r="G29">
        <v>2</v>
      </c>
      <c r="H29">
        <v>1</v>
      </c>
      <c r="I29">
        <v>1652132</v>
      </c>
      <c r="J29">
        <v>1652132</v>
      </c>
      <c r="K29">
        <v>1652132</v>
      </c>
      <c r="L29">
        <v>1652132</v>
      </c>
      <c r="M29">
        <v>1652132</v>
      </c>
      <c r="N29">
        <v>1625562</v>
      </c>
      <c r="O29">
        <v>2</v>
      </c>
      <c r="P29">
        <v>1625562</v>
      </c>
      <c r="Q29">
        <v>1652132</v>
      </c>
      <c r="R29">
        <v>30.57</v>
      </c>
      <c r="S29">
        <v>1625562</v>
      </c>
      <c r="T29">
        <v>1625562</v>
      </c>
      <c r="U29">
        <v>1599846.6</v>
      </c>
      <c r="V29">
        <v>1</v>
      </c>
      <c r="W29">
        <v>1</v>
      </c>
      <c r="X29">
        <v>0</v>
      </c>
    </row>
    <row r="30" spans="1:24" x14ac:dyDescent="0.25">
      <c r="A30" t="s">
        <v>43</v>
      </c>
      <c r="B30" t="s">
        <v>102</v>
      </c>
      <c r="C30">
        <v>2</v>
      </c>
      <c r="D30">
        <v>2</v>
      </c>
      <c r="E30">
        <v>2</v>
      </c>
      <c r="F30">
        <v>2</v>
      </c>
      <c r="G30">
        <v>2</v>
      </c>
      <c r="H30">
        <v>1</v>
      </c>
      <c r="I30">
        <v>1740493</v>
      </c>
      <c r="J30">
        <v>1740493</v>
      </c>
      <c r="K30">
        <v>1740493</v>
      </c>
      <c r="L30">
        <v>1740493</v>
      </c>
      <c r="M30">
        <v>1740493</v>
      </c>
      <c r="N30">
        <v>1696815</v>
      </c>
      <c r="O30">
        <v>2</v>
      </c>
      <c r="P30">
        <v>1696815</v>
      </c>
      <c r="Q30">
        <v>1740493</v>
      </c>
      <c r="R30">
        <v>30.47</v>
      </c>
      <c r="S30">
        <v>1696815</v>
      </c>
      <c r="T30">
        <v>1696815</v>
      </c>
      <c r="U30">
        <v>1655329.2</v>
      </c>
      <c r="V30">
        <v>1</v>
      </c>
      <c r="W30">
        <v>1</v>
      </c>
      <c r="X30">
        <v>0</v>
      </c>
    </row>
    <row r="31" spans="1:24" x14ac:dyDescent="0.25">
      <c r="A31" t="s">
        <v>44</v>
      </c>
      <c r="B31" t="s">
        <v>102</v>
      </c>
      <c r="C31">
        <v>2</v>
      </c>
      <c r="D31">
        <v>2</v>
      </c>
      <c r="E31">
        <v>2</v>
      </c>
      <c r="F31">
        <v>2</v>
      </c>
      <c r="G31">
        <v>2</v>
      </c>
      <c r="H31">
        <v>1</v>
      </c>
      <c r="I31">
        <v>1665277</v>
      </c>
      <c r="J31">
        <v>1665277</v>
      </c>
      <c r="K31">
        <v>1665277</v>
      </c>
      <c r="L31">
        <v>1665277</v>
      </c>
      <c r="M31">
        <v>1665277</v>
      </c>
      <c r="N31">
        <v>1628718</v>
      </c>
      <c r="O31">
        <v>2</v>
      </c>
      <c r="P31">
        <v>1628718</v>
      </c>
      <c r="Q31">
        <v>1665277</v>
      </c>
      <c r="R31">
        <v>30.4</v>
      </c>
      <c r="S31">
        <v>1628718</v>
      </c>
      <c r="T31">
        <v>1628718</v>
      </c>
      <c r="U31">
        <v>1593764.2</v>
      </c>
      <c r="V31">
        <v>1</v>
      </c>
      <c r="W31">
        <v>1</v>
      </c>
      <c r="X31">
        <v>0</v>
      </c>
    </row>
    <row r="32" spans="1:24" x14ac:dyDescent="0.25">
      <c r="A32" t="s">
        <v>45</v>
      </c>
      <c r="B32" t="s">
        <v>102</v>
      </c>
      <c r="C32">
        <v>2</v>
      </c>
      <c r="D32">
        <v>2</v>
      </c>
      <c r="E32">
        <v>2</v>
      </c>
      <c r="F32">
        <v>2</v>
      </c>
      <c r="G32">
        <v>2</v>
      </c>
      <c r="H32">
        <v>1</v>
      </c>
      <c r="I32">
        <v>1697516</v>
      </c>
      <c r="J32">
        <v>1697516</v>
      </c>
      <c r="K32">
        <v>1697516</v>
      </c>
      <c r="L32">
        <v>1697516</v>
      </c>
      <c r="M32">
        <v>1697516</v>
      </c>
      <c r="N32">
        <v>1661248</v>
      </c>
      <c r="O32">
        <v>2</v>
      </c>
      <c r="P32">
        <v>1661248</v>
      </c>
      <c r="Q32">
        <v>1697516</v>
      </c>
      <c r="R32">
        <v>30.36</v>
      </c>
      <c r="S32">
        <v>1661248</v>
      </c>
      <c r="T32">
        <v>1661248</v>
      </c>
      <c r="U32">
        <v>1626529.8</v>
      </c>
      <c r="V32">
        <v>1</v>
      </c>
      <c r="W32">
        <v>1</v>
      </c>
      <c r="X32">
        <v>0</v>
      </c>
    </row>
    <row r="33" spans="1:24" x14ac:dyDescent="0.25">
      <c r="A33" t="s">
        <v>46</v>
      </c>
      <c r="B33" t="s">
        <v>102</v>
      </c>
      <c r="C33">
        <v>3</v>
      </c>
      <c r="D33">
        <v>3</v>
      </c>
      <c r="E33">
        <v>3</v>
      </c>
      <c r="F33">
        <v>3</v>
      </c>
      <c r="G33">
        <v>3</v>
      </c>
      <c r="H33">
        <v>1</v>
      </c>
      <c r="I33">
        <v>1710393</v>
      </c>
      <c r="J33">
        <v>1710393</v>
      </c>
      <c r="K33">
        <v>1710393</v>
      </c>
      <c r="L33">
        <v>1710393</v>
      </c>
      <c r="M33">
        <v>1710393</v>
      </c>
      <c r="N33">
        <v>1643118</v>
      </c>
      <c r="O33">
        <v>3</v>
      </c>
      <c r="P33">
        <v>1643118</v>
      </c>
      <c r="Q33">
        <v>1710393</v>
      </c>
      <c r="R33">
        <v>30.37</v>
      </c>
      <c r="S33">
        <v>1643118</v>
      </c>
      <c r="T33">
        <v>1643118</v>
      </c>
      <c r="U33">
        <v>1579853.6</v>
      </c>
      <c r="V33">
        <v>1</v>
      </c>
      <c r="W33">
        <v>1</v>
      </c>
      <c r="X33">
        <v>0</v>
      </c>
    </row>
    <row r="34" spans="1:24" x14ac:dyDescent="0.25">
      <c r="A34" t="s">
        <v>47</v>
      </c>
      <c r="B34" t="s">
        <v>103</v>
      </c>
      <c r="C34">
        <v>3</v>
      </c>
      <c r="D34">
        <v>3</v>
      </c>
      <c r="E34">
        <v>3</v>
      </c>
      <c r="F34">
        <v>3</v>
      </c>
      <c r="G34">
        <v>3</v>
      </c>
      <c r="H34">
        <v>1</v>
      </c>
      <c r="I34">
        <v>1835946</v>
      </c>
      <c r="J34">
        <v>1835946</v>
      </c>
      <c r="K34">
        <v>1835946</v>
      </c>
      <c r="L34">
        <v>1835946</v>
      </c>
      <c r="M34">
        <v>1835946</v>
      </c>
      <c r="N34">
        <v>1765670</v>
      </c>
      <c r="O34">
        <v>3</v>
      </c>
      <c r="P34">
        <v>1765670</v>
      </c>
      <c r="Q34">
        <v>1835946</v>
      </c>
      <c r="R34">
        <v>30.32</v>
      </c>
      <c r="S34">
        <v>1765670</v>
      </c>
      <c r="T34">
        <v>1765670</v>
      </c>
      <c r="U34">
        <v>1699462.7</v>
      </c>
      <c r="V34">
        <v>1</v>
      </c>
      <c r="W34">
        <v>1</v>
      </c>
      <c r="X34">
        <v>0</v>
      </c>
    </row>
    <row r="35" spans="1:24" x14ac:dyDescent="0.25">
      <c r="A35" t="s">
        <v>48</v>
      </c>
      <c r="B35" t="s">
        <v>103</v>
      </c>
      <c r="C35">
        <v>3</v>
      </c>
      <c r="D35">
        <v>3</v>
      </c>
      <c r="E35">
        <v>2</v>
      </c>
      <c r="F35">
        <v>2</v>
      </c>
      <c r="G35">
        <v>2</v>
      </c>
      <c r="H35">
        <v>1</v>
      </c>
      <c r="I35">
        <v>1826661</v>
      </c>
      <c r="J35">
        <v>1826661</v>
      </c>
      <c r="K35">
        <v>1821908</v>
      </c>
      <c r="L35">
        <v>1821908</v>
      </c>
      <c r="M35">
        <v>1821908</v>
      </c>
      <c r="N35">
        <v>1776240</v>
      </c>
      <c r="O35">
        <v>3</v>
      </c>
      <c r="P35">
        <v>1776240</v>
      </c>
      <c r="Q35">
        <v>1826661</v>
      </c>
      <c r="R35">
        <v>30.47</v>
      </c>
      <c r="S35">
        <v>1776240</v>
      </c>
      <c r="T35">
        <v>1776240</v>
      </c>
      <c r="U35">
        <v>1728364.9</v>
      </c>
      <c r="V35">
        <v>1</v>
      </c>
      <c r="W35">
        <v>1</v>
      </c>
      <c r="X35">
        <v>0</v>
      </c>
    </row>
    <row r="36" spans="1:24" x14ac:dyDescent="0.25">
      <c r="A36" t="s">
        <v>49</v>
      </c>
      <c r="B36" t="s">
        <v>103</v>
      </c>
      <c r="C36">
        <v>3</v>
      </c>
      <c r="D36">
        <v>3</v>
      </c>
      <c r="E36">
        <v>3</v>
      </c>
      <c r="F36">
        <v>3</v>
      </c>
      <c r="G36">
        <v>2</v>
      </c>
      <c r="H36">
        <v>2</v>
      </c>
      <c r="I36">
        <v>1857628</v>
      </c>
      <c r="J36">
        <v>1857628</v>
      </c>
      <c r="K36">
        <v>1857628</v>
      </c>
      <c r="L36">
        <v>1857628</v>
      </c>
      <c r="M36">
        <v>1841426</v>
      </c>
      <c r="N36">
        <v>1841426</v>
      </c>
      <c r="O36">
        <v>3</v>
      </c>
      <c r="P36">
        <v>1660227</v>
      </c>
      <c r="Q36">
        <v>1857628</v>
      </c>
      <c r="R36">
        <v>30.94</v>
      </c>
      <c r="S36">
        <v>1660227</v>
      </c>
      <c r="T36">
        <v>181199</v>
      </c>
      <c r="U36">
        <v>1501618.9</v>
      </c>
      <c r="V36">
        <v>1</v>
      </c>
      <c r="W36">
        <v>2</v>
      </c>
      <c r="X36">
        <v>0</v>
      </c>
    </row>
    <row r="37" spans="1:24" x14ac:dyDescent="0.25">
      <c r="A37" t="s">
        <v>50</v>
      </c>
      <c r="B37" t="s">
        <v>102</v>
      </c>
      <c r="C37">
        <v>3</v>
      </c>
      <c r="D37">
        <v>3</v>
      </c>
      <c r="E37">
        <v>3</v>
      </c>
      <c r="F37">
        <v>3</v>
      </c>
      <c r="G37">
        <v>3</v>
      </c>
      <c r="H37">
        <v>1</v>
      </c>
      <c r="I37">
        <v>1681176</v>
      </c>
      <c r="J37">
        <v>1681176</v>
      </c>
      <c r="K37">
        <v>1681176</v>
      </c>
      <c r="L37">
        <v>1681176</v>
      </c>
      <c r="M37">
        <v>1681176</v>
      </c>
      <c r="N37">
        <v>1618444</v>
      </c>
      <c r="O37">
        <v>3</v>
      </c>
      <c r="P37">
        <v>1618444</v>
      </c>
      <c r="Q37">
        <v>1681176</v>
      </c>
      <c r="R37">
        <v>30.5</v>
      </c>
      <c r="S37">
        <v>1618444</v>
      </c>
      <c r="T37">
        <v>1618444</v>
      </c>
      <c r="U37">
        <v>1559255.2</v>
      </c>
      <c r="V37">
        <v>1</v>
      </c>
      <c r="W37">
        <v>1</v>
      </c>
      <c r="X37">
        <v>0</v>
      </c>
    </row>
    <row r="38" spans="1:24" x14ac:dyDescent="0.25">
      <c r="A38" t="s">
        <v>51</v>
      </c>
      <c r="B38" t="s">
        <v>102</v>
      </c>
      <c r="C38">
        <v>4</v>
      </c>
      <c r="D38">
        <v>4</v>
      </c>
      <c r="E38">
        <v>4</v>
      </c>
      <c r="F38">
        <v>4</v>
      </c>
      <c r="G38">
        <v>4</v>
      </c>
      <c r="H38">
        <v>2</v>
      </c>
      <c r="I38">
        <v>1708901</v>
      </c>
      <c r="J38">
        <v>1708901</v>
      </c>
      <c r="K38">
        <v>1708901</v>
      </c>
      <c r="L38">
        <v>1708901</v>
      </c>
      <c r="M38">
        <v>1708901</v>
      </c>
      <c r="N38">
        <v>1653427</v>
      </c>
      <c r="O38">
        <v>4</v>
      </c>
      <c r="P38">
        <v>1215015</v>
      </c>
      <c r="Q38">
        <v>1708901</v>
      </c>
      <c r="R38">
        <v>30.47</v>
      </c>
      <c r="S38">
        <v>1215015</v>
      </c>
      <c r="T38">
        <v>438412</v>
      </c>
      <c r="U38">
        <v>977245.6</v>
      </c>
      <c r="V38">
        <v>1</v>
      </c>
      <c r="W38">
        <v>2</v>
      </c>
      <c r="X38">
        <v>0</v>
      </c>
    </row>
    <row r="39" spans="1:24" x14ac:dyDescent="0.25">
      <c r="A39" t="s">
        <v>52</v>
      </c>
      <c r="B39" t="s">
        <v>102</v>
      </c>
      <c r="C39">
        <v>2</v>
      </c>
      <c r="D39">
        <v>2</v>
      </c>
      <c r="E39">
        <v>2</v>
      </c>
      <c r="F39">
        <v>2</v>
      </c>
      <c r="G39">
        <v>2</v>
      </c>
      <c r="H39">
        <v>1</v>
      </c>
      <c r="I39">
        <v>1683914</v>
      </c>
      <c r="J39">
        <v>1683914</v>
      </c>
      <c r="K39">
        <v>1683914</v>
      </c>
      <c r="L39">
        <v>1683914</v>
      </c>
      <c r="M39">
        <v>1683914</v>
      </c>
      <c r="N39">
        <v>1646996</v>
      </c>
      <c r="O39">
        <v>2</v>
      </c>
      <c r="P39">
        <v>1646996</v>
      </c>
      <c r="Q39">
        <v>1683914</v>
      </c>
      <c r="R39">
        <v>31.33</v>
      </c>
      <c r="S39">
        <v>1646996</v>
      </c>
      <c r="T39">
        <v>1646996</v>
      </c>
      <c r="U39">
        <v>1611696.8</v>
      </c>
      <c r="V39">
        <v>1</v>
      </c>
      <c r="W39">
        <v>1</v>
      </c>
      <c r="X39">
        <v>0</v>
      </c>
    </row>
    <row r="40" spans="1:24" x14ac:dyDescent="0.25">
      <c r="A40" t="s">
        <v>53</v>
      </c>
      <c r="B40" t="s">
        <v>102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1700768</v>
      </c>
      <c r="J40">
        <v>1700768</v>
      </c>
      <c r="K40">
        <v>1700768</v>
      </c>
      <c r="L40">
        <v>1700768</v>
      </c>
      <c r="M40">
        <v>1700768</v>
      </c>
      <c r="N40">
        <v>1657092</v>
      </c>
      <c r="O40">
        <v>2</v>
      </c>
      <c r="P40">
        <v>1657092</v>
      </c>
      <c r="Q40">
        <v>1700768</v>
      </c>
      <c r="R40">
        <v>31.39</v>
      </c>
      <c r="S40">
        <v>1657092</v>
      </c>
      <c r="T40">
        <v>1657092</v>
      </c>
      <c r="U40">
        <v>1615659.2</v>
      </c>
      <c r="V40">
        <v>1</v>
      </c>
      <c r="W40">
        <v>1</v>
      </c>
      <c r="X40">
        <v>0</v>
      </c>
    </row>
    <row r="41" spans="1:24" x14ac:dyDescent="0.25">
      <c r="A41" t="s">
        <v>54</v>
      </c>
      <c r="B41" t="s">
        <v>103</v>
      </c>
      <c r="C41">
        <v>10</v>
      </c>
      <c r="D41">
        <v>8</v>
      </c>
      <c r="E41">
        <v>4</v>
      </c>
      <c r="F41">
        <v>4</v>
      </c>
      <c r="G41">
        <v>4</v>
      </c>
      <c r="H41">
        <v>2</v>
      </c>
      <c r="I41">
        <v>1964930</v>
      </c>
      <c r="J41">
        <v>1963404</v>
      </c>
      <c r="K41">
        <v>1951601</v>
      </c>
      <c r="L41">
        <v>1951601</v>
      </c>
      <c r="M41">
        <v>1951601</v>
      </c>
      <c r="N41">
        <v>1887383</v>
      </c>
      <c r="O41">
        <v>10</v>
      </c>
      <c r="P41">
        <v>1816437</v>
      </c>
      <c r="Q41">
        <v>1964930</v>
      </c>
      <c r="R41">
        <v>30.89</v>
      </c>
      <c r="S41">
        <v>1816437</v>
      </c>
      <c r="T41">
        <v>1816437</v>
      </c>
      <c r="U41">
        <v>1682812</v>
      </c>
      <c r="V41">
        <v>1</v>
      </c>
      <c r="W41">
        <v>1</v>
      </c>
      <c r="X41">
        <v>0</v>
      </c>
    </row>
    <row r="42" spans="1:24" x14ac:dyDescent="0.25">
      <c r="A42" t="s">
        <v>55</v>
      </c>
      <c r="B42" t="s">
        <v>103</v>
      </c>
      <c r="C42">
        <v>2</v>
      </c>
      <c r="D42">
        <v>2</v>
      </c>
      <c r="E42">
        <v>2</v>
      </c>
      <c r="F42">
        <v>2</v>
      </c>
      <c r="G42">
        <v>2</v>
      </c>
      <c r="H42">
        <v>1</v>
      </c>
      <c r="I42">
        <v>1711760</v>
      </c>
      <c r="J42">
        <v>1711760</v>
      </c>
      <c r="K42">
        <v>1711760</v>
      </c>
      <c r="L42">
        <v>1711760</v>
      </c>
      <c r="M42">
        <v>1711760</v>
      </c>
      <c r="N42">
        <v>1665482</v>
      </c>
      <c r="O42">
        <v>2</v>
      </c>
      <c r="P42">
        <v>1665482</v>
      </c>
      <c r="Q42">
        <v>1711760</v>
      </c>
      <c r="R42">
        <v>31.36</v>
      </c>
      <c r="S42">
        <v>1665482</v>
      </c>
      <c r="T42">
        <v>1665482</v>
      </c>
      <c r="U42">
        <v>1621706.3</v>
      </c>
      <c r="V42">
        <v>1</v>
      </c>
      <c r="W42">
        <v>1</v>
      </c>
      <c r="X42">
        <v>0</v>
      </c>
    </row>
    <row r="43" spans="1:24" x14ac:dyDescent="0.25">
      <c r="A43" t="s">
        <v>56</v>
      </c>
      <c r="B43" t="s">
        <v>102</v>
      </c>
      <c r="C43">
        <v>5</v>
      </c>
      <c r="D43">
        <v>5</v>
      </c>
      <c r="E43">
        <v>4</v>
      </c>
      <c r="F43">
        <v>4</v>
      </c>
      <c r="G43">
        <v>4</v>
      </c>
      <c r="H43">
        <v>1</v>
      </c>
      <c r="I43">
        <v>1815877</v>
      </c>
      <c r="J43">
        <v>1815877</v>
      </c>
      <c r="K43">
        <v>1814797</v>
      </c>
      <c r="L43">
        <v>1814797</v>
      </c>
      <c r="M43">
        <v>1814797</v>
      </c>
      <c r="N43">
        <v>1691956</v>
      </c>
      <c r="O43">
        <v>5</v>
      </c>
      <c r="P43">
        <v>1691956</v>
      </c>
      <c r="Q43">
        <v>1815877</v>
      </c>
      <c r="R43">
        <v>30.28</v>
      </c>
      <c r="S43">
        <v>1691956</v>
      </c>
      <c r="T43">
        <v>1691956</v>
      </c>
      <c r="U43">
        <v>1579294.7</v>
      </c>
      <c r="V43">
        <v>1</v>
      </c>
      <c r="W43">
        <v>1</v>
      </c>
      <c r="X43">
        <v>0</v>
      </c>
    </row>
    <row r="44" spans="1:24" x14ac:dyDescent="0.25">
      <c r="A44" t="s">
        <v>57</v>
      </c>
      <c r="B44" t="s">
        <v>102</v>
      </c>
      <c r="C44">
        <v>9</v>
      </c>
      <c r="D44">
        <v>9</v>
      </c>
      <c r="E44">
        <v>7</v>
      </c>
      <c r="F44">
        <v>6</v>
      </c>
      <c r="G44">
        <v>6</v>
      </c>
      <c r="H44">
        <v>3</v>
      </c>
      <c r="I44">
        <v>1908262</v>
      </c>
      <c r="J44">
        <v>1908262</v>
      </c>
      <c r="K44">
        <v>1904568</v>
      </c>
      <c r="L44">
        <v>1897931</v>
      </c>
      <c r="M44">
        <v>1897931</v>
      </c>
      <c r="N44">
        <v>1800061</v>
      </c>
      <c r="O44">
        <v>9</v>
      </c>
      <c r="P44">
        <v>1580291</v>
      </c>
      <c r="Q44">
        <v>1908262</v>
      </c>
      <c r="R44">
        <v>31.01</v>
      </c>
      <c r="S44">
        <v>1580291</v>
      </c>
      <c r="T44">
        <v>82972</v>
      </c>
      <c r="U44">
        <v>1323834.3</v>
      </c>
      <c r="V44">
        <v>1</v>
      </c>
      <c r="W44">
        <v>3</v>
      </c>
      <c r="X44">
        <v>0</v>
      </c>
    </row>
    <row r="45" spans="1:24" x14ac:dyDescent="0.25">
      <c r="A45" t="s">
        <v>58</v>
      </c>
      <c r="B45" t="s">
        <v>102</v>
      </c>
      <c r="C45">
        <v>4</v>
      </c>
      <c r="D45">
        <v>4</v>
      </c>
      <c r="E45">
        <v>3</v>
      </c>
      <c r="F45">
        <v>3</v>
      </c>
      <c r="G45">
        <v>3</v>
      </c>
      <c r="H45">
        <v>1</v>
      </c>
      <c r="I45">
        <v>1738569</v>
      </c>
      <c r="J45">
        <v>1738569</v>
      </c>
      <c r="K45">
        <v>1736157</v>
      </c>
      <c r="L45">
        <v>1736157</v>
      </c>
      <c r="M45">
        <v>1736157</v>
      </c>
      <c r="N45">
        <v>1670519</v>
      </c>
      <c r="O45">
        <v>4</v>
      </c>
      <c r="P45">
        <v>1670519</v>
      </c>
      <c r="Q45">
        <v>1738569</v>
      </c>
      <c r="R45">
        <v>31.29</v>
      </c>
      <c r="S45">
        <v>1670519</v>
      </c>
      <c r="T45">
        <v>1670519</v>
      </c>
      <c r="U45">
        <v>1606389.3</v>
      </c>
      <c r="V45">
        <v>1</v>
      </c>
      <c r="W45">
        <v>1</v>
      </c>
      <c r="X45">
        <v>0</v>
      </c>
    </row>
    <row r="46" spans="1:24" x14ac:dyDescent="0.25">
      <c r="A46" t="s">
        <v>59</v>
      </c>
      <c r="B46" t="s">
        <v>102</v>
      </c>
      <c r="C46">
        <v>3</v>
      </c>
      <c r="D46">
        <v>3</v>
      </c>
      <c r="E46">
        <v>3</v>
      </c>
      <c r="F46">
        <v>3</v>
      </c>
      <c r="G46">
        <v>3</v>
      </c>
      <c r="H46">
        <v>1</v>
      </c>
      <c r="I46">
        <v>1706123</v>
      </c>
      <c r="J46">
        <v>1706123</v>
      </c>
      <c r="K46">
        <v>1706123</v>
      </c>
      <c r="L46">
        <v>1706123</v>
      </c>
      <c r="M46">
        <v>1706123</v>
      </c>
      <c r="N46">
        <v>1635967</v>
      </c>
      <c r="O46">
        <v>3</v>
      </c>
      <c r="P46">
        <v>1635967</v>
      </c>
      <c r="Q46">
        <v>1706123</v>
      </c>
      <c r="R46">
        <v>30.4</v>
      </c>
      <c r="S46">
        <v>1635967</v>
      </c>
      <c r="T46">
        <v>1635967</v>
      </c>
      <c r="U46">
        <v>1570196.3</v>
      </c>
      <c r="V46">
        <v>1</v>
      </c>
      <c r="W46">
        <v>1</v>
      </c>
      <c r="X46">
        <v>0</v>
      </c>
    </row>
    <row r="47" spans="1:24" x14ac:dyDescent="0.25">
      <c r="A47" t="s">
        <v>60</v>
      </c>
      <c r="B47" t="s">
        <v>102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1671644</v>
      </c>
      <c r="J47">
        <v>1671644</v>
      </c>
      <c r="K47">
        <v>1671644</v>
      </c>
      <c r="L47">
        <v>1671644</v>
      </c>
      <c r="M47">
        <v>1671644</v>
      </c>
      <c r="N47">
        <v>1671644</v>
      </c>
      <c r="O47">
        <v>1</v>
      </c>
      <c r="P47">
        <v>1671644</v>
      </c>
      <c r="Q47">
        <v>1671644</v>
      </c>
      <c r="R47">
        <v>30.5</v>
      </c>
      <c r="S47">
        <v>1671644</v>
      </c>
      <c r="T47">
        <v>1671644</v>
      </c>
      <c r="U47">
        <v>1671644</v>
      </c>
      <c r="V47">
        <v>1</v>
      </c>
      <c r="W47">
        <v>1</v>
      </c>
      <c r="X47">
        <v>0</v>
      </c>
    </row>
    <row r="48" spans="1:24" x14ac:dyDescent="0.25">
      <c r="A48" t="s">
        <v>61</v>
      </c>
      <c r="B48" t="s">
        <v>102</v>
      </c>
      <c r="C48">
        <v>6</v>
      </c>
      <c r="D48">
        <v>6</v>
      </c>
      <c r="E48">
        <v>6</v>
      </c>
      <c r="F48">
        <v>5</v>
      </c>
      <c r="G48">
        <v>5</v>
      </c>
      <c r="H48">
        <v>5</v>
      </c>
      <c r="I48">
        <v>1667840</v>
      </c>
      <c r="J48">
        <v>1667840</v>
      </c>
      <c r="K48">
        <v>1667840</v>
      </c>
      <c r="L48">
        <v>1661608</v>
      </c>
      <c r="M48">
        <v>1661608</v>
      </c>
      <c r="N48">
        <v>1661608</v>
      </c>
      <c r="O48">
        <v>6</v>
      </c>
      <c r="P48">
        <v>658832</v>
      </c>
      <c r="Q48">
        <v>1667840</v>
      </c>
      <c r="R48">
        <v>30.3</v>
      </c>
      <c r="S48">
        <v>340875</v>
      </c>
      <c r="T48">
        <v>218666</v>
      </c>
      <c r="U48">
        <v>430751.2</v>
      </c>
      <c r="V48">
        <v>2</v>
      </c>
      <c r="W48">
        <v>4</v>
      </c>
      <c r="X48">
        <v>0</v>
      </c>
    </row>
    <row r="49" spans="1:24" x14ac:dyDescent="0.25">
      <c r="A49" t="s">
        <v>62</v>
      </c>
      <c r="B49" t="s">
        <v>102</v>
      </c>
      <c r="C49">
        <v>2</v>
      </c>
      <c r="D49">
        <v>2</v>
      </c>
      <c r="E49">
        <v>2</v>
      </c>
      <c r="F49">
        <v>1</v>
      </c>
      <c r="G49">
        <v>1</v>
      </c>
      <c r="H49">
        <v>1</v>
      </c>
      <c r="I49">
        <v>1588700</v>
      </c>
      <c r="J49">
        <v>1588700</v>
      </c>
      <c r="K49">
        <v>1588700</v>
      </c>
      <c r="L49">
        <v>1583324</v>
      </c>
      <c r="M49">
        <v>1583324</v>
      </c>
      <c r="N49">
        <v>1583324</v>
      </c>
      <c r="O49">
        <v>2</v>
      </c>
      <c r="P49">
        <v>1583324</v>
      </c>
      <c r="Q49">
        <v>1588700</v>
      </c>
      <c r="R49">
        <v>30.48</v>
      </c>
      <c r="S49">
        <v>1583324</v>
      </c>
      <c r="T49">
        <v>1583324</v>
      </c>
      <c r="U49">
        <v>1577984.4</v>
      </c>
      <c r="V49">
        <v>1</v>
      </c>
      <c r="W49">
        <v>1</v>
      </c>
      <c r="X49">
        <v>0</v>
      </c>
    </row>
    <row r="50" spans="1:24" x14ac:dyDescent="0.25">
      <c r="A50" t="s">
        <v>63</v>
      </c>
      <c r="B50" t="s">
        <v>102</v>
      </c>
      <c r="C50">
        <v>4</v>
      </c>
      <c r="D50">
        <v>4</v>
      </c>
      <c r="E50">
        <v>4</v>
      </c>
      <c r="F50">
        <v>3</v>
      </c>
      <c r="G50">
        <v>3</v>
      </c>
      <c r="H50">
        <v>2</v>
      </c>
      <c r="I50">
        <v>1740293</v>
      </c>
      <c r="J50">
        <v>1740293</v>
      </c>
      <c r="K50">
        <v>1740293</v>
      </c>
      <c r="L50">
        <v>1734463</v>
      </c>
      <c r="M50">
        <v>1734463</v>
      </c>
      <c r="N50">
        <v>1688819</v>
      </c>
      <c r="O50">
        <v>4</v>
      </c>
      <c r="P50">
        <v>1565957</v>
      </c>
      <c r="Q50">
        <v>1740293</v>
      </c>
      <c r="R50">
        <v>30.45</v>
      </c>
      <c r="S50">
        <v>1565957</v>
      </c>
      <c r="T50">
        <v>122862</v>
      </c>
      <c r="U50">
        <v>1418975.9</v>
      </c>
      <c r="V50">
        <v>1</v>
      </c>
      <c r="W50">
        <v>2</v>
      </c>
      <c r="X50">
        <v>0</v>
      </c>
    </row>
    <row r="51" spans="1:24" x14ac:dyDescent="0.25">
      <c r="A51" t="s">
        <v>64</v>
      </c>
      <c r="B51" t="s">
        <v>102</v>
      </c>
      <c r="C51">
        <v>15</v>
      </c>
      <c r="D51">
        <v>9</v>
      </c>
      <c r="E51">
        <v>6</v>
      </c>
      <c r="F51">
        <v>5</v>
      </c>
      <c r="G51">
        <v>5</v>
      </c>
      <c r="H51">
        <v>4</v>
      </c>
      <c r="I51">
        <v>1694292</v>
      </c>
      <c r="J51">
        <v>1691384</v>
      </c>
      <c r="K51">
        <v>1687450</v>
      </c>
      <c r="L51">
        <v>1682252</v>
      </c>
      <c r="M51">
        <v>1682252</v>
      </c>
      <c r="N51">
        <v>1648265</v>
      </c>
      <c r="O51">
        <v>11</v>
      </c>
      <c r="P51">
        <v>656124</v>
      </c>
      <c r="Q51">
        <v>1693059</v>
      </c>
      <c r="R51">
        <v>31.28</v>
      </c>
      <c r="S51">
        <v>595705</v>
      </c>
      <c r="T51">
        <v>320685</v>
      </c>
      <c r="U51">
        <v>528705.1</v>
      </c>
      <c r="V51">
        <v>2</v>
      </c>
      <c r="W51">
        <v>3</v>
      </c>
      <c r="X51">
        <v>0</v>
      </c>
    </row>
    <row r="52" spans="1:24" x14ac:dyDescent="0.25">
      <c r="A52" t="s">
        <v>65</v>
      </c>
      <c r="B52" t="s">
        <v>102</v>
      </c>
      <c r="C52">
        <v>3</v>
      </c>
      <c r="D52">
        <v>3</v>
      </c>
      <c r="E52">
        <v>2</v>
      </c>
      <c r="F52">
        <v>2</v>
      </c>
      <c r="G52">
        <v>2</v>
      </c>
      <c r="H52">
        <v>2</v>
      </c>
      <c r="I52">
        <v>1664120</v>
      </c>
      <c r="J52">
        <v>1664120</v>
      </c>
      <c r="K52">
        <v>1661805</v>
      </c>
      <c r="L52">
        <v>1661805</v>
      </c>
      <c r="M52">
        <v>1661805</v>
      </c>
      <c r="N52">
        <v>1661805</v>
      </c>
      <c r="O52">
        <v>3</v>
      </c>
      <c r="P52">
        <v>1540520</v>
      </c>
      <c r="Q52">
        <v>1664120</v>
      </c>
      <c r="R52">
        <v>30.52</v>
      </c>
      <c r="S52">
        <v>1540520</v>
      </c>
      <c r="T52">
        <v>1540520</v>
      </c>
      <c r="U52">
        <v>1434943</v>
      </c>
      <c r="V52">
        <v>1</v>
      </c>
      <c r="W52">
        <v>1</v>
      </c>
      <c r="X52">
        <v>0</v>
      </c>
    </row>
    <row r="53" spans="1:24" x14ac:dyDescent="0.25">
      <c r="A53" t="s">
        <v>66</v>
      </c>
      <c r="B53" t="s">
        <v>102</v>
      </c>
      <c r="C5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1731232</v>
      </c>
      <c r="J53">
        <v>1731232</v>
      </c>
      <c r="K53">
        <v>1731232</v>
      </c>
      <c r="L53">
        <v>1731232</v>
      </c>
      <c r="M53">
        <v>1731232</v>
      </c>
      <c r="N53">
        <v>1703700</v>
      </c>
      <c r="O53">
        <v>2</v>
      </c>
      <c r="P53">
        <v>1703700</v>
      </c>
      <c r="Q53">
        <v>1731232</v>
      </c>
      <c r="R53">
        <v>30.41</v>
      </c>
      <c r="S53">
        <v>1703700</v>
      </c>
      <c r="T53">
        <v>1703700</v>
      </c>
      <c r="U53">
        <v>1677043.7</v>
      </c>
      <c r="V53">
        <v>1</v>
      </c>
      <c r="W53">
        <v>1</v>
      </c>
      <c r="X53">
        <v>0</v>
      </c>
    </row>
    <row r="54" spans="1:24" x14ac:dyDescent="0.25">
      <c r="A54" t="s">
        <v>67</v>
      </c>
      <c r="B54" t="s">
        <v>102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1657839</v>
      </c>
      <c r="J54">
        <v>1657839</v>
      </c>
      <c r="K54">
        <v>1657839</v>
      </c>
      <c r="L54">
        <v>1657839</v>
      </c>
      <c r="M54">
        <v>1657839</v>
      </c>
      <c r="N54">
        <v>1657839</v>
      </c>
      <c r="O54">
        <v>1</v>
      </c>
      <c r="P54">
        <v>1657839</v>
      </c>
      <c r="Q54">
        <v>1657839</v>
      </c>
      <c r="R54">
        <v>30.37</v>
      </c>
      <c r="S54">
        <v>1657839</v>
      </c>
      <c r="T54">
        <v>1657839</v>
      </c>
      <c r="U54">
        <v>1657839</v>
      </c>
      <c r="V54">
        <v>1</v>
      </c>
      <c r="W54">
        <v>1</v>
      </c>
      <c r="X54">
        <v>0</v>
      </c>
    </row>
    <row r="55" spans="1:24" x14ac:dyDescent="0.25">
      <c r="A55" t="s">
        <v>68</v>
      </c>
      <c r="B55" t="s">
        <v>102</v>
      </c>
      <c r="C55">
        <v>2</v>
      </c>
      <c r="D55">
        <v>2</v>
      </c>
      <c r="E55">
        <v>2</v>
      </c>
      <c r="F55">
        <v>2</v>
      </c>
      <c r="G55">
        <v>2</v>
      </c>
      <c r="H55">
        <v>1</v>
      </c>
      <c r="I55">
        <v>1718205</v>
      </c>
      <c r="J55">
        <v>1718205</v>
      </c>
      <c r="K55">
        <v>1718205</v>
      </c>
      <c r="L55">
        <v>1718205</v>
      </c>
      <c r="M55">
        <v>1718205</v>
      </c>
      <c r="N55">
        <v>1682167</v>
      </c>
      <c r="O55">
        <v>2</v>
      </c>
      <c r="P55">
        <v>1682167</v>
      </c>
      <c r="Q55">
        <v>1718205</v>
      </c>
      <c r="R55">
        <v>30.33</v>
      </c>
      <c r="S55">
        <v>1682167</v>
      </c>
      <c r="T55">
        <v>1682167</v>
      </c>
      <c r="U55">
        <v>1647640.7</v>
      </c>
      <c r="V55">
        <v>1</v>
      </c>
      <c r="W55">
        <v>1</v>
      </c>
      <c r="X55">
        <v>0</v>
      </c>
    </row>
    <row r="56" spans="1:24" x14ac:dyDescent="0.25">
      <c r="A56" t="s">
        <v>69</v>
      </c>
      <c r="B56" t="s">
        <v>102</v>
      </c>
      <c r="C56">
        <v>4</v>
      </c>
      <c r="D56">
        <v>4</v>
      </c>
      <c r="E56">
        <v>3</v>
      </c>
      <c r="F56">
        <v>3</v>
      </c>
      <c r="G56">
        <v>3</v>
      </c>
      <c r="H56">
        <v>2</v>
      </c>
      <c r="I56">
        <v>1688879</v>
      </c>
      <c r="J56">
        <v>1688879</v>
      </c>
      <c r="K56">
        <v>1685980</v>
      </c>
      <c r="L56">
        <v>1685980</v>
      </c>
      <c r="M56">
        <v>1685980</v>
      </c>
      <c r="N56">
        <v>1657025</v>
      </c>
      <c r="O56">
        <v>4</v>
      </c>
      <c r="P56">
        <v>889941</v>
      </c>
      <c r="Q56">
        <v>1688879</v>
      </c>
      <c r="R56">
        <v>30.51</v>
      </c>
      <c r="S56">
        <v>889941</v>
      </c>
      <c r="T56">
        <v>767084</v>
      </c>
      <c r="U56">
        <v>817855.9</v>
      </c>
      <c r="V56">
        <v>1</v>
      </c>
      <c r="W56">
        <v>2</v>
      </c>
      <c r="X56">
        <v>0</v>
      </c>
    </row>
    <row r="57" spans="1:24" x14ac:dyDescent="0.25">
      <c r="A57" t="s">
        <v>70</v>
      </c>
      <c r="B57" t="s">
        <v>102</v>
      </c>
      <c r="C57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1654691</v>
      </c>
      <c r="J57">
        <v>1654691</v>
      </c>
      <c r="K57">
        <v>1654691</v>
      </c>
      <c r="L57">
        <v>1654691</v>
      </c>
      <c r="M57">
        <v>1654691</v>
      </c>
      <c r="N57">
        <v>1627146</v>
      </c>
      <c r="O57">
        <v>2</v>
      </c>
      <c r="P57">
        <v>1627146</v>
      </c>
      <c r="Q57">
        <v>1654691</v>
      </c>
      <c r="R57">
        <v>30.52</v>
      </c>
      <c r="S57">
        <v>1627146</v>
      </c>
      <c r="T57">
        <v>1627146</v>
      </c>
      <c r="U57">
        <v>1600518.1</v>
      </c>
      <c r="V57">
        <v>1</v>
      </c>
      <c r="W57">
        <v>1</v>
      </c>
      <c r="X57">
        <v>0</v>
      </c>
    </row>
    <row r="58" spans="1:24" x14ac:dyDescent="0.25">
      <c r="A58" t="s">
        <v>71</v>
      </c>
      <c r="B58" t="s">
        <v>102</v>
      </c>
      <c r="C58">
        <v>3</v>
      </c>
      <c r="D58">
        <v>3</v>
      </c>
      <c r="E58">
        <v>3</v>
      </c>
      <c r="F58">
        <v>3</v>
      </c>
      <c r="G58">
        <v>3</v>
      </c>
      <c r="H58">
        <v>1</v>
      </c>
      <c r="I58">
        <v>1693679</v>
      </c>
      <c r="J58">
        <v>1693679</v>
      </c>
      <c r="K58">
        <v>1693679</v>
      </c>
      <c r="L58">
        <v>1693679</v>
      </c>
      <c r="M58">
        <v>1693679</v>
      </c>
      <c r="N58">
        <v>1628707</v>
      </c>
      <c r="O58">
        <v>3</v>
      </c>
      <c r="P58">
        <v>1628707</v>
      </c>
      <c r="Q58">
        <v>1693679</v>
      </c>
      <c r="R58">
        <v>30.36</v>
      </c>
      <c r="S58">
        <v>1628707</v>
      </c>
      <c r="T58">
        <v>1628707</v>
      </c>
      <c r="U58">
        <v>1567496.9</v>
      </c>
      <c r="V58">
        <v>1</v>
      </c>
      <c r="W58">
        <v>1</v>
      </c>
      <c r="X58">
        <v>0</v>
      </c>
    </row>
    <row r="59" spans="1:24" x14ac:dyDescent="0.25">
      <c r="A59" t="s">
        <v>72</v>
      </c>
      <c r="B59" t="s">
        <v>102</v>
      </c>
      <c r="C59">
        <v>3</v>
      </c>
      <c r="D59">
        <v>3</v>
      </c>
      <c r="E59">
        <v>3</v>
      </c>
      <c r="F59">
        <v>3</v>
      </c>
      <c r="G59">
        <v>3</v>
      </c>
      <c r="H59">
        <v>1</v>
      </c>
      <c r="I59">
        <v>1731448</v>
      </c>
      <c r="J59">
        <v>1731448</v>
      </c>
      <c r="K59">
        <v>1731448</v>
      </c>
      <c r="L59">
        <v>1731448</v>
      </c>
      <c r="M59">
        <v>1731448</v>
      </c>
      <c r="N59">
        <v>1666841</v>
      </c>
      <c r="O59">
        <v>3</v>
      </c>
      <c r="P59">
        <v>1666841</v>
      </c>
      <c r="Q59">
        <v>1731448</v>
      </c>
      <c r="R59">
        <v>30.35</v>
      </c>
      <c r="S59">
        <v>1666841</v>
      </c>
      <c r="T59">
        <v>1666841</v>
      </c>
      <c r="U59">
        <v>1605871</v>
      </c>
      <c r="V59">
        <v>1</v>
      </c>
      <c r="W59">
        <v>1</v>
      </c>
      <c r="X59">
        <v>0</v>
      </c>
    </row>
    <row r="60" spans="1:24" x14ac:dyDescent="0.25">
      <c r="A60" t="s">
        <v>73</v>
      </c>
      <c r="B60" t="s">
        <v>102</v>
      </c>
      <c r="C60">
        <v>4</v>
      </c>
      <c r="D60">
        <v>4</v>
      </c>
      <c r="E60">
        <v>4</v>
      </c>
      <c r="F60">
        <v>4</v>
      </c>
      <c r="G60">
        <v>4</v>
      </c>
      <c r="H60">
        <v>1</v>
      </c>
      <c r="I60">
        <v>1818265</v>
      </c>
      <c r="J60">
        <v>1818265</v>
      </c>
      <c r="K60">
        <v>1818265</v>
      </c>
      <c r="L60">
        <v>1818265</v>
      </c>
      <c r="M60">
        <v>1818265</v>
      </c>
      <c r="N60">
        <v>1715895</v>
      </c>
      <c r="O60">
        <v>4</v>
      </c>
      <c r="P60">
        <v>1715895</v>
      </c>
      <c r="Q60">
        <v>1818265</v>
      </c>
      <c r="R60">
        <v>30.18</v>
      </c>
      <c r="S60">
        <v>1715895</v>
      </c>
      <c r="T60">
        <v>1715895</v>
      </c>
      <c r="U60">
        <v>1621241.1</v>
      </c>
      <c r="V60">
        <v>1</v>
      </c>
      <c r="W60">
        <v>1</v>
      </c>
      <c r="X60">
        <v>0</v>
      </c>
    </row>
    <row r="61" spans="1:24" x14ac:dyDescent="0.25">
      <c r="A61" t="s">
        <v>74</v>
      </c>
      <c r="B61" t="s">
        <v>102</v>
      </c>
      <c r="C61">
        <v>2</v>
      </c>
      <c r="D61">
        <v>2</v>
      </c>
      <c r="E61">
        <v>1</v>
      </c>
      <c r="F61">
        <v>1</v>
      </c>
      <c r="G61">
        <v>1</v>
      </c>
      <c r="H61">
        <v>1</v>
      </c>
      <c r="I61">
        <v>1735833</v>
      </c>
      <c r="J61">
        <v>1735833</v>
      </c>
      <c r="K61">
        <v>1733115</v>
      </c>
      <c r="L61">
        <v>1733115</v>
      </c>
      <c r="M61">
        <v>1733115</v>
      </c>
      <c r="N61">
        <v>1733115</v>
      </c>
      <c r="O61">
        <v>2</v>
      </c>
      <c r="P61">
        <v>1733115</v>
      </c>
      <c r="Q61">
        <v>1735833</v>
      </c>
      <c r="R61">
        <v>31.3</v>
      </c>
      <c r="S61">
        <v>1733115</v>
      </c>
      <c r="T61">
        <v>1733115</v>
      </c>
      <c r="U61">
        <v>1730405.5</v>
      </c>
      <c r="V61">
        <v>1</v>
      </c>
      <c r="W61">
        <v>1</v>
      </c>
      <c r="X61">
        <v>0</v>
      </c>
    </row>
    <row r="62" spans="1:24" x14ac:dyDescent="0.25">
      <c r="A62" t="s">
        <v>75</v>
      </c>
      <c r="B62" t="s">
        <v>102</v>
      </c>
      <c r="C62">
        <v>2</v>
      </c>
      <c r="D62">
        <v>2</v>
      </c>
      <c r="E62">
        <v>2</v>
      </c>
      <c r="F62">
        <v>2</v>
      </c>
      <c r="G62">
        <v>2</v>
      </c>
      <c r="H62">
        <v>1</v>
      </c>
      <c r="I62">
        <v>1664615</v>
      </c>
      <c r="J62">
        <v>1664615</v>
      </c>
      <c r="K62">
        <v>1664615</v>
      </c>
      <c r="L62">
        <v>1664615</v>
      </c>
      <c r="M62">
        <v>1664615</v>
      </c>
      <c r="N62">
        <v>1624438</v>
      </c>
      <c r="O62">
        <v>2</v>
      </c>
      <c r="P62">
        <v>1624438</v>
      </c>
      <c r="Q62">
        <v>1664615</v>
      </c>
      <c r="R62">
        <v>30.53</v>
      </c>
      <c r="S62">
        <v>1624438</v>
      </c>
      <c r="T62">
        <v>1624438</v>
      </c>
      <c r="U62">
        <v>1586200.4</v>
      </c>
      <c r="V62">
        <v>1</v>
      </c>
      <c r="W62">
        <v>1</v>
      </c>
      <c r="X62">
        <v>0</v>
      </c>
    </row>
    <row r="63" spans="1:24" x14ac:dyDescent="0.25">
      <c r="A63" t="s">
        <v>76</v>
      </c>
      <c r="B63" t="s">
        <v>102</v>
      </c>
      <c r="C63">
        <v>3</v>
      </c>
      <c r="D63">
        <v>3</v>
      </c>
      <c r="E63">
        <v>3</v>
      </c>
      <c r="F63">
        <v>3</v>
      </c>
      <c r="G63">
        <v>3</v>
      </c>
      <c r="H63">
        <v>1</v>
      </c>
      <c r="I63">
        <v>1733855</v>
      </c>
      <c r="J63">
        <v>1733855</v>
      </c>
      <c r="K63">
        <v>1733855</v>
      </c>
      <c r="L63">
        <v>1733855</v>
      </c>
      <c r="M63">
        <v>1733855</v>
      </c>
      <c r="N63">
        <v>1657285</v>
      </c>
      <c r="O63">
        <v>3</v>
      </c>
      <c r="P63">
        <v>1657285</v>
      </c>
      <c r="Q63">
        <v>1733855</v>
      </c>
      <c r="R63">
        <v>31.24</v>
      </c>
      <c r="S63">
        <v>1657285</v>
      </c>
      <c r="T63">
        <v>1657285</v>
      </c>
      <c r="U63">
        <v>1585801.7</v>
      </c>
      <c r="V63">
        <v>1</v>
      </c>
      <c r="W63">
        <v>1</v>
      </c>
      <c r="X63">
        <v>0</v>
      </c>
    </row>
    <row r="64" spans="1:24" x14ac:dyDescent="0.25">
      <c r="A64" t="s">
        <v>77</v>
      </c>
      <c r="B64" t="s">
        <v>102</v>
      </c>
      <c r="C64">
        <v>4</v>
      </c>
      <c r="D64">
        <v>4</v>
      </c>
      <c r="E64">
        <v>3</v>
      </c>
      <c r="F64">
        <v>3</v>
      </c>
      <c r="G64">
        <v>3</v>
      </c>
      <c r="H64">
        <v>1</v>
      </c>
      <c r="I64">
        <v>1740194</v>
      </c>
      <c r="J64">
        <v>1740194</v>
      </c>
      <c r="K64">
        <v>1738465</v>
      </c>
      <c r="L64">
        <v>1738465</v>
      </c>
      <c r="M64">
        <v>1738465</v>
      </c>
      <c r="N64">
        <v>1664602</v>
      </c>
      <c r="O64">
        <v>4</v>
      </c>
      <c r="P64">
        <v>1664602</v>
      </c>
      <c r="Q64">
        <v>1740194</v>
      </c>
      <c r="R64">
        <v>31.23</v>
      </c>
      <c r="S64">
        <v>1664602</v>
      </c>
      <c r="T64">
        <v>1664602</v>
      </c>
      <c r="U64">
        <v>1593868.5</v>
      </c>
      <c r="V64">
        <v>1</v>
      </c>
      <c r="W64">
        <v>1</v>
      </c>
      <c r="X64">
        <v>0</v>
      </c>
    </row>
    <row r="65" spans="1:24" x14ac:dyDescent="0.25">
      <c r="A65" t="s">
        <v>78</v>
      </c>
      <c r="B65" t="s">
        <v>102</v>
      </c>
      <c r="C65">
        <v>4</v>
      </c>
      <c r="D65">
        <v>4</v>
      </c>
      <c r="E65">
        <v>4</v>
      </c>
      <c r="F65">
        <v>4</v>
      </c>
      <c r="G65">
        <v>4</v>
      </c>
      <c r="H65">
        <v>1</v>
      </c>
      <c r="I65">
        <v>1855175</v>
      </c>
      <c r="J65">
        <v>1855175</v>
      </c>
      <c r="K65">
        <v>1855175</v>
      </c>
      <c r="L65">
        <v>1855175</v>
      </c>
      <c r="M65">
        <v>1855175</v>
      </c>
      <c r="N65">
        <v>1755060</v>
      </c>
      <c r="O65">
        <v>4</v>
      </c>
      <c r="P65">
        <v>1755060</v>
      </c>
      <c r="Q65">
        <v>1855175</v>
      </c>
      <c r="R65">
        <v>31.18</v>
      </c>
      <c r="S65">
        <v>1755060</v>
      </c>
      <c r="T65">
        <v>1755060</v>
      </c>
      <c r="U65">
        <v>1662201.2</v>
      </c>
      <c r="V65">
        <v>1</v>
      </c>
      <c r="W65">
        <v>1</v>
      </c>
      <c r="X6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B7503D-CCEA-47EB-8540-D6CD858EF5C9}"/>
</file>

<file path=customXml/itemProps2.xml><?xml version="1.0" encoding="utf-8"?>
<ds:datastoreItem xmlns:ds="http://schemas.openxmlformats.org/officeDocument/2006/customXml" ds:itemID="{FAA21CB0-B118-4E44-976E-2C667696E7AC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3.xml><?xml version="1.0" encoding="utf-8"?>
<ds:datastoreItem xmlns:ds="http://schemas.openxmlformats.org/officeDocument/2006/customXml" ds:itemID="{8D3F1039-363D-4E34-99F9-B7E4E3086B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Nanoplot_results</vt:lpstr>
      <vt:lpstr>Quast_results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Aline Parolin Calarga</dc:creator>
  <cp:keywords/>
  <dc:description/>
  <cp:lastModifiedBy>Aline Parolin Calarga</cp:lastModifiedBy>
  <cp:revision/>
  <dcterms:created xsi:type="dcterms:W3CDTF">2025-08-01T10:43:53Z</dcterms:created>
  <dcterms:modified xsi:type="dcterms:W3CDTF">2025-10-29T08:12:49Z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  <property fmtid="{D5CDD505-2E9C-101B-9397-08002B2CF9AE}" pid="4" name="MSIP_Label_bd9e4d68-54d0-40a5-8c9a-85a36c87352c_Enabled">
    <vt:lpwstr>true</vt:lpwstr>
  </property>
  <property fmtid="{D5CDD505-2E9C-101B-9397-08002B2CF9AE}" pid="5" name="MSIP_Label_bd9e4d68-54d0-40a5-8c9a-85a36c87352c_SetDate">
    <vt:lpwstr>2025-10-16T01:22:51Z</vt:lpwstr>
  </property>
  <property fmtid="{D5CDD505-2E9C-101B-9397-08002B2CF9AE}" pid="6" name="MSIP_Label_bd9e4d68-54d0-40a5-8c9a-85a36c87352c_Method">
    <vt:lpwstr>Standard</vt:lpwstr>
  </property>
  <property fmtid="{D5CDD505-2E9C-101B-9397-08002B2CF9AE}" pid="7" name="MSIP_Label_bd9e4d68-54d0-40a5-8c9a-85a36c87352c_Name">
    <vt:lpwstr>Unclassified</vt:lpwstr>
  </property>
  <property fmtid="{D5CDD505-2E9C-101B-9397-08002B2CF9AE}" pid="8" name="MSIP_Label_bd9e4d68-54d0-40a5-8c9a-85a36c87352c_SiteId">
    <vt:lpwstr>388728e1-bbd0-4378-98dc-f8682e644300</vt:lpwstr>
  </property>
  <property fmtid="{D5CDD505-2E9C-101B-9397-08002B2CF9AE}" pid="9" name="MSIP_Label_bd9e4d68-54d0-40a5-8c9a-85a36c87352c_ActionId">
    <vt:lpwstr>9c6bea52-7f55-4687-a0c7-613fd9b13277</vt:lpwstr>
  </property>
  <property fmtid="{D5CDD505-2E9C-101B-9397-08002B2CF9AE}" pid="10" name="MSIP_Label_bd9e4d68-54d0-40a5-8c9a-85a36c87352c_ContentBits">
    <vt:lpwstr>0</vt:lpwstr>
  </property>
  <property fmtid="{D5CDD505-2E9C-101B-9397-08002B2CF9AE}" pid="11" name="MSIP_Label_bd9e4d68-54d0-40a5-8c9a-85a36c87352c_Tag">
    <vt:lpwstr>10, 3, 0, 2</vt:lpwstr>
  </property>
</Properties>
</file>