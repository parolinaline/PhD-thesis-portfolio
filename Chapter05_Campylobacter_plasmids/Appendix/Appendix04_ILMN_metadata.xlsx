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Appendix/"/>
    </mc:Choice>
  </mc:AlternateContent>
  <xr:revisionPtr revIDLastSave="1420" documentId="13_ncr:1_{2E4E2978-847A-4ED3-A5A1-B25FE4FE8C11}" xr6:coauthVersionLast="47" xr6:coauthVersionMax="47" xr10:uidLastSave="{7865D925-7B30-4E09-9454-D2D3523ED1E2}"/>
  <bookViews>
    <workbookView xWindow="-24120" yWindow="-840" windowWidth="24240" windowHeight="17520" xr2:uid="{704F0603-2400-41F4-A44C-EE9A72C5778F}"/>
  </bookViews>
  <sheets>
    <sheet name="Illumina_contigs_selected" sheetId="9" r:id="rId1"/>
    <sheet name="metadata" sheetId="5" r:id="rId2"/>
  </sheets>
  <externalReferences>
    <externalReference r:id="rId3"/>
  </externalReferences>
  <definedNames>
    <definedName name="_xlnm._FilterDatabase" localSheetId="0" hidden="1">Illumina_contigs_selected!$H$1:$H$177</definedName>
    <definedName name="_xlnm._FilterDatabase" localSheetId="1" hidden="1">metadata!$D$1:$D$65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9" l="1"/>
  <c r="F76" i="9"/>
  <c r="F79" i="9"/>
  <c r="F82" i="9"/>
  <c r="F86" i="9"/>
  <c r="F106" i="9"/>
  <c r="F107" i="9"/>
  <c r="F120" i="9"/>
  <c r="F129" i="9"/>
  <c r="F132" i="9"/>
  <c r="F136" i="9"/>
  <c r="F138" i="9"/>
  <c r="F141" i="9"/>
  <c r="F142" i="9"/>
  <c r="F151" i="9"/>
  <c r="F152" i="9"/>
  <c r="F165" i="9"/>
  <c r="F175" i="9"/>
  <c r="F45" i="9"/>
</calcChain>
</file>

<file path=xl/sharedStrings.xml><?xml version="1.0" encoding="utf-8"?>
<sst xmlns="http://schemas.openxmlformats.org/spreadsheetml/2006/main" count="1279" uniqueCount="302">
  <si>
    <t>ID</t>
  </si>
  <si>
    <t>Species</t>
  </si>
  <si>
    <t>ST</t>
  </si>
  <si>
    <t>CC</t>
  </si>
  <si>
    <t>SC0014</t>
  </si>
  <si>
    <t>R10</t>
  </si>
  <si>
    <t>M04_R59_S03_V01</t>
  </si>
  <si>
    <t>M10_R10_S02_V02</t>
  </si>
  <si>
    <t>SC0058</t>
  </si>
  <si>
    <t>SC0082</t>
  </si>
  <si>
    <t>SC0083</t>
  </si>
  <si>
    <t>SC0084</t>
  </si>
  <si>
    <t>SC0088</t>
  </si>
  <si>
    <t>M05_R02_S01_V03</t>
  </si>
  <si>
    <t>SC0089</t>
  </si>
  <si>
    <t>R36</t>
  </si>
  <si>
    <t>SC0134</t>
  </si>
  <si>
    <t>R59</t>
  </si>
  <si>
    <t>SC0158</t>
  </si>
  <si>
    <t>SC0212</t>
  </si>
  <si>
    <t>SC0222</t>
  </si>
  <si>
    <t>SC0250</t>
  </si>
  <si>
    <t>R04</t>
  </si>
  <si>
    <t>SC0354</t>
  </si>
  <si>
    <t>SC0388</t>
  </si>
  <si>
    <t>SC0391</t>
  </si>
  <si>
    <t>SC0417</t>
  </si>
  <si>
    <t>SC0436</t>
  </si>
  <si>
    <t>SC0567</t>
  </si>
  <si>
    <t>SC0580</t>
  </si>
  <si>
    <t>SC0583</t>
  </si>
  <si>
    <t>SC0592</t>
  </si>
  <si>
    <t>SC0600</t>
  </si>
  <si>
    <t>SC0650</t>
  </si>
  <si>
    <t>SC0682</t>
  </si>
  <si>
    <t>SC0733</t>
  </si>
  <si>
    <t>SC0841</t>
  </si>
  <si>
    <t>SC0853</t>
  </si>
  <si>
    <t>SC0909</t>
  </si>
  <si>
    <t>SC0941</t>
  </si>
  <si>
    <t>R15</t>
  </si>
  <si>
    <t>R10_S02</t>
  </si>
  <si>
    <t>SC0947</t>
  </si>
  <si>
    <t>SC0963</t>
  </si>
  <si>
    <t>SC0987</t>
  </si>
  <si>
    <t>SC1065</t>
  </si>
  <si>
    <t>SC1210</t>
  </si>
  <si>
    <t>SC1272</t>
  </si>
  <si>
    <t>R11</t>
  </si>
  <si>
    <t>SC1320</t>
  </si>
  <si>
    <t>SC1380</t>
  </si>
  <si>
    <t>SC1437</t>
  </si>
  <si>
    <t>SC1521</t>
  </si>
  <si>
    <t>SC1586</t>
  </si>
  <si>
    <t>SC1597</t>
  </si>
  <si>
    <t>SC1620</t>
  </si>
  <si>
    <t>SC1622</t>
  </si>
  <si>
    <t>SC1667</t>
  </si>
  <si>
    <t>SC1689</t>
  </si>
  <si>
    <t>SC1704</t>
  </si>
  <si>
    <t>SC1706</t>
  </si>
  <si>
    <t>SC1707</t>
  </si>
  <si>
    <t>SC1718</t>
  </si>
  <si>
    <t>Host</t>
  </si>
  <si>
    <t>SC0001</t>
  </si>
  <si>
    <t>coli</t>
  </si>
  <si>
    <t>SC0017</t>
  </si>
  <si>
    <t>jejuni</t>
  </si>
  <si>
    <t>SC0028</t>
  </si>
  <si>
    <t>SC0031</t>
  </si>
  <si>
    <t>SC0037</t>
  </si>
  <si>
    <t>SC0109</t>
  </si>
  <si>
    <t>SC0119</t>
  </si>
  <si>
    <t>SC0154</t>
  </si>
  <si>
    <t>SC0199</t>
  </si>
  <si>
    <t>SC0203</t>
  </si>
  <si>
    <t>SC0227</t>
  </si>
  <si>
    <t>SC1235</t>
  </si>
  <si>
    <t>SC1268</t>
  </si>
  <si>
    <t>SC1426</t>
  </si>
  <si>
    <t>SC1449</t>
  </si>
  <si>
    <t>Human</t>
  </si>
  <si>
    <t>Ovine</t>
  </si>
  <si>
    <t>Poultry</t>
  </si>
  <si>
    <t>Bovine</t>
  </si>
  <si>
    <t>NA</t>
  </si>
  <si>
    <t>Contig</t>
  </si>
  <si>
    <t>Contig length</t>
  </si>
  <si>
    <t>Contig_64_48.7672</t>
  </si>
  <si>
    <t>Contig_58_85.4885</t>
  </si>
  <si>
    <t>Contig_36_17.7661</t>
  </si>
  <si>
    <t>Contig_14_52.2512</t>
  </si>
  <si>
    <t>R59_S3_V1</t>
  </si>
  <si>
    <t>Contig_31_24.3716</t>
  </si>
  <si>
    <t>Contig_3_39.3325</t>
  </si>
  <si>
    <t>Contig_23_33.4972</t>
  </si>
  <si>
    <t>Contig_3_85.8592</t>
  </si>
  <si>
    <t>Contig_15_101.4</t>
  </si>
  <si>
    <t>Contig_1_743.574_Circ</t>
  </si>
  <si>
    <t>Contig_70_105.234</t>
  </si>
  <si>
    <t>Contig_10_143.042</t>
  </si>
  <si>
    <t>Contig_8_78.4752</t>
  </si>
  <si>
    <t>Contig_79_48.3911</t>
  </si>
  <si>
    <t>Contig_8_81.9654</t>
  </si>
  <si>
    <t>Contig_49_66.8757</t>
  </si>
  <si>
    <t>Contig_24_86.2412</t>
  </si>
  <si>
    <t>Contig_51_38.943</t>
  </si>
  <si>
    <t>Contig_5_28.0036</t>
  </si>
  <si>
    <t>Contig_36_96.6887</t>
  </si>
  <si>
    <t>Contig_31_31.5163</t>
  </si>
  <si>
    <t>Contig_59_59.1835</t>
  </si>
  <si>
    <t>Contig_44_20.5145</t>
  </si>
  <si>
    <t>Contig_35_45.6001</t>
  </si>
  <si>
    <t>Contig_12_100.33</t>
  </si>
  <si>
    <t>Contig_1_5239.02_Circ</t>
  </si>
  <si>
    <t>Contig_7_71.0238</t>
  </si>
  <si>
    <t>Contig_5_83.7768</t>
  </si>
  <si>
    <t>Contig_2_118.586_Circ</t>
  </si>
  <si>
    <t>Contig_15_48.6728</t>
  </si>
  <si>
    <t>Contig_10_53.222</t>
  </si>
  <si>
    <t>Contig_1_6602.5_Circ</t>
  </si>
  <si>
    <t>Contig_60_21.6295</t>
  </si>
  <si>
    <t>Contig_57_21.6088</t>
  </si>
  <si>
    <t>Contig_52_19.9836</t>
  </si>
  <si>
    <t>Contig_1_133.121_Circ</t>
  </si>
  <si>
    <t>Contig_43_26.3835</t>
  </si>
  <si>
    <t>Contig_25_55.02</t>
  </si>
  <si>
    <t>Contig_37_99.042</t>
  </si>
  <si>
    <t>Contig_17_32.4899</t>
  </si>
  <si>
    <t>Contig_1_161.214</t>
  </si>
  <si>
    <t>Contig_91_124.426</t>
  </si>
  <si>
    <t>Contig_72_20.6101</t>
  </si>
  <si>
    <t>Contig_58_40.56</t>
  </si>
  <si>
    <t>Contig_46_22.8015</t>
  </si>
  <si>
    <t>Contig_40_61.1293</t>
  </si>
  <si>
    <t>Contig_2_21.1964</t>
  </si>
  <si>
    <t>Contig_13_27.1236</t>
  </si>
  <si>
    <t>Contig_44_10.8982</t>
  </si>
  <si>
    <t>Contig_3_21.6629</t>
  </si>
  <si>
    <t>Contig_70_148.931</t>
  </si>
  <si>
    <t>Contig_41_159.928</t>
  </si>
  <si>
    <t>Contig_26_147.528</t>
  </si>
  <si>
    <t>Contig_36_41.2077</t>
  </si>
  <si>
    <t>M10</t>
  </si>
  <si>
    <t>Contig_16_164.307</t>
  </si>
  <si>
    <t>Contig_1_356.027_Circ</t>
  </si>
  <si>
    <t>Contig_1_91.0205_Circ</t>
  </si>
  <si>
    <t>Contig_55_59.9127</t>
  </si>
  <si>
    <t>Contig_45_16.6781</t>
  </si>
  <si>
    <t>Contig_37_24.2542</t>
  </si>
  <si>
    <t>Contig_7_101.004</t>
  </si>
  <si>
    <t>Contig_6_124.211</t>
  </si>
  <si>
    <t>Contig_84_17.9442</t>
  </si>
  <si>
    <t>Contig_61_29.0742</t>
  </si>
  <si>
    <t>Contig_38_204.118</t>
  </si>
  <si>
    <t>Contig_32_25.0781</t>
  </si>
  <si>
    <t>Contig_25_135.174</t>
  </si>
  <si>
    <t>Contig_123_48.8165</t>
  </si>
  <si>
    <t>Contig_112_37.9311</t>
  </si>
  <si>
    <t>Contig_1_10315.2_Circ</t>
  </si>
  <si>
    <t>Contig_30_30.328</t>
  </si>
  <si>
    <t>Contig_56_48.7027</t>
  </si>
  <si>
    <t>Contig_36_83.2107</t>
  </si>
  <si>
    <t>Contig_32_43.688</t>
  </si>
  <si>
    <t>Contig_25_50.2212</t>
  </si>
  <si>
    <t>Contig_8_78.0935</t>
  </si>
  <si>
    <t>Contig_57_39.4475</t>
  </si>
  <si>
    <t>Contig_38_37.4931</t>
  </si>
  <si>
    <t>Contig_2_5043.07_Circ</t>
  </si>
  <si>
    <t>Contig_18_162.506</t>
  </si>
  <si>
    <t>Contig_13_130.409</t>
  </si>
  <si>
    <t>Contig_1_55.8623_Circ</t>
  </si>
  <si>
    <t>Contig_7_50.5764</t>
  </si>
  <si>
    <t>Contig_30_147.344</t>
  </si>
  <si>
    <t>Contig_20_99.5089</t>
  </si>
  <si>
    <t>Contig_1_5516.09_Circ</t>
  </si>
  <si>
    <t>Contig_4_101.851</t>
  </si>
  <si>
    <t>Contig_1_252.002_Circ</t>
  </si>
  <si>
    <t>Contig_12_14.4108</t>
  </si>
  <si>
    <t>Contig_1_9549.44_Circ</t>
  </si>
  <si>
    <t>Contig_1_119.905_Circ</t>
  </si>
  <si>
    <t>Contig_59_47.0051</t>
  </si>
  <si>
    <t>Contig_14_135.325</t>
  </si>
  <si>
    <t>Contig_22_92.0475</t>
  </si>
  <si>
    <t>Contig_25_55.1928</t>
  </si>
  <si>
    <t>Contig_12_72.1112</t>
  </si>
  <si>
    <t>Contig_1_153.278_Circ</t>
  </si>
  <si>
    <t>Contig_1_166.608_Circ</t>
  </si>
  <si>
    <t>Contig_20_182.313</t>
  </si>
  <si>
    <t>Contig_13_82.4048</t>
  </si>
  <si>
    <t>Contig_42_141.654</t>
  </si>
  <si>
    <t>Contig_34_81.9289</t>
  </si>
  <si>
    <t>Contig_2_180.468</t>
  </si>
  <si>
    <t>Contig_6_81.257</t>
  </si>
  <si>
    <t>Contig_34_85.4581</t>
  </si>
  <si>
    <t>Contig_17_66.5682</t>
  </si>
  <si>
    <t>Contig_14_122.532</t>
  </si>
  <si>
    <t>Contig_11_101.557</t>
  </si>
  <si>
    <t>Contig_10_94.9738</t>
  </si>
  <si>
    <t>Contig_1_89.3143</t>
  </si>
  <si>
    <t>Contig_1_5256.73_Circ</t>
  </si>
  <si>
    <t>Contig_50_140.21</t>
  </si>
  <si>
    <t>Contig_4_170.723</t>
  </si>
  <si>
    <t>Contig_8_281.371</t>
  </si>
  <si>
    <t>Contig_28_217.369</t>
  </si>
  <si>
    <t>Contig_14_204.454</t>
  </si>
  <si>
    <t>Contig_77_155.362</t>
  </si>
  <si>
    <t>Contig_34_195.552</t>
  </si>
  <si>
    <t>Contig_27_83.1485</t>
  </si>
  <si>
    <t>Contig_6_105.423</t>
  </si>
  <si>
    <t>Contig_2_137.32_Circ</t>
  </si>
  <si>
    <t>Contig_18_60.7764</t>
  </si>
  <si>
    <t>M10_R10</t>
  </si>
  <si>
    <t>Plasmid markers</t>
  </si>
  <si>
    <t>Contig_31_195.314</t>
  </si>
  <si>
    <t>Not detected</t>
  </si>
  <si>
    <t>Contig_30_70.5383</t>
  </si>
  <si>
    <t>Contig_19_47.6165</t>
  </si>
  <si>
    <t>Contig_42_37.7272</t>
  </si>
  <si>
    <t>Contig_39_44.5656</t>
  </si>
  <si>
    <t>Contig_58_47.4344</t>
  </si>
  <si>
    <t>Contig_40_76.7716</t>
  </si>
  <si>
    <t>Contig_61_24.5336</t>
  </si>
  <si>
    <t>Contig_6_66.9778</t>
  </si>
  <si>
    <t>Contig_37_41.9246</t>
  </si>
  <si>
    <t>Contig_8_65.4572</t>
  </si>
  <si>
    <t>Contig_10_45.0244</t>
  </si>
  <si>
    <t>Contig_25_68.657</t>
  </si>
  <si>
    <t>Contig_40_55.4575</t>
  </si>
  <si>
    <t>Contig_22_69.454</t>
  </si>
  <si>
    <t>Contig_1_92.4495</t>
  </si>
  <si>
    <t>Contig_20_54.1588</t>
  </si>
  <si>
    <t>Contig_38_74.9354</t>
  </si>
  <si>
    <t>Contig_8_32.7124</t>
  </si>
  <si>
    <t>Contig_37_61.745</t>
  </si>
  <si>
    <t>Contig_39_68.3831</t>
  </si>
  <si>
    <t>Contig_27_92.4443</t>
  </si>
  <si>
    <t>Contig_4_73.3143</t>
  </si>
  <si>
    <t>Contig_1_101.908</t>
  </si>
  <si>
    <t>Contig_28_44.0612</t>
  </si>
  <si>
    <t>Contig_45_51.3257</t>
  </si>
  <si>
    <t>Contig_1_57.4932_Circ</t>
  </si>
  <si>
    <t>Contig_96_41.9394</t>
  </si>
  <si>
    <t>Contig_62_43.7784</t>
  </si>
  <si>
    <t>Contig_24_27.3838</t>
  </si>
  <si>
    <t>Contig_29_108.885</t>
  </si>
  <si>
    <t>Contig_56_40.9096</t>
  </si>
  <si>
    <t>Contig_19_46.177</t>
  </si>
  <si>
    <t>Contig_5_59.4995</t>
  </si>
  <si>
    <t>Contig_58_52.3874</t>
  </si>
  <si>
    <t>Contig_2_25.362</t>
  </si>
  <si>
    <t>Contig_23_45.2752</t>
  </si>
  <si>
    <t>Contig_69_26.1209</t>
  </si>
  <si>
    <t>Contig_18_65.8504</t>
  </si>
  <si>
    <t>Contig_26_65.529</t>
  </si>
  <si>
    <t>Contig_22_43.4645</t>
  </si>
  <si>
    <t>Contig_28_65.347</t>
  </si>
  <si>
    <t>Contig_21_48.6632</t>
  </si>
  <si>
    <t>Contig_36_144.561</t>
  </si>
  <si>
    <t>Contig_6_86.8504</t>
  </si>
  <si>
    <t>Contig_35_193.792</t>
  </si>
  <si>
    <t>Contig_44_43.315</t>
  </si>
  <si>
    <t>Contig_15_69.4114</t>
  </si>
  <si>
    <t>Contig_1_44.4679</t>
  </si>
  <si>
    <t>Contig_34_114.307</t>
  </si>
  <si>
    <t>Contig_3_66.3285</t>
  </si>
  <si>
    <t>Contig_38_42.8499</t>
  </si>
  <si>
    <t>Contig_25_53.7129</t>
  </si>
  <si>
    <t>ND</t>
  </si>
  <si>
    <t>Mash_Cluster</t>
  </si>
  <si>
    <t>Circularisable_selected</t>
  </si>
  <si>
    <t>Contig_1_133.324_Circ</t>
  </si>
  <si>
    <t>C15</t>
  </si>
  <si>
    <t>*SC0987 selected because of C14</t>
  </si>
  <si>
    <t>*SC1065 selected because of non-circ plasmids</t>
  </si>
  <si>
    <t>not detected in hybrid assemblies</t>
  </si>
  <si>
    <t>Comments</t>
  </si>
  <si>
    <t>Selected not because it did not carry any plasmid markers, but because it was from cluster 06</t>
  </si>
  <si>
    <t>Yes</t>
  </si>
  <si>
    <t>R15 not detected in hybrid assemblies</t>
  </si>
  <si>
    <t>M17_R04</t>
  </si>
  <si>
    <t>M10_S02_V02</t>
  </si>
  <si>
    <t>M10_V02</t>
  </si>
  <si>
    <t>M04</t>
  </si>
  <si>
    <t>M04_V01</t>
  </si>
  <si>
    <t>M05_R02</t>
  </si>
  <si>
    <t>M04_S01_V03</t>
  </si>
  <si>
    <t>M04_S03_V01</t>
  </si>
  <si>
    <t>M04_R59</t>
  </si>
  <si>
    <t>M05_S01_V03</t>
  </si>
  <si>
    <t>M05_R02_S01_S02_V02_V03</t>
  </si>
  <si>
    <t>R59_S03</t>
  </si>
  <si>
    <t>R37_R59_S03_V01</t>
  </si>
  <si>
    <t>R10_S02_V02</t>
  </si>
  <si>
    <t>R02</t>
  </si>
  <si>
    <t>S02_V02</t>
  </si>
  <si>
    <t>S03_V01</t>
  </si>
  <si>
    <t>V01</t>
  </si>
  <si>
    <t>S03</t>
  </si>
  <si>
    <t>R08</t>
  </si>
  <si>
    <t>V02</t>
  </si>
  <si>
    <t>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</si>
</sst>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sseyuni.sharepoint.com/teams/Students-AlineParolin/Shared%20Documents/Aline%20Parolin%20Calarga%20PhD%20Project/Thesis/Chapter%2005%20Campy%20plasmids/WRITING_CHAPTER_05/Figs_scripts_json_files/Fig01/metadata.xlsx" TargetMode="External"/><Relationship Id="rId1" Type="http://schemas.openxmlformats.org/officeDocument/2006/relationships/externalLinkPath" Target="/teams/Students-AlineParolin/Shared%20Documents/Aline%20Parolin%20Calarga%20PhD%20Project/Thesis/Chapter%2005%20Campy%20plasmids/WRITING_CHAPTER_05/Figs_scripts_json_files/Fig01/meta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bels"/>
      <sheetName val="metadata"/>
      <sheetName val="Source_symbols"/>
      <sheetName val="selected_isolates_star"/>
      <sheetName val="colour_range_groups"/>
    </sheetNames>
    <sheetDataSet>
      <sheetData sheetId="0"/>
      <sheetData sheetId="1"/>
      <sheetData sheetId="2"/>
      <sheetData sheetId="3"/>
      <sheetData sheetId="4">
        <row r="2">
          <cell r="B2" t="str">
            <v>Contig_1_125.517_Circ</v>
          </cell>
          <cell r="C2" t="str">
            <v>SC0317_Contig_1_125.517_Circ</v>
          </cell>
          <cell r="D2" t="str">
            <v>range</v>
          </cell>
          <cell r="E2" t="str">
            <v>#00FFFF</v>
          </cell>
          <cell r="F2" t="str">
            <v>C11</v>
          </cell>
        </row>
        <row r="3">
          <cell r="B3" t="str">
            <v>Contig_1_176.244_Circ</v>
          </cell>
          <cell r="C3" t="str">
            <v>SC0267_Contig_1_176.244_Circ</v>
          </cell>
          <cell r="D3" t="str">
            <v>range</v>
          </cell>
          <cell r="E3" t="str">
            <v>#00FFFF</v>
          </cell>
          <cell r="F3" t="str">
            <v>C11</v>
          </cell>
        </row>
        <row r="4">
          <cell r="B4" t="str">
            <v>Contig_1_113.077_Circ</v>
          </cell>
          <cell r="C4" t="str">
            <v>SC1588_Contig_1_113.077_Circ</v>
          </cell>
          <cell r="D4" t="str">
            <v>range</v>
          </cell>
          <cell r="E4" t="str">
            <v>#00FFFF</v>
          </cell>
          <cell r="F4" t="str">
            <v>C11</v>
          </cell>
        </row>
        <row r="5">
          <cell r="B5" t="str">
            <v>Contig_1_119.666_Circ</v>
          </cell>
          <cell r="C5" t="str">
            <v>SC1587_Contig_1_119.666_Circ</v>
          </cell>
          <cell r="D5" t="str">
            <v>range</v>
          </cell>
          <cell r="E5" t="str">
            <v>#00FFFF</v>
          </cell>
          <cell r="F5" t="str">
            <v>C11</v>
          </cell>
        </row>
        <row r="6">
          <cell r="B6" t="str">
            <v>Contig_1_153.278_Circ</v>
          </cell>
          <cell r="C6" t="str">
            <v>SC1586_Contig_1_153.278_Circ</v>
          </cell>
          <cell r="D6" t="str">
            <v>range</v>
          </cell>
          <cell r="E6" t="str">
            <v>#00FFFF</v>
          </cell>
          <cell r="F6" t="str">
            <v>C11</v>
          </cell>
        </row>
        <row r="7">
          <cell r="B7" t="str">
            <v>Contig_1_256.24_Circ</v>
          </cell>
          <cell r="C7" t="str">
            <v>SC1314_Contig_1_256.24_Circ</v>
          </cell>
          <cell r="D7" t="str">
            <v>range</v>
          </cell>
          <cell r="E7" t="str">
            <v>#00FFFF</v>
          </cell>
          <cell r="F7" t="str">
            <v>C11</v>
          </cell>
        </row>
        <row r="8">
          <cell r="B8" t="str">
            <v>Contig_1_91.755_Circ</v>
          </cell>
          <cell r="C8" t="str">
            <v>SC0126_Contig_1_91.755_Circ</v>
          </cell>
          <cell r="D8" t="str">
            <v>range</v>
          </cell>
          <cell r="E8" t="str">
            <v>#00FFFF</v>
          </cell>
          <cell r="F8" t="str">
            <v>C11</v>
          </cell>
        </row>
        <row r="9">
          <cell r="B9" t="str">
            <v>Contig_1_368.061_Circ</v>
          </cell>
          <cell r="C9" t="str">
            <v>SC1161_Contig_1_368.061_Circ</v>
          </cell>
          <cell r="D9" t="str">
            <v>range</v>
          </cell>
          <cell r="E9" t="str">
            <v>#00FFFF</v>
          </cell>
          <cell r="F9" t="str">
            <v>C11</v>
          </cell>
        </row>
        <row r="10">
          <cell r="B10" t="str">
            <v>Contig_1_234.628_Circ</v>
          </cell>
          <cell r="C10" t="str">
            <v>SC0880_Contig_1_234.628_Circ</v>
          </cell>
          <cell r="D10" t="str">
            <v>range</v>
          </cell>
          <cell r="E10" t="str">
            <v>#00FFFF</v>
          </cell>
          <cell r="F10" t="str">
            <v>C11</v>
          </cell>
        </row>
        <row r="11">
          <cell r="B11" t="str">
            <v>Contig_1_91.0205_Circ</v>
          </cell>
          <cell r="C11" t="str">
            <v>SC0841_Contig_1_91.0205_Circ</v>
          </cell>
          <cell r="D11" t="str">
            <v>range</v>
          </cell>
          <cell r="E11" t="str">
            <v>#00FFFF</v>
          </cell>
          <cell r="F11" t="str">
            <v>C11</v>
          </cell>
        </row>
        <row r="12">
          <cell r="B12" t="str">
            <v>Contig_1_380.144_Circ</v>
          </cell>
          <cell r="C12" t="str">
            <v>SC0813_Contig_1_380.144_Circ</v>
          </cell>
          <cell r="D12" t="str">
            <v>range</v>
          </cell>
          <cell r="E12" t="str">
            <v>#00FFFF</v>
          </cell>
          <cell r="F12" t="str">
            <v>C11</v>
          </cell>
        </row>
        <row r="13">
          <cell r="B13" t="str">
            <v>Contig_1_376.613_Circ</v>
          </cell>
          <cell r="C13" t="str">
            <v>SC0665_Contig_1_376.613_Circ</v>
          </cell>
          <cell r="D13" t="str">
            <v>range</v>
          </cell>
          <cell r="E13" t="str">
            <v>#00FFFF</v>
          </cell>
          <cell r="F13" t="str">
            <v>C11</v>
          </cell>
        </row>
        <row r="14">
          <cell r="B14" t="str">
            <v>Contig_1_90.6268_Circ</v>
          </cell>
          <cell r="C14" t="str">
            <v>SC0554_Contig_1_90.6268_Circ</v>
          </cell>
          <cell r="D14" t="str">
            <v>range</v>
          </cell>
          <cell r="E14" t="str">
            <v>#00FFFF</v>
          </cell>
          <cell r="F14" t="str">
            <v>C11</v>
          </cell>
        </row>
        <row r="15">
          <cell r="B15" t="str">
            <v>Contig_1_109.991_Circ</v>
          </cell>
          <cell r="C15" t="str">
            <v>SC0474_Contig_1_109.991_Circ</v>
          </cell>
          <cell r="D15" t="str">
            <v>range</v>
          </cell>
          <cell r="E15" t="str">
            <v>#00FFFF</v>
          </cell>
          <cell r="F15" t="str">
            <v>C11</v>
          </cell>
        </row>
        <row r="16">
          <cell r="B16" t="str">
            <v>Contig_1_263.781_Circ</v>
          </cell>
          <cell r="C16" t="str">
            <v>SC0210_Contig_1_263.781_Circ</v>
          </cell>
          <cell r="D16" t="str">
            <v>range</v>
          </cell>
          <cell r="E16" t="str">
            <v>#00FFFF</v>
          </cell>
          <cell r="F16" t="str">
            <v>C11</v>
          </cell>
        </row>
        <row r="17">
          <cell r="B17" t="str">
            <v>Contig_1_157.484_Circ</v>
          </cell>
          <cell r="C17" t="str">
            <v>SC1472_Contig_1_157.484_Circ</v>
          </cell>
          <cell r="D17" t="str">
            <v>range</v>
          </cell>
          <cell r="E17" t="str">
            <v>#00FFFF</v>
          </cell>
          <cell r="F17" t="str">
            <v>C11</v>
          </cell>
        </row>
        <row r="18">
          <cell r="B18" t="str">
            <v>Contig_1_254.545_Circ</v>
          </cell>
          <cell r="C18" t="str">
            <v>SC0951_Contig_1_254.545_Circ</v>
          </cell>
          <cell r="D18" t="str">
            <v>range</v>
          </cell>
          <cell r="E18" t="str">
            <v>#00FFFF</v>
          </cell>
          <cell r="F18" t="str">
            <v>C11</v>
          </cell>
        </row>
        <row r="19">
          <cell r="B19" t="str">
            <v>Contig_1_115.304_Circ</v>
          </cell>
          <cell r="C19" t="str">
            <v>SC0482_Contig_1_115.304_Circ</v>
          </cell>
          <cell r="D19" t="str">
            <v>range</v>
          </cell>
          <cell r="E19" t="str">
            <v>#00FFFF</v>
          </cell>
          <cell r="F19" t="str">
            <v>C11</v>
          </cell>
        </row>
        <row r="20">
          <cell r="B20" t="str">
            <v>Contig_1_137.546_Circ</v>
          </cell>
          <cell r="C20" t="str">
            <v>SC1470_Contig_1_137.546_Circ</v>
          </cell>
          <cell r="D20" t="str">
            <v>range</v>
          </cell>
          <cell r="E20" t="str">
            <v>#00FFFF</v>
          </cell>
          <cell r="F20" t="str">
            <v>C11</v>
          </cell>
        </row>
        <row r="21">
          <cell r="B21" t="str">
            <v>Contig_1_151.395_Circ</v>
          </cell>
          <cell r="C21" t="str">
            <v>SC0332_Contig_1_151.395_Circ</v>
          </cell>
          <cell r="D21" t="str">
            <v>range</v>
          </cell>
          <cell r="E21" t="str">
            <v>#00FFFF</v>
          </cell>
          <cell r="F21" t="str">
            <v>C11</v>
          </cell>
        </row>
        <row r="22">
          <cell r="B22" t="str">
            <v>Contig_2_402.165_Circ</v>
          </cell>
          <cell r="C22" t="str">
            <v>SC1347_Contig_2_402.165_Circ</v>
          </cell>
          <cell r="D22" t="str">
            <v>range</v>
          </cell>
          <cell r="E22" t="str">
            <v>#FFD700</v>
          </cell>
          <cell r="F22" t="str">
            <v>C10</v>
          </cell>
        </row>
        <row r="23">
          <cell r="B23" t="str">
            <v>Contig_1_190.646_Circ</v>
          </cell>
          <cell r="C23" t="str">
            <v>SC1238_Contig_1_190.646_Circ</v>
          </cell>
          <cell r="D23" t="str">
            <v>range</v>
          </cell>
          <cell r="E23" t="str">
            <v>#FFD700</v>
          </cell>
          <cell r="F23" t="str">
            <v>C10</v>
          </cell>
        </row>
        <row r="24">
          <cell r="B24" t="str">
            <v>Contig_1_166.608_Circ</v>
          </cell>
          <cell r="C24" t="str">
            <v>SC1597_Contig_1_166.608_Circ</v>
          </cell>
          <cell r="D24" t="str">
            <v>range</v>
          </cell>
          <cell r="E24" t="str">
            <v>#FFD700</v>
          </cell>
          <cell r="F24" t="str">
            <v>C10</v>
          </cell>
        </row>
        <row r="25">
          <cell r="B25" t="str">
            <v>Contig_1_82.5635_Circ</v>
          </cell>
          <cell r="C25" t="str">
            <v>SC1595_Contig_1_82.5635_Circ</v>
          </cell>
          <cell r="D25" t="str">
            <v>range</v>
          </cell>
          <cell r="E25" t="str">
            <v>#FFD700</v>
          </cell>
          <cell r="F25" t="str">
            <v>C10</v>
          </cell>
        </row>
        <row r="26">
          <cell r="B26" t="str">
            <v>Contig_1_191.935_Circ</v>
          </cell>
          <cell r="C26" t="str">
            <v>SC1548_Contig_1_191.935_Circ</v>
          </cell>
          <cell r="D26" t="str">
            <v>range</v>
          </cell>
          <cell r="E26" t="str">
            <v>#FFD700</v>
          </cell>
          <cell r="F26" t="str">
            <v>C10</v>
          </cell>
        </row>
        <row r="27">
          <cell r="B27" t="str">
            <v>Contig_1_227.961_Circ</v>
          </cell>
          <cell r="C27" t="str">
            <v>SC1546_Contig_1_227.961_Circ</v>
          </cell>
          <cell r="D27" t="str">
            <v>range</v>
          </cell>
          <cell r="E27" t="str">
            <v>#FFD700</v>
          </cell>
          <cell r="F27" t="str">
            <v>C10</v>
          </cell>
        </row>
        <row r="28">
          <cell r="B28" t="str">
            <v>Contig_1_172.535_Circ</v>
          </cell>
          <cell r="C28" t="str">
            <v>SC1315_Contig_1_172.535_Circ</v>
          </cell>
          <cell r="D28" t="str">
            <v>range</v>
          </cell>
          <cell r="E28" t="str">
            <v>#FFD700</v>
          </cell>
          <cell r="F28" t="str">
            <v>C10</v>
          </cell>
        </row>
        <row r="29">
          <cell r="B29" t="str">
            <v>Contig_1_329.834_Circ</v>
          </cell>
          <cell r="C29" t="str">
            <v>SC1260_Contig_1_329.834_Circ</v>
          </cell>
          <cell r="D29" t="str">
            <v>range</v>
          </cell>
          <cell r="E29" t="str">
            <v>#FFD700</v>
          </cell>
          <cell r="F29" t="str">
            <v>C10</v>
          </cell>
        </row>
        <row r="30">
          <cell r="B30" t="str">
            <v>Contig_1_168.997_Circ</v>
          </cell>
          <cell r="C30" t="str">
            <v>SC1131_Contig_1_168.997_Circ</v>
          </cell>
          <cell r="D30" t="str">
            <v>range</v>
          </cell>
          <cell r="E30" t="str">
            <v>#FFD700</v>
          </cell>
          <cell r="F30" t="str">
            <v>C10</v>
          </cell>
        </row>
        <row r="31">
          <cell r="B31" t="str">
            <v>Contig_1_115.85_Circ</v>
          </cell>
          <cell r="C31" t="str">
            <v>SC0952_Contig_1_115.85_Circ</v>
          </cell>
          <cell r="D31" t="str">
            <v>range</v>
          </cell>
          <cell r="E31" t="str">
            <v>#FFD700</v>
          </cell>
          <cell r="F31" t="str">
            <v>C10</v>
          </cell>
        </row>
        <row r="32">
          <cell r="B32" t="str">
            <v>Contig_1_214.599_Circ</v>
          </cell>
          <cell r="C32" t="str">
            <v>SC0887_Contig_1_214.599_Circ</v>
          </cell>
          <cell r="D32" t="str">
            <v>range</v>
          </cell>
          <cell r="E32" t="str">
            <v>#FFD700</v>
          </cell>
          <cell r="F32" t="str">
            <v>C10</v>
          </cell>
        </row>
        <row r="33">
          <cell r="B33" t="str">
            <v>Contig_1_273.334_Circ</v>
          </cell>
          <cell r="C33" t="str">
            <v>SC0849_Contig_1_273.334_Circ</v>
          </cell>
          <cell r="D33" t="str">
            <v>range</v>
          </cell>
          <cell r="E33" t="str">
            <v>#FFD700</v>
          </cell>
          <cell r="F33" t="str">
            <v>C10</v>
          </cell>
        </row>
        <row r="34">
          <cell r="B34" t="str">
            <v>Contig_2_265.881_Circ</v>
          </cell>
          <cell r="C34" t="str">
            <v>SC0732_Contig_2_265.881_Circ</v>
          </cell>
          <cell r="D34" t="str">
            <v>range</v>
          </cell>
          <cell r="E34" t="str">
            <v>#FFD700</v>
          </cell>
          <cell r="F34" t="str">
            <v>C10</v>
          </cell>
        </row>
        <row r="35">
          <cell r="B35" t="str">
            <v>Contig_1_95.0359_Circ</v>
          </cell>
          <cell r="C35" t="str">
            <v>SC0275_Contig_1_95.0359_Circ</v>
          </cell>
          <cell r="D35" t="str">
            <v>range</v>
          </cell>
          <cell r="E35" t="str">
            <v>#FFD700</v>
          </cell>
          <cell r="F35" t="str">
            <v>C10</v>
          </cell>
        </row>
        <row r="36">
          <cell r="B36" t="str">
            <v>Contig_2_209.334_Circ</v>
          </cell>
          <cell r="C36" t="str">
            <v>SC0237_Contig_2_209.334_Circ</v>
          </cell>
          <cell r="D36" t="str">
            <v>range</v>
          </cell>
          <cell r="E36" t="str">
            <v>#FFD700</v>
          </cell>
          <cell r="F36" t="str">
            <v>C10</v>
          </cell>
        </row>
        <row r="37">
          <cell r="B37" t="str">
            <v>Contig_1_238.691_Circ</v>
          </cell>
          <cell r="C37" t="str">
            <v>SC0173_Contig_1_238.691_Circ</v>
          </cell>
          <cell r="D37" t="str">
            <v>range</v>
          </cell>
          <cell r="E37" t="str">
            <v>#FFD700</v>
          </cell>
          <cell r="F37" t="str">
            <v>C10</v>
          </cell>
        </row>
        <row r="38">
          <cell r="B38" t="str">
            <v>Contig_1_89.94_Circ</v>
          </cell>
          <cell r="C38" t="str">
            <v>SC1593_Contig_1_89.94_Circ</v>
          </cell>
          <cell r="D38" t="str">
            <v>range</v>
          </cell>
          <cell r="E38" t="str">
            <v>#00FFFF</v>
          </cell>
          <cell r="F38" t="str">
            <v>C11</v>
          </cell>
        </row>
        <row r="39">
          <cell r="B39" t="str">
            <v>Contig_1_188.97_Circ</v>
          </cell>
          <cell r="C39" t="str">
            <v>SC1574_Contig_1_188.97_Circ</v>
          </cell>
          <cell r="D39" t="str">
            <v>range</v>
          </cell>
          <cell r="E39" t="str">
            <v>#00FFFF</v>
          </cell>
          <cell r="F39" t="str">
            <v>C11</v>
          </cell>
        </row>
        <row r="40">
          <cell r="B40" t="str">
            <v>Contig_1_544.344_Circ</v>
          </cell>
          <cell r="C40" t="str">
            <v>SC1281_Contig_1_544.344_Circ</v>
          </cell>
          <cell r="D40" t="str">
            <v>range</v>
          </cell>
          <cell r="E40" t="str">
            <v>#00FFFF</v>
          </cell>
          <cell r="F40" t="str">
            <v>C11</v>
          </cell>
        </row>
        <row r="41">
          <cell r="B41" t="str">
            <v>Contig_1_103.391_Circ</v>
          </cell>
          <cell r="C41" t="str">
            <v>SC1013_Contig_1_103.391_Circ</v>
          </cell>
          <cell r="D41" t="str">
            <v>range</v>
          </cell>
          <cell r="E41" t="str">
            <v>#00FFFF</v>
          </cell>
          <cell r="F41" t="str">
            <v>C11</v>
          </cell>
        </row>
        <row r="42">
          <cell r="B42" t="str">
            <v>Contig_1_217.86_Circ</v>
          </cell>
          <cell r="C42" t="str">
            <v>SC1712_Contig_1_217.86_Circ</v>
          </cell>
          <cell r="D42" t="str">
            <v>range</v>
          </cell>
          <cell r="E42" t="str">
            <v>#00FFFF</v>
          </cell>
          <cell r="F42" t="str">
            <v>C11</v>
          </cell>
        </row>
        <row r="43">
          <cell r="B43" t="str">
            <v>Contig_1_190.885_Circ</v>
          </cell>
          <cell r="C43" t="str">
            <v>SC1551_Contig_1_190.885_Circ</v>
          </cell>
          <cell r="D43" t="str">
            <v>range</v>
          </cell>
          <cell r="E43" t="str">
            <v>#00FFFF</v>
          </cell>
          <cell r="F43" t="str">
            <v>C11</v>
          </cell>
        </row>
        <row r="44">
          <cell r="B44" t="str">
            <v>Contig_1_201.182_Circ</v>
          </cell>
          <cell r="C44" t="str">
            <v>SC1486_Contig_1_201.182_Circ</v>
          </cell>
          <cell r="D44" t="str">
            <v>range</v>
          </cell>
          <cell r="E44" t="str">
            <v>#00FFFF</v>
          </cell>
          <cell r="F44" t="str">
            <v>C11</v>
          </cell>
        </row>
        <row r="45">
          <cell r="B45" t="str">
            <v>Contig_1_154.597_Circ</v>
          </cell>
          <cell r="C45" t="str">
            <v>SC1474_Contig_1_154.597_Circ</v>
          </cell>
          <cell r="D45" t="str">
            <v>range</v>
          </cell>
          <cell r="E45" t="str">
            <v>#00FFFF</v>
          </cell>
          <cell r="F45" t="str">
            <v>C11</v>
          </cell>
        </row>
        <row r="46">
          <cell r="B46" t="str">
            <v>Contig_1_136.753_Circ</v>
          </cell>
          <cell r="C46" t="str">
            <v>SC1452_Contig_1_136.753_Circ</v>
          </cell>
          <cell r="D46" t="str">
            <v>range</v>
          </cell>
          <cell r="E46" t="str">
            <v>#00FFFF</v>
          </cell>
          <cell r="F46" t="str">
            <v>C11</v>
          </cell>
        </row>
        <row r="47">
          <cell r="B47" t="str">
            <v>Contig_1_220.689_Circ</v>
          </cell>
          <cell r="C47" t="str">
            <v>SC1327_Contig_1_220.689_Circ</v>
          </cell>
          <cell r="D47" t="str">
            <v>range</v>
          </cell>
          <cell r="E47" t="str">
            <v>#00FFFF</v>
          </cell>
          <cell r="F47" t="str">
            <v>C11</v>
          </cell>
        </row>
        <row r="48">
          <cell r="B48" t="str">
            <v>Contig_1_220.596_Circ</v>
          </cell>
          <cell r="C48" t="str">
            <v>SC1211_Contig_1_220.596_Circ</v>
          </cell>
          <cell r="D48" t="str">
            <v>range</v>
          </cell>
          <cell r="E48" t="str">
            <v>#00FFFF</v>
          </cell>
          <cell r="F48" t="str">
            <v>C11</v>
          </cell>
        </row>
        <row r="49">
          <cell r="B49" t="str">
            <v>Contig_1_252.002_Circ</v>
          </cell>
          <cell r="C49" t="str">
            <v>SC1210_Contig_1_252.002_Circ</v>
          </cell>
          <cell r="D49" t="str">
            <v>range</v>
          </cell>
          <cell r="E49" t="str">
            <v>#00FFFF</v>
          </cell>
          <cell r="F49" t="str">
            <v>C11</v>
          </cell>
        </row>
        <row r="50">
          <cell r="B50" t="str">
            <v>Contig_1_287.11_Circ</v>
          </cell>
          <cell r="C50" t="str">
            <v>SC1206_Contig_1_287.11_Circ</v>
          </cell>
          <cell r="D50" t="str">
            <v>range</v>
          </cell>
          <cell r="E50" t="str">
            <v>#00FFFF</v>
          </cell>
          <cell r="F50" t="str">
            <v>C11</v>
          </cell>
        </row>
        <row r="51">
          <cell r="B51" t="str">
            <v>Contig_1_303.064_Circ</v>
          </cell>
          <cell r="C51" t="str">
            <v>SC1044_Contig_1_303.064_Circ</v>
          </cell>
          <cell r="D51" t="str">
            <v>range</v>
          </cell>
          <cell r="E51" t="str">
            <v>#00FFFF</v>
          </cell>
          <cell r="F51" t="str">
            <v>C11</v>
          </cell>
        </row>
        <row r="52">
          <cell r="B52" t="str">
            <v>Contig_1_445.965_Circ</v>
          </cell>
          <cell r="C52" t="str">
            <v>SC1017_Contig_1_445.965_Circ</v>
          </cell>
          <cell r="D52" t="str">
            <v>range</v>
          </cell>
          <cell r="E52" t="str">
            <v>#00FFFF</v>
          </cell>
          <cell r="F52" t="str">
            <v>C11</v>
          </cell>
        </row>
        <row r="53">
          <cell r="B53" t="str">
            <v>Contig_1_263.378_Circ</v>
          </cell>
          <cell r="C53" t="str">
            <v>SC0897_Contig_1_263.378_Circ</v>
          </cell>
          <cell r="D53" t="str">
            <v>range</v>
          </cell>
          <cell r="E53" t="str">
            <v>#00FFFF</v>
          </cell>
          <cell r="F53" t="str">
            <v>C11</v>
          </cell>
        </row>
        <row r="54">
          <cell r="B54" t="str">
            <v>Contig_1_556.434_Circ</v>
          </cell>
          <cell r="C54" t="str">
            <v>SC0811_Contig_1_556.434_Circ</v>
          </cell>
          <cell r="D54" t="str">
            <v>range</v>
          </cell>
          <cell r="E54" t="str">
            <v>#00FFFF</v>
          </cell>
          <cell r="F54" t="str">
            <v>C11</v>
          </cell>
        </row>
        <row r="55">
          <cell r="B55" t="str">
            <v>Contig_1_502.26_Circ</v>
          </cell>
          <cell r="C55" t="str">
            <v>SC0796_Contig_1_502.26_Circ</v>
          </cell>
          <cell r="D55" t="str">
            <v>range</v>
          </cell>
          <cell r="E55" t="str">
            <v>#00FFFF</v>
          </cell>
          <cell r="F55" t="str">
            <v>C11</v>
          </cell>
        </row>
        <row r="56">
          <cell r="B56" t="str">
            <v>Contig_1_122.855_Circ</v>
          </cell>
          <cell r="C56" t="str">
            <v>SC0582_Contig_1_122.855_Circ</v>
          </cell>
          <cell r="D56" t="str">
            <v>range</v>
          </cell>
          <cell r="E56" t="str">
            <v>#00FFFF</v>
          </cell>
          <cell r="F56" t="str">
            <v>C11</v>
          </cell>
        </row>
        <row r="57">
          <cell r="B57" t="str">
            <v>Contig_1_100.343_Circ</v>
          </cell>
          <cell r="C57" t="str">
            <v>SC0490_Contig_1_100.343_Circ</v>
          </cell>
          <cell r="D57" t="str">
            <v>range</v>
          </cell>
          <cell r="E57" t="str">
            <v>#00FFFF</v>
          </cell>
          <cell r="F57" t="str">
            <v>C11</v>
          </cell>
        </row>
        <row r="58">
          <cell r="B58" t="str">
            <v>Contig_1_186.861_Circ</v>
          </cell>
          <cell r="C58" t="str">
            <v>SC0450_Contig_1_186.861_Circ</v>
          </cell>
          <cell r="D58" t="str">
            <v>range</v>
          </cell>
          <cell r="E58" t="str">
            <v>#00FFFF</v>
          </cell>
          <cell r="F58" t="str">
            <v>C11</v>
          </cell>
        </row>
        <row r="59">
          <cell r="B59" t="str">
            <v>Contig_1_48.4969_Circ</v>
          </cell>
          <cell r="C59" t="str">
            <v>SC0433_Contig_1_48.4969_Circ</v>
          </cell>
          <cell r="D59" t="str">
            <v>range</v>
          </cell>
          <cell r="E59" t="str">
            <v>#00FFFF</v>
          </cell>
          <cell r="F59" t="str">
            <v>C11</v>
          </cell>
        </row>
        <row r="60">
          <cell r="B60" t="str">
            <v>Contig_1_117.21_Circ</v>
          </cell>
          <cell r="C60" t="str">
            <v>SC0330_Contig_1_117.21_Circ</v>
          </cell>
          <cell r="D60" t="str">
            <v>range</v>
          </cell>
          <cell r="E60" t="str">
            <v>#00FFFF</v>
          </cell>
          <cell r="F60" t="str">
            <v>C11</v>
          </cell>
        </row>
        <row r="61">
          <cell r="B61" t="str">
            <v>Contig_1_85.1071_Circ</v>
          </cell>
          <cell r="C61" t="str">
            <v>SC0327_Contig_1_85.1071_Circ</v>
          </cell>
          <cell r="D61" t="str">
            <v>range</v>
          </cell>
          <cell r="E61" t="str">
            <v>#00FFFF</v>
          </cell>
          <cell r="F61" t="str">
            <v>C11</v>
          </cell>
        </row>
        <row r="62">
          <cell r="B62" t="str">
            <v>Contig_1_674.74_Circ</v>
          </cell>
          <cell r="C62" t="str">
            <v>SC0266_Contig_1_674.74_Circ</v>
          </cell>
          <cell r="D62" t="str">
            <v>range</v>
          </cell>
          <cell r="E62" t="str">
            <v>#00FFFF</v>
          </cell>
          <cell r="F62" t="str">
            <v>C11</v>
          </cell>
        </row>
        <row r="63">
          <cell r="B63" t="str">
            <v>Contig_1_127.014_Circ</v>
          </cell>
          <cell r="C63" t="str">
            <v>SC0238_Contig_1_127.014_Circ</v>
          </cell>
          <cell r="D63" t="str">
            <v>range</v>
          </cell>
          <cell r="E63" t="str">
            <v>#00FFFF</v>
          </cell>
          <cell r="F63" t="str">
            <v>C11</v>
          </cell>
        </row>
        <row r="64">
          <cell r="B64" t="str">
            <v>Contig_1_211.088_Circ</v>
          </cell>
          <cell r="C64" t="str">
            <v>SC0217_Contig_1_211.088_Circ</v>
          </cell>
          <cell r="D64" t="str">
            <v>range</v>
          </cell>
          <cell r="E64" t="str">
            <v>#00FFFF</v>
          </cell>
          <cell r="F64" t="str">
            <v>C11</v>
          </cell>
        </row>
        <row r="65">
          <cell r="B65" t="str">
            <v>Contig_1_164.543_Circ</v>
          </cell>
          <cell r="C65" t="str">
            <v>SC0211_Contig_1_164.543_Circ</v>
          </cell>
          <cell r="D65" t="str">
            <v>range</v>
          </cell>
          <cell r="E65" t="str">
            <v>#00FFFF</v>
          </cell>
          <cell r="F65" t="str">
            <v>C11</v>
          </cell>
        </row>
        <row r="66">
          <cell r="B66" t="str">
            <v>Contig_1_68.2659_Circ</v>
          </cell>
          <cell r="C66" t="str">
            <v>SC0560_Contig_1_68.2659_Circ</v>
          </cell>
          <cell r="D66" t="str">
            <v>range</v>
          </cell>
          <cell r="E66" t="str">
            <v>#00FFFF</v>
          </cell>
          <cell r="F66" t="str">
            <v>C11</v>
          </cell>
        </row>
        <row r="67">
          <cell r="B67" t="str">
            <v>Contig_1_179.388_Circ</v>
          </cell>
          <cell r="C67" t="str">
            <v>SC0103_Contig_1_179.388_Circ</v>
          </cell>
          <cell r="D67" t="str">
            <v>range</v>
          </cell>
          <cell r="E67" t="str">
            <v>#00FFFF</v>
          </cell>
          <cell r="F67" t="str">
            <v>C11</v>
          </cell>
        </row>
        <row r="68">
          <cell r="B68" t="str">
            <v>Contig_1_324.05_Circ</v>
          </cell>
          <cell r="C68" t="str">
            <v>SC0695_Contig_1_324.05_Circ</v>
          </cell>
          <cell r="D68" t="str">
            <v>range</v>
          </cell>
          <cell r="E68" t="str">
            <v>#00FFFF</v>
          </cell>
          <cell r="F68" t="str">
            <v>C11</v>
          </cell>
        </row>
        <row r="69">
          <cell r="B69" t="str">
            <v>Contig_1_288.835_Circ</v>
          </cell>
          <cell r="C69" t="str">
            <v>SC1043_Contig_1_288.835_Circ</v>
          </cell>
          <cell r="D69" t="str">
            <v>range</v>
          </cell>
          <cell r="E69" t="str">
            <v>#FFD700</v>
          </cell>
          <cell r="F69" t="str">
            <v>C10</v>
          </cell>
        </row>
        <row r="70">
          <cell r="B70" t="str">
            <v>Contig_1_256.734_Circ</v>
          </cell>
          <cell r="C70" t="str">
            <v>SC0202_Contig_1_256.734_Circ</v>
          </cell>
          <cell r="D70" t="str">
            <v>range</v>
          </cell>
          <cell r="E70" t="str">
            <v>#FFD700</v>
          </cell>
          <cell r="F70" t="str">
            <v>C10</v>
          </cell>
        </row>
        <row r="71">
          <cell r="B71" t="str">
            <v>Contig_1_298.264_Circ</v>
          </cell>
          <cell r="C71" t="str">
            <v>SC1625_Contig_1_298.264_Circ</v>
          </cell>
          <cell r="D71" t="str">
            <v>range</v>
          </cell>
          <cell r="E71" t="str">
            <v>#00FFFF</v>
          </cell>
          <cell r="F71" t="str">
            <v>C11</v>
          </cell>
        </row>
        <row r="72">
          <cell r="B72" t="str">
            <v>Contig_1_472.018_Circ</v>
          </cell>
          <cell r="C72" t="str">
            <v>SC0803_Contig_1_472.018_Circ</v>
          </cell>
          <cell r="D72" t="str">
            <v>range</v>
          </cell>
          <cell r="E72" t="str">
            <v>#00FFFF</v>
          </cell>
          <cell r="F72" t="str">
            <v>C11</v>
          </cell>
        </row>
        <row r="73">
          <cell r="B73" t="str">
            <v>Contig_2_137.32_Circ</v>
          </cell>
          <cell r="C73" t="str">
            <v>SC1718_Contig_2_137.32_Circ</v>
          </cell>
          <cell r="D73" t="str">
            <v>range</v>
          </cell>
          <cell r="E73" t="str">
            <v>#f0aff3</v>
          </cell>
          <cell r="F73" t="str">
            <v>C13</v>
          </cell>
        </row>
        <row r="74">
          <cell r="B74" t="str">
            <v>Contig_1_143.343_Circ</v>
          </cell>
          <cell r="C74" t="str">
            <v>SC1591_Contig_1_143.343_Circ</v>
          </cell>
          <cell r="D74" t="str">
            <v>range</v>
          </cell>
          <cell r="E74" t="str">
            <v>#a5e297</v>
          </cell>
          <cell r="F74" t="str">
            <v>C12</v>
          </cell>
        </row>
        <row r="75">
          <cell r="B75" t="str">
            <v>Contig_1_305.364_Circ</v>
          </cell>
          <cell r="C75" t="str">
            <v>SC1134_Contig_1_305.364_Circ</v>
          </cell>
          <cell r="D75" t="str">
            <v>range</v>
          </cell>
          <cell r="E75" t="str">
            <v>#f032e6</v>
          </cell>
          <cell r="F75" t="str">
            <v>C09</v>
          </cell>
        </row>
        <row r="76">
          <cell r="B76" t="str">
            <v>Contig_1_356.027_Circ</v>
          </cell>
          <cell r="C76" t="str">
            <v>SC0733_Contig_1_356.027_Circ</v>
          </cell>
          <cell r="D76" t="str">
            <v>range</v>
          </cell>
          <cell r="E76" t="str">
            <v>#f032e6</v>
          </cell>
          <cell r="F76" t="str">
            <v>C09</v>
          </cell>
        </row>
        <row r="77">
          <cell r="B77" t="str">
            <v>Contig_2_118.586_Circ</v>
          </cell>
          <cell r="C77" t="str">
            <v>SC0388_Contig_2_118.586_Circ</v>
          </cell>
          <cell r="D77" t="str">
            <v>range</v>
          </cell>
          <cell r="E77" t="str">
            <v>#a5e297</v>
          </cell>
          <cell r="F77" t="str">
            <v>C12</v>
          </cell>
        </row>
        <row r="78">
          <cell r="B78" t="str">
            <v>Contig_1_106.489_Circ</v>
          </cell>
          <cell r="C78" t="str">
            <v>SC1671_Contig_1_106.489_Circ</v>
          </cell>
          <cell r="D78" t="str">
            <v>range</v>
          </cell>
          <cell r="E78" t="str">
            <v>#f032e6</v>
          </cell>
          <cell r="F78" t="str">
            <v>C09</v>
          </cell>
        </row>
        <row r="79">
          <cell r="B79" t="str">
            <v>Contig_1_189.039_Circ</v>
          </cell>
          <cell r="C79" t="str">
            <v>SC1668_Contig_1_189.039_Circ</v>
          </cell>
          <cell r="D79" t="str">
            <v>range</v>
          </cell>
          <cell r="E79" t="str">
            <v>#f032e6</v>
          </cell>
          <cell r="F79" t="str">
            <v>C09</v>
          </cell>
        </row>
        <row r="80">
          <cell r="B80" t="str">
            <v>Contig_1_271.276_Circ</v>
          </cell>
          <cell r="C80" t="str">
            <v>SC1627_Contig_1_271.276_Circ</v>
          </cell>
          <cell r="D80" t="str">
            <v>range</v>
          </cell>
          <cell r="E80" t="str">
            <v>#f032e6</v>
          </cell>
          <cell r="F80" t="str">
            <v>C09</v>
          </cell>
        </row>
        <row r="81">
          <cell r="B81" t="str">
            <v>Contig_1_254.251_Circ</v>
          </cell>
          <cell r="C81" t="str">
            <v>SC1615_Contig_1_254.251_Circ</v>
          </cell>
          <cell r="D81" t="str">
            <v>range</v>
          </cell>
          <cell r="E81" t="str">
            <v>#f032e6</v>
          </cell>
          <cell r="F81" t="str">
            <v>C09</v>
          </cell>
        </row>
        <row r="82">
          <cell r="B82" t="str">
            <v>Contig_1_224.829_Circ</v>
          </cell>
          <cell r="C82" t="str">
            <v>SC1613_Contig_1_224.829_Circ</v>
          </cell>
          <cell r="D82" t="str">
            <v>range</v>
          </cell>
          <cell r="E82" t="str">
            <v>#f032e6</v>
          </cell>
          <cell r="F82" t="str">
            <v>C09</v>
          </cell>
        </row>
        <row r="83">
          <cell r="B83" t="str">
            <v>Contig_1_295.584_Circ</v>
          </cell>
          <cell r="C83" t="str">
            <v>SC1606_Contig_1_295.584_Circ</v>
          </cell>
          <cell r="D83" t="str">
            <v>range</v>
          </cell>
          <cell r="E83" t="str">
            <v>#f032e6</v>
          </cell>
          <cell r="F83" t="str">
            <v>C09</v>
          </cell>
        </row>
        <row r="84">
          <cell r="B84" t="str">
            <v>Contig_1_126.651_Circ</v>
          </cell>
          <cell r="C84" t="str">
            <v>SC1596_Contig_1_126.651_Circ</v>
          </cell>
          <cell r="D84" t="str">
            <v>range</v>
          </cell>
          <cell r="E84" t="str">
            <v>#f032e6</v>
          </cell>
          <cell r="F84" t="str">
            <v>C09</v>
          </cell>
        </row>
        <row r="85">
          <cell r="B85" t="str">
            <v>Contig_1_187.293_Circ</v>
          </cell>
          <cell r="C85" t="str">
            <v>SC1438_Contig_1_187.293_Circ</v>
          </cell>
          <cell r="D85" t="str">
            <v>range</v>
          </cell>
          <cell r="E85" t="str">
            <v>#f032e6</v>
          </cell>
          <cell r="F85" t="str">
            <v>C09</v>
          </cell>
        </row>
        <row r="86">
          <cell r="B86" t="str">
            <v>Contig_1_267.883_Circ</v>
          </cell>
          <cell r="C86" t="str">
            <v>SC1204_Contig_1_267.883_Circ</v>
          </cell>
          <cell r="D86" t="str">
            <v>range</v>
          </cell>
          <cell r="E86" t="str">
            <v>#f032e6</v>
          </cell>
          <cell r="F86" t="str">
            <v>C09</v>
          </cell>
        </row>
        <row r="87">
          <cell r="B87" t="str">
            <v>Contig_1_355.593_Circ</v>
          </cell>
          <cell r="C87" t="str">
            <v>SC1141_Contig_1_355.593_Circ</v>
          </cell>
          <cell r="D87" t="str">
            <v>range</v>
          </cell>
          <cell r="E87" t="str">
            <v>#f032e6</v>
          </cell>
          <cell r="F87" t="str">
            <v>C09</v>
          </cell>
        </row>
        <row r="88">
          <cell r="B88" t="str">
            <v>Contig_1_235.515_Circ</v>
          </cell>
          <cell r="C88" t="str">
            <v>SC1097_Contig_1_235.515_Circ</v>
          </cell>
          <cell r="D88" t="str">
            <v>range</v>
          </cell>
          <cell r="E88" t="str">
            <v>#f032e6</v>
          </cell>
          <cell r="F88" t="str">
            <v>C09</v>
          </cell>
        </row>
        <row r="89">
          <cell r="B89" t="str">
            <v>Contig_1_142.013_Circ</v>
          </cell>
          <cell r="C89" t="str">
            <v>SC1096_Contig_1_142.013_Circ</v>
          </cell>
          <cell r="D89" t="str">
            <v>range</v>
          </cell>
          <cell r="E89" t="str">
            <v>#f032e6</v>
          </cell>
          <cell r="F89" t="str">
            <v>C09</v>
          </cell>
        </row>
        <row r="90">
          <cell r="B90" t="str">
            <v>Contig_1_120.809_Circ</v>
          </cell>
          <cell r="C90" t="str">
            <v>SC0955_Contig_1_120.809_Circ</v>
          </cell>
          <cell r="D90" t="str">
            <v>range</v>
          </cell>
          <cell r="E90" t="str">
            <v>#f032e6</v>
          </cell>
          <cell r="F90" t="str">
            <v>C09</v>
          </cell>
        </row>
        <row r="91">
          <cell r="B91" t="str">
            <v>Contig_1_233.133_Circ</v>
          </cell>
          <cell r="C91" t="str">
            <v>SC0893_Contig_1_233.133_Circ</v>
          </cell>
          <cell r="D91" t="str">
            <v>range</v>
          </cell>
          <cell r="E91" t="str">
            <v>#f032e6</v>
          </cell>
          <cell r="F91" t="str">
            <v>C09</v>
          </cell>
        </row>
        <row r="92">
          <cell r="B92" t="str">
            <v>Contig_1_537.39_Circ</v>
          </cell>
          <cell r="C92" t="str">
            <v>SC0860_Contig_1_537.39_Circ</v>
          </cell>
          <cell r="D92" t="str">
            <v>range</v>
          </cell>
          <cell r="E92" t="str">
            <v>#f032e6</v>
          </cell>
          <cell r="F92" t="str">
            <v>C09</v>
          </cell>
        </row>
        <row r="93">
          <cell r="B93" t="str">
            <v>Contig_1_296.578_Circ</v>
          </cell>
          <cell r="C93" t="str">
            <v>SC0707_Contig_1_296.578_Circ</v>
          </cell>
          <cell r="D93" t="str">
            <v>range</v>
          </cell>
          <cell r="E93" t="str">
            <v>#f032e6</v>
          </cell>
          <cell r="F93" t="str">
            <v>C09</v>
          </cell>
        </row>
        <row r="94">
          <cell r="B94" t="str">
            <v>Contig_1_147.123_Circ</v>
          </cell>
          <cell r="C94" t="str">
            <v>SC0437_Contig_1_147.123_Circ</v>
          </cell>
          <cell r="D94" t="str">
            <v>range</v>
          </cell>
          <cell r="E94" t="str">
            <v>#f032e6</v>
          </cell>
          <cell r="F94" t="str">
            <v>C09</v>
          </cell>
        </row>
        <row r="95">
          <cell r="B95" t="str">
            <v>Contig_1_133.121_Circ</v>
          </cell>
          <cell r="C95" t="str">
            <v>SC0436_Contig_1_133.121_Circ</v>
          </cell>
          <cell r="D95" t="str">
            <v>range</v>
          </cell>
          <cell r="E95" t="str">
            <v>#f032e6</v>
          </cell>
          <cell r="F95" t="str">
            <v>C09</v>
          </cell>
        </row>
        <row r="96">
          <cell r="B96" t="str">
            <v>Contig_1_113.237_Circ</v>
          </cell>
          <cell r="C96" t="str">
            <v>SC0339_Contig_1_113.237_Circ</v>
          </cell>
          <cell r="D96" t="str">
            <v>range</v>
          </cell>
          <cell r="E96" t="str">
            <v>#f032e6</v>
          </cell>
          <cell r="F96" t="str">
            <v>C09</v>
          </cell>
        </row>
        <row r="97">
          <cell r="B97" t="str">
            <v>Contig_1_146.763_Circ</v>
          </cell>
          <cell r="C97" t="str">
            <v>SC0336_Contig_1_146.763_Circ</v>
          </cell>
          <cell r="D97" t="str">
            <v>range</v>
          </cell>
          <cell r="E97" t="str">
            <v>#f032e6</v>
          </cell>
          <cell r="F97" t="str">
            <v>C09</v>
          </cell>
        </row>
        <row r="98">
          <cell r="B98" t="str">
            <v>Contig_1_142.494_Circ</v>
          </cell>
          <cell r="C98" t="str">
            <v>SC0321_Contig_1_142.494_Circ</v>
          </cell>
          <cell r="D98" t="str">
            <v>range</v>
          </cell>
          <cell r="E98" t="str">
            <v>#f032e6</v>
          </cell>
          <cell r="F98" t="str">
            <v>C09</v>
          </cell>
        </row>
        <row r="99">
          <cell r="B99" t="str">
            <v>Contig_1_197.262_Circ</v>
          </cell>
          <cell r="C99" t="str">
            <v>SC0255_Contig_1_197.262_Circ</v>
          </cell>
          <cell r="D99" t="str">
            <v>range</v>
          </cell>
          <cell r="E99" t="str">
            <v>#f032e6</v>
          </cell>
          <cell r="F99" t="str">
            <v>C09</v>
          </cell>
        </row>
        <row r="100">
          <cell r="B100" t="str">
            <v>Contig_1_222.781_Circ</v>
          </cell>
          <cell r="C100" t="str">
            <v>SC0244_Contig_1_222.781_Circ</v>
          </cell>
          <cell r="D100" t="str">
            <v>range</v>
          </cell>
          <cell r="E100" t="str">
            <v>#f032e6</v>
          </cell>
          <cell r="F100" t="str">
            <v>C09</v>
          </cell>
        </row>
        <row r="101">
          <cell r="B101" t="str">
            <v>Contig_1_247.185_Circ</v>
          </cell>
          <cell r="C101" t="str">
            <v>SC0242_Contig_1_247.185_Circ</v>
          </cell>
          <cell r="D101" t="str">
            <v>range</v>
          </cell>
          <cell r="E101" t="str">
            <v>#f032e6</v>
          </cell>
          <cell r="F101" t="str">
            <v>C09</v>
          </cell>
        </row>
        <row r="102">
          <cell r="B102" t="str">
            <v>Contig_1_221.364_Circ</v>
          </cell>
          <cell r="C102" t="str">
            <v>SC0240_Contig_1_221.364_Circ</v>
          </cell>
          <cell r="D102" t="str">
            <v>range</v>
          </cell>
          <cell r="E102" t="str">
            <v>#f032e6</v>
          </cell>
          <cell r="F102" t="str">
            <v>C09</v>
          </cell>
        </row>
        <row r="103">
          <cell r="B103" t="str">
            <v>Contig_1_207.085_Circ</v>
          </cell>
          <cell r="C103" t="str">
            <v>SC0206_Contig_1_207.085_Circ</v>
          </cell>
          <cell r="D103" t="str">
            <v>range</v>
          </cell>
          <cell r="E103" t="str">
            <v>#f032e6</v>
          </cell>
          <cell r="F103" t="str">
            <v>C09</v>
          </cell>
        </row>
        <row r="104">
          <cell r="B104" t="str">
            <v>Contig_1_272.897_Circ</v>
          </cell>
          <cell r="C104" t="str">
            <v>SC0204_Contig_1_272.897_Circ</v>
          </cell>
          <cell r="D104" t="str">
            <v>range</v>
          </cell>
          <cell r="E104" t="str">
            <v>#f032e6</v>
          </cell>
          <cell r="F104" t="str">
            <v>C09</v>
          </cell>
        </row>
        <row r="105">
          <cell r="B105" t="str">
            <v>Contig_1_205.978_Circ</v>
          </cell>
          <cell r="C105" t="str">
            <v>SC0201_Contig_1_205.978_Circ</v>
          </cell>
          <cell r="D105" t="str">
            <v>range</v>
          </cell>
          <cell r="E105" t="str">
            <v>#f032e6</v>
          </cell>
          <cell r="F105" t="str">
            <v>C09</v>
          </cell>
        </row>
        <row r="106">
          <cell r="B106" t="str">
            <v>Contig_1_5256.73_Circ</v>
          </cell>
          <cell r="C106" t="str">
            <v>SC1689_Contig_1_5256.73_Circ</v>
          </cell>
          <cell r="D106" t="str">
            <v>range</v>
          </cell>
          <cell r="E106" t="str">
            <v>#9D00FF</v>
          </cell>
          <cell r="F106" t="str">
            <v>C03</v>
          </cell>
        </row>
        <row r="107">
          <cell r="B107" t="str">
            <v>Contig_1_5516.09_Circ</v>
          </cell>
          <cell r="C107" t="str">
            <v>SC1065_Contig_1_5516.09_Circ</v>
          </cell>
          <cell r="D107" t="str">
            <v>range</v>
          </cell>
          <cell r="E107" t="str">
            <v>#0000FF</v>
          </cell>
          <cell r="F107" t="str">
            <v>C07</v>
          </cell>
        </row>
        <row r="108">
          <cell r="B108" t="str">
            <v>Contig_2_5043.07_Circ</v>
          </cell>
          <cell r="C108" t="str">
            <v>SC0987_Contig_2_5043.07_Circ</v>
          </cell>
          <cell r="D108" t="str">
            <v>range</v>
          </cell>
          <cell r="E108" t="str">
            <v>#0000FF</v>
          </cell>
          <cell r="F108" t="str">
            <v>C07</v>
          </cell>
        </row>
        <row r="109">
          <cell r="B109" t="str">
            <v>Contig_1_10315.2_Circ</v>
          </cell>
          <cell r="C109" t="str">
            <v>SC0941_Contig_1_10315.2_Circ</v>
          </cell>
          <cell r="D109" t="str">
            <v>range</v>
          </cell>
          <cell r="E109" t="str">
            <v>#0000FF</v>
          </cell>
          <cell r="F109" t="str">
            <v>C07</v>
          </cell>
        </row>
        <row r="110">
          <cell r="B110" t="str">
            <v>Contig_1_55.8623_Circ</v>
          </cell>
          <cell r="C110" t="str">
            <v>SC0987_Contig_1_55.8623_Circ</v>
          </cell>
          <cell r="D110" t="str">
            <v>range</v>
          </cell>
          <cell r="E110" t="str">
            <v>#b57a40</v>
          </cell>
          <cell r="F110" t="str">
            <v>C14</v>
          </cell>
        </row>
        <row r="111">
          <cell r="B111" t="str">
            <v>Contig_1_133.324_Circ</v>
          </cell>
          <cell r="C111" t="str">
            <v>SC1718_Contig_1_133.324_Circ</v>
          </cell>
          <cell r="D111" t="str">
            <v>range</v>
          </cell>
          <cell r="E111" t="str">
            <v>#fd8108</v>
          </cell>
          <cell r="F111" t="str">
            <v>C15</v>
          </cell>
        </row>
        <row r="112">
          <cell r="B112" t="str">
            <v>Contig_1_146.736_Circ</v>
          </cell>
          <cell r="C112" t="str">
            <v>SC1386_Contig_1_146.736_Circ</v>
          </cell>
          <cell r="D112" t="str">
            <v>range</v>
          </cell>
          <cell r="E112" t="str">
            <v>#d3d3d3</v>
          </cell>
          <cell r="F112" t="str">
            <v>C08</v>
          </cell>
        </row>
        <row r="113">
          <cell r="B113" t="str">
            <v>Contig_1_119.905_Circ</v>
          </cell>
          <cell r="C113" t="str">
            <v>SC1320_Contig_1_119.905_Circ</v>
          </cell>
          <cell r="D113" t="str">
            <v>range</v>
          </cell>
          <cell r="E113" t="str">
            <v>#d3d3d3</v>
          </cell>
          <cell r="F113" t="str">
            <v>C08</v>
          </cell>
        </row>
        <row r="114">
          <cell r="B114" t="str">
            <v>Contig_1_222.424_Circ</v>
          </cell>
          <cell r="C114" t="str">
            <v>SC1318_Contig_1_222.424_Circ</v>
          </cell>
          <cell r="D114" t="str">
            <v>range</v>
          </cell>
          <cell r="E114" t="str">
            <v>#d3d3d3</v>
          </cell>
          <cell r="F114" t="str">
            <v>C08</v>
          </cell>
        </row>
        <row r="115">
          <cell r="B115" t="str">
            <v>Contig_1_250.739_Circ</v>
          </cell>
          <cell r="C115" t="str">
            <v>SC1292_Contig_1_250.739_Circ</v>
          </cell>
          <cell r="D115" t="str">
            <v>range</v>
          </cell>
          <cell r="E115" t="str">
            <v>#d3d3d3</v>
          </cell>
          <cell r="F115" t="str">
            <v>C08</v>
          </cell>
        </row>
        <row r="116">
          <cell r="B116" t="str">
            <v>Contig_1_9549.44_Circ</v>
          </cell>
          <cell r="C116" t="str">
            <v>SC1272_Contig_1_9549.44_Circ</v>
          </cell>
          <cell r="D116" t="str">
            <v>range</v>
          </cell>
          <cell r="E116" t="str">
            <v>#ADD8E6</v>
          </cell>
          <cell r="F116" t="str">
            <v>C04</v>
          </cell>
        </row>
        <row r="117">
          <cell r="B117" t="str">
            <v>Contig_1_57.4932_Circ</v>
          </cell>
          <cell r="C117" t="str">
            <v>SC0199_Contig_1_57.4932_Circ</v>
          </cell>
          <cell r="D117" t="str">
            <v>range</v>
          </cell>
          <cell r="E117" t="str">
            <v>#808080</v>
          </cell>
          <cell r="F117" t="str">
            <v>C06</v>
          </cell>
        </row>
        <row r="118">
          <cell r="B118" t="str">
            <v>Contig_1_48.3484_Circ</v>
          </cell>
          <cell r="C118" t="str">
            <v>SC0153_Contig_1_48.3484_Circ</v>
          </cell>
          <cell r="D118" t="str">
            <v>range</v>
          </cell>
          <cell r="E118" t="str">
            <v>#808080</v>
          </cell>
          <cell r="F118" t="str">
            <v>C06</v>
          </cell>
        </row>
        <row r="119">
          <cell r="B119" t="str">
            <v>Contig_1_743.574_Circ</v>
          </cell>
          <cell r="C119" t="str">
            <v>SC0083_Contig_1_743.574_Circ</v>
          </cell>
          <cell r="D119" t="str">
            <v>range</v>
          </cell>
          <cell r="E119" t="str">
            <v>#FF0000</v>
          </cell>
          <cell r="F119" t="str">
            <v>C02</v>
          </cell>
        </row>
        <row r="120">
          <cell r="B120" t="str">
            <v>Contig_1_5857.32_Circ</v>
          </cell>
          <cell r="C120" t="str">
            <v>SC1705_Contig_1_5857.32_Circ</v>
          </cell>
          <cell r="D120" t="str">
            <v>range</v>
          </cell>
          <cell r="E120" t="str">
            <v>#FF0000</v>
          </cell>
          <cell r="F120" t="str">
            <v>C02</v>
          </cell>
        </row>
        <row r="121">
          <cell r="B121" t="str">
            <v>Contig_1_6445.4_Circ</v>
          </cell>
          <cell r="C121" t="str">
            <v>SC1694_Contig_1_6445.4_Circ</v>
          </cell>
          <cell r="D121" t="str">
            <v>range</v>
          </cell>
          <cell r="E121" t="str">
            <v>#FF0000</v>
          </cell>
          <cell r="F121" t="str">
            <v>C02</v>
          </cell>
        </row>
        <row r="122">
          <cell r="B122" t="str">
            <v>Contig_1_2457.8_Circ</v>
          </cell>
          <cell r="C122" t="str">
            <v>SC0476_Contig_1_2457.8_Circ</v>
          </cell>
          <cell r="D122" t="str">
            <v>range</v>
          </cell>
          <cell r="E122" t="str">
            <v>#FF0000</v>
          </cell>
          <cell r="F122" t="str">
            <v>C02</v>
          </cell>
        </row>
        <row r="123">
          <cell r="B123" t="str">
            <v>Contig_1_3146.75_Circ</v>
          </cell>
          <cell r="C123" t="str">
            <v>SC0470_Contig_1_3146.75_Circ</v>
          </cell>
          <cell r="D123" t="str">
            <v>range</v>
          </cell>
          <cell r="E123" t="str">
            <v>#FF0000</v>
          </cell>
          <cell r="F123" t="str">
            <v>C02</v>
          </cell>
        </row>
        <row r="124">
          <cell r="B124" t="str">
            <v>Contig_1_6602.5_Circ</v>
          </cell>
          <cell r="C124" t="str">
            <v>SC0391_Contig_1_6602.5_Circ</v>
          </cell>
          <cell r="D124" t="str">
            <v>range</v>
          </cell>
          <cell r="E124" t="str">
            <v>#8B0000</v>
          </cell>
          <cell r="F124" t="str">
            <v>C05</v>
          </cell>
        </row>
        <row r="125">
          <cell r="B125" t="str">
            <v>Contig_1_11986.1_Circ</v>
          </cell>
          <cell r="C125" t="str">
            <v>SC0209_Contig_1_11986.1_Circ</v>
          </cell>
          <cell r="D125" t="str">
            <v>range</v>
          </cell>
          <cell r="E125" t="str">
            <v>#008000</v>
          </cell>
          <cell r="F125" t="str">
            <v>C01</v>
          </cell>
        </row>
        <row r="126">
          <cell r="B126" t="str">
            <v>Contig_1_1483.31_Circ</v>
          </cell>
          <cell r="C126" t="str">
            <v>SC1669_Contig_1_1483.31_Circ</v>
          </cell>
          <cell r="D126" t="str">
            <v>range</v>
          </cell>
          <cell r="E126" t="str">
            <v>#008000</v>
          </cell>
          <cell r="F126" t="str">
            <v>C01</v>
          </cell>
        </row>
        <row r="127">
          <cell r="B127" t="str">
            <v>Contig_1_1166.61_Circ</v>
          </cell>
          <cell r="C127" t="str">
            <v>SC1612_Contig_1_1166.61_Circ</v>
          </cell>
          <cell r="D127" t="str">
            <v>range</v>
          </cell>
          <cell r="E127" t="str">
            <v>#008000</v>
          </cell>
          <cell r="F127" t="str">
            <v>C01</v>
          </cell>
        </row>
        <row r="128">
          <cell r="B128" t="str">
            <v>Contig_1_2335.7_Circ</v>
          </cell>
          <cell r="C128" t="str">
            <v>SC1417_Contig_1_2335.7_Circ</v>
          </cell>
          <cell r="D128" t="str">
            <v>range</v>
          </cell>
          <cell r="E128" t="str">
            <v>#008000</v>
          </cell>
          <cell r="F128" t="str">
            <v>C01</v>
          </cell>
        </row>
        <row r="129">
          <cell r="B129" t="str">
            <v>Contig_1_1799.37_Circ</v>
          </cell>
          <cell r="C129" t="str">
            <v>SC1416_Contig_1_1799.37_Circ</v>
          </cell>
          <cell r="D129" t="str">
            <v>range</v>
          </cell>
          <cell r="E129" t="str">
            <v>#008000</v>
          </cell>
          <cell r="F129" t="str">
            <v>C01</v>
          </cell>
        </row>
        <row r="130">
          <cell r="B130" t="str">
            <v>Contig_1_39003.9_Circ</v>
          </cell>
          <cell r="C130" t="str">
            <v>SC0851_Contig_1_39003.9_Circ</v>
          </cell>
          <cell r="D130" t="str">
            <v>range</v>
          </cell>
          <cell r="E130" t="str">
            <v>#008000</v>
          </cell>
          <cell r="F130" t="str">
            <v>C01</v>
          </cell>
        </row>
        <row r="131">
          <cell r="B131" t="str">
            <v>Contig_1_25745.4_Circ</v>
          </cell>
          <cell r="C131" t="str">
            <v>SC0850_Contig_1_25745.4_Circ</v>
          </cell>
          <cell r="D131" t="str">
            <v>range</v>
          </cell>
          <cell r="E131" t="str">
            <v>#008000</v>
          </cell>
          <cell r="F131" t="str">
            <v>C01</v>
          </cell>
        </row>
        <row r="132">
          <cell r="B132" t="str">
            <v>Contig_1_13127_Circ</v>
          </cell>
          <cell r="C132" t="str">
            <v>SC0820_Contig_1_13127_Circ</v>
          </cell>
          <cell r="D132" t="str">
            <v>range</v>
          </cell>
          <cell r="E132" t="str">
            <v>#008000</v>
          </cell>
          <cell r="F132" t="str">
            <v>C01</v>
          </cell>
        </row>
        <row r="133">
          <cell r="B133" t="str">
            <v>Contig_2_3001.64_Circ</v>
          </cell>
          <cell r="C133" t="str">
            <v>SC0725_Contig_2_3001.64_Circ</v>
          </cell>
          <cell r="D133" t="str">
            <v>range</v>
          </cell>
          <cell r="E133" t="str">
            <v>#008000</v>
          </cell>
          <cell r="F133" t="str">
            <v>C01</v>
          </cell>
        </row>
        <row r="134">
          <cell r="B134" t="str">
            <v>Contig_1_4448.09_Circ</v>
          </cell>
          <cell r="C134" t="str">
            <v>SC0585_Contig_1_4448.09_Circ</v>
          </cell>
          <cell r="D134" t="str">
            <v>range</v>
          </cell>
          <cell r="E134" t="str">
            <v>#008000</v>
          </cell>
          <cell r="F134" t="str">
            <v>C01</v>
          </cell>
        </row>
        <row r="135">
          <cell r="B135" t="str">
            <v>Contig_1_5130.27_Circ</v>
          </cell>
          <cell r="C135" t="str">
            <v>SC0481_Contig_1_5130.27_Circ</v>
          </cell>
          <cell r="D135" t="str">
            <v>range</v>
          </cell>
          <cell r="E135" t="str">
            <v>#008000</v>
          </cell>
          <cell r="F135" t="str">
            <v>C01</v>
          </cell>
        </row>
        <row r="136">
          <cell r="B136" t="str">
            <v>Contig_1_17961.6_Circ</v>
          </cell>
          <cell r="C136" t="str">
            <v>SC0438_Contig_1_17961.6_Circ</v>
          </cell>
          <cell r="D136" t="str">
            <v>range</v>
          </cell>
          <cell r="E136" t="str">
            <v>#008000</v>
          </cell>
          <cell r="F136" t="str">
            <v>C01</v>
          </cell>
        </row>
        <row r="137">
          <cell r="B137" t="str">
            <v>Contig_1_8068.69_Circ</v>
          </cell>
          <cell r="C137" t="str">
            <v>SC0435_Contig_1_8068.69_Circ</v>
          </cell>
          <cell r="D137" t="str">
            <v>range</v>
          </cell>
          <cell r="E137" t="str">
            <v>#008000</v>
          </cell>
          <cell r="F137" t="str">
            <v>C01</v>
          </cell>
        </row>
        <row r="138">
          <cell r="B138" t="str">
            <v>Contig_1_5239.02_Circ</v>
          </cell>
          <cell r="C138" t="str">
            <v>SC0250_Contig_1_5239.02_Circ</v>
          </cell>
          <cell r="D138" t="str">
            <v>range</v>
          </cell>
          <cell r="E138" t="str">
            <v>#008000</v>
          </cell>
          <cell r="F138" t="str">
            <v>C01</v>
          </cell>
        </row>
        <row r="139">
          <cell r="B139" t="str">
            <v>Contig_1_344.855_Circ</v>
          </cell>
          <cell r="C139" t="str">
            <v>SC0087_Contig_1_344.855_Circ</v>
          </cell>
          <cell r="D139" t="str">
            <v>range</v>
          </cell>
          <cell r="E139" t="str">
            <v>#008000</v>
          </cell>
          <cell r="F139" t="str">
            <v>C01</v>
          </cell>
        </row>
        <row r="140">
          <cell r="B140" t="str">
            <v>Contig_1_412.781_Circ</v>
          </cell>
          <cell r="C140" t="str">
            <v>SC0086_Contig_1_412.781_Circ</v>
          </cell>
          <cell r="D140" t="str">
            <v>range</v>
          </cell>
          <cell r="E140" t="str">
            <v>#008000</v>
          </cell>
          <cell r="F140" t="str">
            <v>C01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B7E5-A4B7-4AB7-802E-C547E68355FB}">
  <dimension ref="A1:K177"/>
  <sheetViews>
    <sheetView tabSelected="1" zoomScale="145" zoomScaleNormal="145" workbookViewId="0">
      <selection activeCell="B16" sqref="B16"/>
    </sheetView>
  </sheetViews>
  <sheetFormatPr defaultRowHeight="15" x14ac:dyDescent="0.25"/>
  <cols>
    <col min="1" max="1" width="9.140625" style="4"/>
    <col min="2" max="2" width="20.42578125" style="4" bestFit="1" customWidth="1"/>
    <col min="3" max="3" width="25.7109375" style="4" bestFit="1" customWidth="1"/>
    <col min="4" max="4" width="13.28515625" style="4" bestFit="1" customWidth="1"/>
    <col min="5" max="5" width="13.28515625" style="4" customWidth="1"/>
    <col min="6" max="6" width="13.42578125" style="4" bestFit="1" customWidth="1"/>
    <col min="7" max="9" width="9.140625" style="4"/>
    <col min="10" max="10" width="13.42578125" style="4" customWidth="1"/>
  </cols>
  <sheetData>
    <row r="1" spans="1:10" s="1" customFormat="1" x14ac:dyDescent="0.25">
      <c r="A1" s="2" t="s">
        <v>0</v>
      </c>
      <c r="B1" s="2" t="s">
        <v>86</v>
      </c>
      <c r="C1" s="2" t="s">
        <v>213</v>
      </c>
      <c r="D1" s="3" t="s">
        <v>87</v>
      </c>
      <c r="E1" s="3" t="s">
        <v>270</v>
      </c>
      <c r="F1" s="3" t="s">
        <v>269</v>
      </c>
      <c r="G1" s="3" t="s">
        <v>1</v>
      </c>
      <c r="H1" s="3" t="s">
        <v>2</v>
      </c>
      <c r="I1" s="3" t="s">
        <v>3</v>
      </c>
      <c r="J1" s="3" t="s">
        <v>276</v>
      </c>
    </row>
    <row r="2" spans="1:10" x14ac:dyDescent="0.25">
      <c r="A2" s="4" t="s">
        <v>64</v>
      </c>
      <c r="B2" s="4" t="s">
        <v>214</v>
      </c>
      <c r="C2" s="4" t="s">
        <v>215</v>
      </c>
      <c r="D2" s="4">
        <v>1780</v>
      </c>
      <c r="E2" s="4" t="s">
        <v>85</v>
      </c>
      <c r="F2" s="4" t="s">
        <v>85</v>
      </c>
      <c r="G2" s="4" t="s">
        <v>65</v>
      </c>
      <c r="H2" s="4">
        <v>3072</v>
      </c>
      <c r="I2" s="4">
        <v>828</v>
      </c>
    </row>
    <row r="3" spans="1:10" x14ac:dyDescent="0.25">
      <c r="A3" s="4" t="s">
        <v>4</v>
      </c>
      <c r="B3" s="4" t="s">
        <v>88</v>
      </c>
      <c r="C3" s="4" t="s">
        <v>283</v>
      </c>
      <c r="D3" s="4">
        <v>9957</v>
      </c>
      <c r="E3" s="4" t="s">
        <v>85</v>
      </c>
      <c r="F3" s="4" t="s">
        <v>85</v>
      </c>
      <c r="G3" s="4" t="s">
        <v>67</v>
      </c>
      <c r="H3" s="4">
        <v>520</v>
      </c>
      <c r="I3" s="4">
        <v>21</v>
      </c>
    </row>
    <row r="4" spans="1:10" x14ac:dyDescent="0.25">
      <c r="A4" s="4" t="s">
        <v>4</v>
      </c>
      <c r="B4" s="4" t="s">
        <v>89</v>
      </c>
      <c r="C4" s="4" t="s">
        <v>295</v>
      </c>
      <c r="D4" s="4">
        <v>16031</v>
      </c>
      <c r="E4" s="4" t="s">
        <v>85</v>
      </c>
      <c r="F4" s="4" t="s">
        <v>85</v>
      </c>
      <c r="G4" s="4" t="s">
        <v>67</v>
      </c>
      <c r="H4" s="4">
        <v>520</v>
      </c>
      <c r="I4" s="4">
        <v>21</v>
      </c>
    </row>
    <row r="5" spans="1:10" x14ac:dyDescent="0.25">
      <c r="A5" s="4" t="s">
        <v>4</v>
      </c>
      <c r="B5" s="4" t="s">
        <v>90</v>
      </c>
      <c r="C5" s="4" t="s">
        <v>5</v>
      </c>
      <c r="D5" s="4">
        <v>892</v>
      </c>
      <c r="E5" s="4" t="s">
        <v>85</v>
      </c>
      <c r="F5" s="4" t="s">
        <v>85</v>
      </c>
      <c r="G5" s="4" t="s">
        <v>67</v>
      </c>
      <c r="H5" s="4">
        <v>520</v>
      </c>
      <c r="I5" s="4">
        <v>21</v>
      </c>
    </row>
    <row r="6" spans="1:10" x14ac:dyDescent="0.25">
      <c r="A6" s="4" t="s">
        <v>4</v>
      </c>
      <c r="B6" s="4" t="s">
        <v>91</v>
      </c>
      <c r="C6" s="4" t="s">
        <v>92</v>
      </c>
      <c r="D6" s="4">
        <v>22845</v>
      </c>
      <c r="E6" s="4" t="s">
        <v>85</v>
      </c>
      <c r="F6" s="4" t="s">
        <v>85</v>
      </c>
      <c r="G6" s="4" t="s">
        <v>67</v>
      </c>
      <c r="H6" s="4">
        <v>520</v>
      </c>
      <c r="I6" s="4">
        <v>21</v>
      </c>
    </row>
    <row r="7" spans="1:10" x14ac:dyDescent="0.25">
      <c r="A7" s="4" t="s">
        <v>66</v>
      </c>
      <c r="B7" s="4" t="s">
        <v>216</v>
      </c>
      <c r="C7" s="4" t="s">
        <v>215</v>
      </c>
      <c r="D7" s="4">
        <v>15833</v>
      </c>
      <c r="E7" s="4" t="s">
        <v>85</v>
      </c>
      <c r="F7" s="4" t="s">
        <v>85</v>
      </c>
      <c r="G7" s="4" t="s">
        <v>67</v>
      </c>
      <c r="H7" s="4">
        <v>508</v>
      </c>
      <c r="I7" s="4">
        <v>508</v>
      </c>
    </row>
    <row r="8" spans="1:10" x14ac:dyDescent="0.25">
      <c r="A8" s="4" t="s">
        <v>68</v>
      </c>
      <c r="B8" s="4" t="s">
        <v>217</v>
      </c>
      <c r="C8" s="4" t="s">
        <v>215</v>
      </c>
      <c r="D8" s="4">
        <v>16178</v>
      </c>
      <c r="E8" s="4" t="s">
        <v>85</v>
      </c>
      <c r="F8" s="4" t="s">
        <v>85</v>
      </c>
      <c r="G8" s="4" t="s">
        <v>67</v>
      </c>
      <c r="H8" s="4">
        <v>12749</v>
      </c>
      <c r="I8" s="4">
        <v>353</v>
      </c>
    </row>
    <row r="9" spans="1:10" x14ac:dyDescent="0.25">
      <c r="A9" s="4" t="s">
        <v>68</v>
      </c>
      <c r="B9" s="4" t="s">
        <v>218</v>
      </c>
      <c r="C9" s="4" t="s">
        <v>215</v>
      </c>
      <c r="D9" s="4">
        <v>8627</v>
      </c>
      <c r="E9" s="4" t="s">
        <v>85</v>
      </c>
      <c r="F9" s="4" t="s">
        <v>85</v>
      </c>
      <c r="G9" s="4" t="s">
        <v>67</v>
      </c>
      <c r="H9" s="4">
        <v>12749</v>
      </c>
      <c r="I9" s="4">
        <v>353</v>
      </c>
    </row>
    <row r="10" spans="1:10" x14ac:dyDescent="0.25">
      <c r="A10" s="4" t="s">
        <v>68</v>
      </c>
      <c r="B10" s="4" t="s">
        <v>219</v>
      </c>
      <c r="C10" s="4" t="s">
        <v>215</v>
      </c>
      <c r="D10" s="4">
        <v>13267</v>
      </c>
      <c r="E10" s="4" t="s">
        <v>85</v>
      </c>
      <c r="F10" s="4" t="s">
        <v>85</v>
      </c>
      <c r="G10" s="4" t="s">
        <v>67</v>
      </c>
      <c r="H10" s="4">
        <v>12749</v>
      </c>
      <c r="I10" s="4">
        <v>353</v>
      </c>
    </row>
    <row r="11" spans="1:10" x14ac:dyDescent="0.25">
      <c r="A11" s="4" t="s">
        <v>68</v>
      </c>
      <c r="B11" s="4" t="s">
        <v>220</v>
      </c>
      <c r="C11" s="4" t="s">
        <v>215</v>
      </c>
      <c r="D11" s="4">
        <v>6098</v>
      </c>
      <c r="E11" s="4" t="s">
        <v>85</v>
      </c>
      <c r="F11" s="4" t="s">
        <v>85</v>
      </c>
      <c r="G11" s="4" t="s">
        <v>67</v>
      </c>
      <c r="H11" s="4">
        <v>12749</v>
      </c>
      <c r="I11" s="4">
        <v>353</v>
      </c>
    </row>
    <row r="12" spans="1:10" x14ac:dyDescent="0.25">
      <c r="A12" s="4" t="s">
        <v>68</v>
      </c>
      <c r="B12" s="4" t="s">
        <v>221</v>
      </c>
      <c r="C12" s="4" t="s">
        <v>215</v>
      </c>
      <c r="D12" s="4">
        <v>3046</v>
      </c>
      <c r="E12" s="4" t="s">
        <v>85</v>
      </c>
      <c r="F12" s="4" t="s">
        <v>85</v>
      </c>
      <c r="G12" s="4" t="s">
        <v>67</v>
      </c>
      <c r="H12" s="4">
        <v>12749</v>
      </c>
      <c r="I12" s="4">
        <v>353</v>
      </c>
    </row>
    <row r="13" spans="1:10" x14ac:dyDescent="0.25">
      <c r="A13" s="4" t="s">
        <v>68</v>
      </c>
      <c r="B13" s="4" t="s">
        <v>222</v>
      </c>
      <c r="C13" s="4" t="s">
        <v>215</v>
      </c>
      <c r="D13" s="4">
        <v>1761</v>
      </c>
      <c r="E13" s="4" t="s">
        <v>85</v>
      </c>
      <c r="F13" s="4" t="s">
        <v>85</v>
      </c>
      <c r="G13" s="4" t="s">
        <v>67</v>
      </c>
      <c r="H13" s="4">
        <v>12749</v>
      </c>
      <c r="I13" s="4">
        <v>353</v>
      </c>
    </row>
    <row r="14" spans="1:10" x14ac:dyDescent="0.25">
      <c r="A14" s="4" t="s">
        <v>69</v>
      </c>
      <c r="B14" s="4" t="s">
        <v>223</v>
      </c>
      <c r="C14" s="4" t="s">
        <v>215</v>
      </c>
      <c r="D14" s="4">
        <v>31327</v>
      </c>
      <c r="E14" s="4" t="s">
        <v>85</v>
      </c>
      <c r="F14" s="4" t="s">
        <v>85</v>
      </c>
      <c r="G14" s="4" t="s">
        <v>67</v>
      </c>
      <c r="H14" s="4">
        <v>227</v>
      </c>
      <c r="I14" s="4">
        <v>206</v>
      </c>
    </row>
    <row r="15" spans="1:10" x14ac:dyDescent="0.25">
      <c r="A15" s="4" t="s">
        <v>70</v>
      </c>
      <c r="B15" s="4" t="s">
        <v>224</v>
      </c>
      <c r="C15" s="4" t="s">
        <v>215</v>
      </c>
      <c r="D15" s="4">
        <v>4301</v>
      </c>
      <c r="E15" s="4" t="s">
        <v>85</v>
      </c>
      <c r="F15" s="4" t="s">
        <v>85</v>
      </c>
      <c r="G15" s="4" t="s">
        <v>67</v>
      </c>
      <c r="H15" s="4">
        <v>354</v>
      </c>
      <c r="I15" s="4">
        <v>354</v>
      </c>
    </row>
    <row r="16" spans="1:10" x14ac:dyDescent="0.25">
      <c r="A16" s="4" t="s">
        <v>70</v>
      </c>
      <c r="B16" s="4" t="s">
        <v>225</v>
      </c>
      <c r="C16" s="4" t="s">
        <v>215</v>
      </c>
      <c r="D16" s="4">
        <v>6534</v>
      </c>
      <c r="E16" s="4" t="s">
        <v>85</v>
      </c>
      <c r="F16" s="4" t="s">
        <v>85</v>
      </c>
      <c r="G16" s="4" t="s">
        <v>67</v>
      </c>
      <c r="H16" s="4">
        <v>354</v>
      </c>
      <c r="I16" s="4">
        <v>354</v>
      </c>
    </row>
    <row r="17" spans="1:9" x14ac:dyDescent="0.25">
      <c r="A17" s="4" t="s">
        <v>70</v>
      </c>
      <c r="B17" s="4" t="s">
        <v>226</v>
      </c>
      <c r="C17" s="4" t="s">
        <v>215</v>
      </c>
      <c r="D17" s="4">
        <v>4407</v>
      </c>
      <c r="E17" s="4" t="s">
        <v>85</v>
      </c>
      <c r="F17" s="4" t="s">
        <v>85</v>
      </c>
      <c r="G17" s="4" t="s">
        <v>67</v>
      </c>
      <c r="H17" s="4">
        <v>354</v>
      </c>
      <c r="I17" s="4">
        <v>354</v>
      </c>
    </row>
    <row r="18" spans="1:9" x14ac:dyDescent="0.25">
      <c r="A18" s="4" t="s">
        <v>70</v>
      </c>
      <c r="B18" s="4" t="s">
        <v>227</v>
      </c>
      <c r="C18" s="4" t="s">
        <v>215</v>
      </c>
      <c r="D18" s="4">
        <v>43222</v>
      </c>
      <c r="E18" s="4" t="s">
        <v>85</v>
      </c>
      <c r="F18" s="4" t="s">
        <v>85</v>
      </c>
      <c r="G18" s="4" t="s">
        <v>67</v>
      </c>
      <c r="H18" s="4">
        <v>354</v>
      </c>
      <c r="I18" s="4">
        <v>354</v>
      </c>
    </row>
    <row r="19" spans="1:9" x14ac:dyDescent="0.25">
      <c r="A19" s="4" t="s">
        <v>70</v>
      </c>
      <c r="B19" s="4" t="s">
        <v>228</v>
      </c>
      <c r="C19" s="4" t="s">
        <v>215</v>
      </c>
      <c r="D19" s="4">
        <v>1386</v>
      </c>
      <c r="E19" s="4" t="s">
        <v>85</v>
      </c>
      <c r="F19" s="4" t="s">
        <v>85</v>
      </c>
      <c r="G19" s="4" t="s">
        <v>67</v>
      </c>
      <c r="H19" s="4">
        <v>354</v>
      </c>
      <c r="I19" s="4">
        <v>354</v>
      </c>
    </row>
    <row r="20" spans="1:9" x14ac:dyDescent="0.25">
      <c r="A20" s="4" t="s">
        <v>8</v>
      </c>
      <c r="B20" s="4" t="s">
        <v>93</v>
      </c>
      <c r="C20" s="4" t="s">
        <v>17</v>
      </c>
      <c r="D20" s="4">
        <v>7528</v>
      </c>
      <c r="E20" s="4" t="s">
        <v>85</v>
      </c>
      <c r="F20" s="4" t="s">
        <v>85</v>
      </c>
      <c r="G20" s="4" t="s">
        <v>67</v>
      </c>
      <c r="H20" s="4">
        <v>677</v>
      </c>
      <c r="I20" s="4">
        <v>677</v>
      </c>
    </row>
    <row r="21" spans="1:9" x14ac:dyDescent="0.25">
      <c r="A21" s="4" t="s">
        <v>8</v>
      </c>
      <c r="B21" s="4" t="s">
        <v>94</v>
      </c>
      <c r="C21" s="4" t="s">
        <v>296</v>
      </c>
      <c r="D21" s="4">
        <v>12620</v>
      </c>
      <c r="E21" s="4" t="s">
        <v>85</v>
      </c>
      <c r="F21" s="4" t="s">
        <v>85</v>
      </c>
      <c r="G21" s="4" t="s">
        <v>67</v>
      </c>
      <c r="H21" s="4">
        <v>677</v>
      </c>
      <c r="I21" s="4">
        <v>677</v>
      </c>
    </row>
    <row r="22" spans="1:9" x14ac:dyDescent="0.25">
      <c r="A22" s="4" t="s">
        <v>8</v>
      </c>
      <c r="B22" s="4" t="s">
        <v>95</v>
      </c>
      <c r="C22" s="4" t="s">
        <v>283</v>
      </c>
      <c r="D22" s="4">
        <v>8948</v>
      </c>
      <c r="E22" s="4" t="s">
        <v>85</v>
      </c>
      <c r="F22" s="4" t="s">
        <v>85</v>
      </c>
      <c r="G22" s="4" t="s">
        <v>67</v>
      </c>
      <c r="H22" s="4">
        <v>677</v>
      </c>
      <c r="I22" s="4">
        <v>677</v>
      </c>
    </row>
    <row r="23" spans="1:9" x14ac:dyDescent="0.25">
      <c r="A23" s="4" t="s">
        <v>9</v>
      </c>
      <c r="B23" s="4" t="s">
        <v>96</v>
      </c>
      <c r="C23" s="4" t="s">
        <v>291</v>
      </c>
      <c r="D23" s="4">
        <v>12633</v>
      </c>
      <c r="E23" s="4" t="s">
        <v>85</v>
      </c>
      <c r="F23" s="4" t="s">
        <v>85</v>
      </c>
      <c r="G23" s="4" t="s">
        <v>67</v>
      </c>
      <c r="H23" s="4">
        <v>48</v>
      </c>
      <c r="I23" s="4">
        <v>48</v>
      </c>
    </row>
    <row r="24" spans="1:9" x14ac:dyDescent="0.25">
      <c r="A24" s="4" t="s">
        <v>9</v>
      </c>
      <c r="B24" s="4" t="s">
        <v>97</v>
      </c>
      <c r="C24" s="4" t="s">
        <v>284</v>
      </c>
      <c r="D24" s="4">
        <v>30787</v>
      </c>
      <c r="E24" s="4" t="s">
        <v>85</v>
      </c>
      <c r="F24" s="4" t="s">
        <v>85</v>
      </c>
      <c r="G24" s="4" t="s">
        <v>67</v>
      </c>
      <c r="H24" s="4">
        <v>48</v>
      </c>
      <c r="I24" s="4">
        <v>48</v>
      </c>
    </row>
    <row r="25" spans="1:9" x14ac:dyDescent="0.25">
      <c r="A25" s="4" t="s">
        <v>10</v>
      </c>
      <c r="B25" s="4" t="s">
        <v>98</v>
      </c>
      <c r="C25" s="4" t="s">
        <v>280</v>
      </c>
      <c r="D25" s="4">
        <v>4495</v>
      </c>
      <c r="E25" s="4" t="s">
        <v>278</v>
      </c>
      <c r="F25" s="4" t="str">
        <f>VLOOKUP(B25,[1]colour_range_groups!$B$2:$F$140,5,FALSE)</f>
        <v>C02</v>
      </c>
      <c r="G25" s="4" t="s">
        <v>67</v>
      </c>
      <c r="H25" s="4">
        <v>704</v>
      </c>
      <c r="I25" s="4" t="s">
        <v>268</v>
      </c>
    </row>
    <row r="26" spans="1:9" x14ac:dyDescent="0.25">
      <c r="A26" s="4" t="s">
        <v>11</v>
      </c>
      <c r="B26" s="4" t="s">
        <v>99</v>
      </c>
      <c r="C26" s="4" t="s">
        <v>6</v>
      </c>
      <c r="D26" s="4">
        <v>38712</v>
      </c>
      <c r="E26" s="4" t="s">
        <v>85</v>
      </c>
      <c r="F26" s="4" t="s">
        <v>85</v>
      </c>
      <c r="G26" s="4" t="s">
        <v>67</v>
      </c>
      <c r="H26" s="4">
        <v>1030</v>
      </c>
      <c r="I26" s="4" t="s">
        <v>268</v>
      </c>
    </row>
    <row r="27" spans="1:9" x14ac:dyDescent="0.25">
      <c r="A27" s="4" t="s">
        <v>12</v>
      </c>
      <c r="B27" s="4" t="s">
        <v>100</v>
      </c>
      <c r="C27" s="4" t="s">
        <v>13</v>
      </c>
      <c r="D27" s="4">
        <v>29801</v>
      </c>
      <c r="E27" s="4" t="s">
        <v>85</v>
      </c>
      <c r="F27" s="4" t="s">
        <v>85</v>
      </c>
      <c r="G27" s="4" t="s">
        <v>67</v>
      </c>
      <c r="H27" s="4">
        <v>61</v>
      </c>
      <c r="I27" s="4">
        <v>61</v>
      </c>
    </row>
    <row r="28" spans="1:9" x14ac:dyDescent="0.25">
      <c r="A28" s="4" t="s">
        <v>14</v>
      </c>
      <c r="B28" s="4" t="s">
        <v>101</v>
      </c>
      <c r="C28" s="4" t="s">
        <v>15</v>
      </c>
      <c r="D28" s="4">
        <v>20835</v>
      </c>
      <c r="E28" s="4" t="s">
        <v>85</v>
      </c>
      <c r="F28" s="4" t="s">
        <v>85</v>
      </c>
      <c r="G28" s="4" t="s">
        <v>67</v>
      </c>
      <c r="H28" s="4">
        <v>137</v>
      </c>
      <c r="I28" s="4">
        <v>45</v>
      </c>
    </row>
    <row r="29" spans="1:9" x14ac:dyDescent="0.25">
      <c r="A29" s="4" t="s">
        <v>71</v>
      </c>
      <c r="B29" s="4" t="s">
        <v>229</v>
      </c>
      <c r="C29" s="4" t="s">
        <v>215</v>
      </c>
      <c r="D29" s="4">
        <v>17513</v>
      </c>
      <c r="E29" s="4" t="s">
        <v>85</v>
      </c>
      <c r="F29" s="4" t="s">
        <v>85</v>
      </c>
      <c r="G29" s="4" t="s">
        <v>67</v>
      </c>
      <c r="H29" s="4">
        <v>257</v>
      </c>
      <c r="I29" s="4">
        <v>257</v>
      </c>
    </row>
    <row r="30" spans="1:9" x14ac:dyDescent="0.25">
      <c r="A30" s="4" t="s">
        <v>71</v>
      </c>
      <c r="B30" s="4" t="s">
        <v>230</v>
      </c>
      <c r="C30" s="4" t="s">
        <v>215</v>
      </c>
      <c r="D30" s="4">
        <v>6402</v>
      </c>
      <c r="E30" s="4" t="s">
        <v>85</v>
      </c>
      <c r="F30" s="4" t="s">
        <v>85</v>
      </c>
      <c r="G30" s="4" t="s">
        <v>67</v>
      </c>
      <c r="H30" s="4">
        <v>257</v>
      </c>
      <c r="I30" s="4">
        <v>257</v>
      </c>
    </row>
    <row r="31" spans="1:9" x14ac:dyDescent="0.25">
      <c r="A31" s="4" t="s">
        <v>72</v>
      </c>
      <c r="B31" s="4" t="s">
        <v>231</v>
      </c>
      <c r="C31" s="4" t="s">
        <v>215</v>
      </c>
      <c r="D31" s="4">
        <v>24881</v>
      </c>
      <c r="E31" s="4" t="s">
        <v>85</v>
      </c>
      <c r="F31" s="4" t="s">
        <v>85</v>
      </c>
      <c r="G31" s="4" t="s">
        <v>67</v>
      </c>
      <c r="H31" s="4">
        <v>474</v>
      </c>
      <c r="I31" s="4">
        <v>48</v>
      </c>
    </row>
    <row r="32" spans="1:9" x14ac:dyDescent="0.25">
      <c r="A32" s="4" t="s">
        <v>72</v>
      </c>
      <c r="B32" s="4" t="s">
        <v>232</v>
      </c>
      <c r="C32" s="4" t="s">
        <v>215</v>
      </c>
      <c r="D32" s="4">
        <v>21971</v>
      </c>
      <c r="E32" s="4" t="s">
        <v>85</v>
      </c>
      <c r="F32" s="4" t="s">
        <v>85</v>
      </c>
      <c r="G32" s="4" t="s">
        <v>67</v>
      </c>
      <c r="H32" s="4">
        <v>474</v>
      </c>
      <c r="I32" s="4">
        <v>48</v>
      </c>
    </row>
    <row r="33" spans="1:10" x14ac:dyDescent="0.25">
      <c r="A33" s="4" t="s">
        <v>72</v>
      </c>
      <c r="B33" s="4" t="s">
        <v>233</v>
      </c>
      <c r="C33" s="4" t="s">
        <v>215</v>
      </c>
      <c r="D33" s="4">
        <v>1470</v>
      </c>
      <c r="E33" s="4" t="s">
        <v>85</v>
      </c>
      <c r="F33" s="4" t="s">
        <v>85</v>
      </c>
      <c r="G33" s="4" t="s">
        <v>67</v>
      </c>
      <c r="H33" s="4">
        <v>474</v>
      </c>
      <c r="I33" s="4">
        <v>48</v>
      </c>
    </row>
    <row r="34" spans="1:10" x14ac:dyDescent="0.25">
      <c r="A34" s="4" t="s">
        <v>72</v>
      </c>
      <c r="B34" s="4" t="s">
        <v>234</v>
      </c>
      <c r="C34" s="4" t="s">
        <v>215</v>
      </c>
      <c r="D34" s="4">
        <v>2938</v>
      </c>
      <c r="E34" s="4" t="s">
        <v>85</v>
      </c>
      <c r="F34" s="4" t="s">
        <v>85</v>
      </c>
      <c r="G34" s="4" t="s">
        <v>67</v>
      </c>
      <c r="H34" s="4">
        <v>474</v>
      </c>
      <c r="I34" s="4">
        <v>48</v>
      </c>
    </row>
    <row r="35" spans="1:10" x14ac:dyDescent="0.25">
      <c r="A35" s="4" t="s">
        <v>16</v>
      </c>
      <c r="B35" s="4" t="s">
        <v>102</v>
      </c>
      <c r="C35" s="4" t="s">
        <v>17</v>
      </c>
      <c r="D35" s="4">
        <v>4093</v>
      </c>
      <c r="E35" s="4" t="s">
        <v>85</v>
      </c>
      <c r="F35" s="4" t="s">
        <v>85</v>
      </c>
      <c r="G35" s="4" t="s">
        <v>67</v>
      </c>
      <c r="H35" s="4">
        <v>535</v>
      </c>
      <c r="I35" s="4">
        <v>460</v>
      </c>
    </row>
    <row r="36" spans="1:10" x14ac:dyDescent="0.25">
      <c r="A36" s="4" t="s">
        <v>73</v>
      </c>
      <c r="B36" s="4" t="s">
        <v>235</v>
      </c>
      <c r="C36" s="4" t="s">
        <v>215</v>
      </c>
      <c r="D36" s="4">
        <v>16562</v>
      </c>
      <c r="E36" s="4" t="s">
        <v>85</v>
      </c>
      <c r="F36" s="4" t="s">
        <v>85</v>
      </c>
      <c r="G36" s="4" t="s">
        <v>67</v>
      </c>
      <c r="H36" s="4">
        <v>3538</v>
      </c>
      <c r="I36" s="4" t="s">
        <v>268</v>
      </c>
    </row>
    <row r="37" spans="1:10" x14ac:dyDescent="0.25">
      <c r="A37" s="4" t="s">
        <v>73</v>
      </c>
      <c r="B37" s="4" t="s">
        <v>236</v>
      </c>
      <c r="C37" s="4" t="s">
        <v>215</v>
      </c>
      <c r="D37" s="4">
        <v>18306</v>
      </c>
      <c r="E37" s="4" t="s">
        <v>85</v>
      </c>
      <c r="F37" s="4" t="s">
        <v>85</v>
      </c>
      <c r="G37" s="4" t="s">
        <v>67</v>
      </c>
      <c r="H37" s="4">
        <v>3538</v>
      </c>
      <c r="I37" s="4" t="s">
        <v>268</v>
      </c>
    </row>
    <row r="38" spans="1:10" x14ac:dyDescent="0.25">
      <c r="A38" s="4" t="s">
        <v>73</v>
      </c>
      <c r="B38" s="4" t="s">
        <v>237</v>
      </c>
      <c r="C38" s="4" t="s">
        <v>215</v>
      </c>
      <c r="D38" s="4">
        <v>4808</v>
      </c>
      <c r="E38" s="4" t="s">
        <v>85</v>
      </c>
      <c r="F38" s="4" t="s">
        <v>85</v>
      </c>
      <c r="G38" s="4" t="s">
        <v>67</v>
      </c>
      <c r="H38" s="4">
        <v>3538</v>
      </c>
      <c r="I38" s="4" t="s">
        <v>268</v>
      </c>
    </row>
    <row r="39" spans="1:10" x14ac:dyDescent="0.25">
      <c r="A39" s="4" t="s">
        <v>73</v>
      </c>
      <c r="B39" s="4" t="s">
        <v>238</v>
      </c>
      <c r="C39" s="4" t="s">
        <v>215</v>
      </c>
      <c r="D39" s="4">
        <v>6401</v>
      </c>
      <c r="E39" s="4" t="s">
        <v>85</v>
      </c>
      <c r="F39" s="4" t="s">
        <v>85</v>
      </c>
      <c r="G39" s="4" t="s">
        <v>67</v>
      </c>
      <c r="H39" s="4">
        <v>3538</v>
      </c>
      <c r="I39" s="4" t="s">
        <v>268</v>
      </c>
    </row>
    <row r="40" spans="1:10" x14ac:dyDescent="0.25">
      <c r="A40" s="4" t="s">
        <v>18</v>
      </c>
      <c r="B40" s="4" t="s">
        <v>103</v>
      </c>
      <c r="C40" s="4" t="s">
        <v>92</v>
      </c>
      <c r="D40" s="4">
        <v>25468</v>
      </c>
      <c r="E40" s="4" t="s">
        <v>85</v>
      </c>
      <c r="F40" s="4" t="s">
        <v>85</v>
      </c>
      <c r="G40" s="4" t="s">
        <v>67</v>
      </c>
      <c r="H40" s="4">
        <v>42</v>
      </c>
      <c r="I40" s="4">
        <v>42</v>
      </c>
    </row>
    <row r="41" spans="1:10" x14ac:dyDescent="0.25">
      <c r="A41" s="4" t="s">
        <v>18</v>
      </c>
      <c r="B41" s="4" t="s">
        <v>104</v>
      </c>
      <c r="C41" s="4" t="s">
        <v>283</v>
      </c>
      <c r="D41" s="4">
        <v>7021</v>
      </c>
      <c r="E41" s="4" t="s">
        <v>85</v>
      </c>
      <c r="F41" s="4" t="s">
        <v>85</v>
      </c>
      <c r="G41" s="4" t="s">
        <v>67</v>
      </c>
      <c r="H41" s="4">
        <v>42</v>
      </c>
      <c r="I41" s="4">
        <v>42</v>
      </c>
    </row>
    <row r="42" spans="1:10" x14ac:dyDescent="0.25">
      <c r="A42" s="4" t="s">
        <v>18</v>
      </c>
      <c r="B42" s="4" t="s">
        <v>105</v>
      </c>
      <c r="C42" s="4" t="s">
        <v>13</v>
      </c>
      <c r="D42" s="4">
        <v>29326</v>
      </c>
      <c r="E42" s="4" t="s">
        <v>85</v>
      </c>
      <c r="F42" s="4" t="s">
        <v>85</v>
      </c>
      <c r="G42" s="4" t="s">
        <v>67</v>
      </c>
      <c r="H42" s="4">
        <v>42</v>
      </c>
      <c r="I42" s="4">
        <v>42</v>
      </c>
    </row>
    <row r="43" spans="1:10" x14ac:dyDescent="0.25">
      <c r="A43" s="4" t="s">
        <v>74</v>
      </c>
      <c r="B43" s="4" t="s">
        <v>239</v>
      </c>
      <c r="C43" s="4" t="s">
        <v>215</v>
      </c>
      <c r="D43" s="4">
        <v>16839</v>
      </c>
      <c r="E43" s="4" t="s">
        <v>85</v>
      </c>
      <c r="F43" s="4" t="s">
        <v>85</v>
      </c>
      <c r="G43" s="4" t="s">
        <v>67</v>
      </c>
      <c r="H43" s="4">
        <v>403</v>
      </c>
      <c r="I43" s="4">
        <v>403</v>
      </c>
      <c r="J43" s="4" t="s">
        <v>277</v>
      </c>
    </row>
    <row r="44" spans="1:10" x14ac:dyDescent="0.25">
      <c r="A44" s="4" t="s">
        <v>74</v>
      </c>
      <c r="B44" s="4" t="s">
        <v>240</v>
      </c>
      <c r="C44" s="4" t="s">
        <v>215</v>
      </c>
      <c r="D44" s="4">
        <v>11851</v>
      </c>
      <c r="E44" s="4" t="s">
        <v>85</v>
      </c>
      <c r="F44" s="4" t="s">
        <v>85</v>
      </c>
      <c r="G44" s="4" t="s">
        <v>67</v>
      </c>
      <c r="H44" s="4">
        <v>403</v>
      </c>
      <c r="I44" s="4">
        <v>403</v>
      </c>
    </row>
    <row r="45" spans="1:10" x14ac:dyDescent="0.25">
      <c r="A45" s="4" t="s">
        <v>74</v>
      </c>
      <c r="B45" s="4" t="s">
        <v>241</v>
      </c>
      <c r="C45" s="4" t="s">
        <v>215</v>
      </c>
      <c r="D45" s="4">
        <v>6513</v>
      </c>
      <c r="E45" s="4" t="s">
        <v>278</v>
      </c>
      <c r="F45" s="4" t="str">
        <f>VLOOKUP(B45,[1]colour_range_groups!$B$2:$F$140,5,FALSE)</f>
        <v>C06</v>
      </c>
      <c r="G45" s="4" t="s">
        <v>67</v>
      </c>
      <c r="H45" s="4">
        <v>403</v>
      </c>
      <c r="I45" s="4">
        <v>403</v>
      </c>
    </row>
    <row r="46" spans="1:10" x14ac:dyDescent="0.25">
      <c r="A46" s="4" t="s">
        <v>74</v>
      </c>
      <c r="B46" s="4" t="s">
        <v>242</v>
      </c>
      <c r="C46" s="4" t="s">
        <v>215</v>
      </c>
      <c r="D46" s="4">
        <v>4278</v>
      </c>
      <c r="E46" s="4" t="s">
        <v>85</v>
      </c>
      <c r="F46" s="4" t="s">
        <v>85</v>
      </c>
      <c r="G46" s="4" t="s">
        <v>67</v>
      </c>
      <c r="H46" s="4">
        <v>403</v>
      </c>
      <c r="I46" s="4">
        <v>403</v>
      </c>
    </row>
    <row r="47" spans="1:10" x14ac:dyDescent="0.25">
      <c r="A47" s="4" t="s">
        <v>74</v>
      </c>
      <c r="B47" s="4" t="s">
        <v>243</v>
      </c>
      <c r="C47" s="4" t="s">
        <v>215</v>
      </c>
      <c r="D47" s="4">
        <v>5373</v>
      </c>
      <c r="E47" s="4" t="s">
        <v>85</v>
      </c>
      <c r="F47" s="4" t="s">
        <v>85</v>
      </c>
      <c r="G47" s="4" t="s">
        <v>67</v>
      </c>
      <c r="H47" s="4">
        <v>403</v>
      </c>
      <c r="I47" s="4">
        <v>403</v>
      </c>
    </row>
    <row r="48" spans="1:10" x14ac:dyDescent="0.25">
      <c r="A48" s="4" t="s">
        <v>74</v>
      </c>
      <c r="B48" s="4" t="s">
        <v>244</v>
      </c>
      <c r="C48" s="4" t="s">
        <v>215</v>
      </c>
      <c r="D48" s="4">
        <v>1831</v>
      </c>
      <c r="E48" s="4" t="s">
        <v>85</v>
      </c>
      <c r="F48" s="4" t="s">
        <v>85</v>
      </c>
      <c r="G48" s="4" t="s">
        <v>67</v>
      </c>
      <c r="H48" s="4">
        <v>403</v>
      </c>
      <c r="I48" s="4">
        <v>403</v>
      </c>
    </row>
    <row r="49" spans="1:9" x14ac:dyDescent="0.25">
      <c r="A49" s="4" t="s">
        <v>74</v>
      </c>
      <c r="B49" s="4" t="s">
        <v>245</v>
      </c>
      <c r="C49" s="4" t="s">
        <v>215</v>
      </c>
      <c r="D49" s="4">
        <v>10647</v>
      </c>
      <c r="E49" s="4" t="s">
        <v>85</v>
      </c>
      <c r="F49" s="4" t="s">
        <v>85</v>
      </c>
      <c r="G49" s="4" t="s">
        <v>67</v>
      </c>
      <c r="H49" s="4">
        <v>403</v>
      </c>
      <c r="I49" s="4">
        <v>403</v>
      </c>
    </row>
    <row r="50" spans="1:9" x14ac:dyDescent="0.25">
      <c r="A50" s="4" t="s">
        <v>74</v>
      </c>
      <c r="B50" s="4" t="s">
        <v>246</v>
      </c>
      <c r="C50" s="4" t="s">
        <v>215</v>
      </c>
      <c r="D50" s="4">
        <v>1846</v>
      </c>
      <c r="E50" s="4" t="s">
        <v>85</v>
      </c>
      <c r="F50" s="4" t="s">
        <v>85</v>
      </c>
      <c r="G50" s="4" t="s">
        <v>67</v>
      </c>
      <c r="H50" s="4">
        <v>403</v>
      </c>
      <c r="I50" s="4">
        <v>403</v>
      </c>
    </row>
    <row r="51" spans="1:9" x14ac:dyDescent="0.25">
      <c r="A51" s="4" t="s">
        <v>74</v>
      </c>
      <c r="B51" s="4" t="s">
        <v>247</v>
      </c>
      <c r="C51" s="4" t="s">
        <v>215</v>
      </c>
      <c r="D51" s="4">
        <v>3878</v>
      </c>
      <c r="E51" s="4" t="s">
        <v>85</v>
      </c>
      <c r="F51" s="4" t="s">
        <v>85</v>
      </c>
      <c r="G51" s="4" t="s">
        <v>67</v>
      </c>
      <c r="H51" s="4">
        <v>403</v>
      </c>
      <c r="I51" s="4">
        <v>403</v>
      </c>
    </row>
    <row r="52" spans="1:9" x14ac:dyDescent="0.25">
      <c r="A52" s="4" t="s">
        <v>74</v>
      </c>
      <c r="B52" s="4" t="s">
        <v>248</v>
      </c>
      <c r="C52" s="4" t="s">
        <v>215</v>
      </c>
      <c r="D52" s="4">
        <v>4587</v>
      </c>
      <c r="E52" s="4" t="s">
        <v>85</v>
      </c>
      <c r="F52" s="4" t="s">
        <v>85</v>
      </c>
      <c r="G52" s="4" t="s">
        <v>67</v>
      </c>
      <c r="H52" s="4">
        <v>403</v>
      </c>
      <c r="I52" s="4">
        <v>403</v>
      </c>
    </row>
    <row r="53" spans="1:9" x14ac:dyDescent="0.25">
      <c r="A53" s="4" t="s">
        <v>74</v>
      </c>
      <c r="B53" s="4" t="s">
        <v>249</v>
      </c>
      <c r="C53" s="4" t="s">
        <v>215</v>
      </c>
      <c r="D53" s="4">
        <v>2423</v>
      </c>
      <c r="E53" s="4" t="s">
        <v>85</v>
      </c>
      <c r="F53" s="4" t="s">
        <v>85</v>
      </c>
      <c r="G53" s="4" t="s">
        <v>67</v>
      </c>
      <c r="H53" s="4">
        <v>403</v>
      </c>
      <c r="I53" s="4">
        <v>403</v>
      </c>
    </row>
    <row r="54" spans="1:9" x14ac:dyDescent="0.25">
      <c r="A54" s="4" t="s">
        <v>74</v>
      </c>
      <c r="B54" s="4" t="s">
        <v>250</v>
      </c>
      <c r="C54" s="4" t="s">
        <v>215</v>
      </c>
      <c r="D54" s="4">
        <v>1661</v>
      </c>
      <c r="E54" s="4" t="s">
        <v>85</v>
      </c>
      <c r="F54" s="4" t="s">
        <v>85</v>
      </c>
      <c r="G54" s="4" t="s">
        <v>67</v>
      </c>
      <c r="H54" s="4">
        <v>403</v>
      </c>
      <c r="I54" s="4">
        <v>403</v>
      </c>
    </row>
    <row r="55" spans="1:9" x14ac:dyDescent="0.25">
      <c r="A55" s="4" t="s">
        <v>74</v>
      </c>
      <c r="B55" s="4" t="s">
        <v>251</v>
      </c>
      <c r="C55" s="4" t="s">
        <v>215</v>
      </c>
      <c r="D55" s="4">
        <v>1270</v>
      </c>
      <c r="E55" s="4" t="s">
        <v>85</v>
      </c>
      <c r="F55" s="4" t="s">
        <v>85</v>
      </c>
      <c r="G55" s="4" t="s">
        <v>67</v>
      </c>
      <c r="H55" s="4">
        <v>403</v>
      </c>
      <c r="I55" s="4">
        <v>403</v>
      </c>
    </row>
    <row r="56" spans="1:9" x14ac:dyDescent="0.25">
      <c r="A56" s="4" t="s">
        <v>74</v>
      </c>
      <c r="B56" s="4" t="s">
        <v>252</v>
      </c>
      <c r="C56" s="4" t="s">
        <v>215</v>
      </c>
      <c r="D56" s="4">
        <v>1236</v>
      </c>
      <c r="E56" s="4" t="s">
        <v>85</v>
      </c>
      <c r="F56" s="4" t="s">
        <v>85</v>
      </c>
      <c r="G56" s="4" t="s">
        <v>67</v>
      </c>
      <c r="H56" s="4">
        <v>403</v>
      </c>
      <c r="I56" s="4">
        <v>403</v>
      </c>
    </row>
    <row r="57" spans="1:9" x14ac:dyDescent="0.25">
      <c r="A57" s="4" t="s">
        <v>75</v>
      </c>
      <c r="B57" s="4" t="s">
        <v>253</v>
      </c>
      <c r="C57" s="4" t="s">
        <v>215</v>
      </c>
      <c r="D57" s="4">
        <v>16429</v>
      </c>
      <c r="E57" s="4" t="s">
        <v>85</v>
      </c>
      <c r="F57" s="4" t="s">
        <v>85</v>
      </c>
      <c r="G57" s="4" t="s">
        <v>67</v>
      </c>
      <c r="H57" s="4">
        <v>2026</v>
      </c>
      <c r="I57" s="4">
        <v>403</v>
      </c>
    </row>
    <row r="58" spans="1:9" x14ac:dyDescent="0.25">
      <c r="A58" s="4" t="s">
        <v>75</v>
      </c>
      <c r="B58" s="4" t="s">
        <v>254</v>
      </c>
      <c r="C58" s="4" t="s">
        <v>215</v>
      </c>
      <c r="D58" s="4">
        <v>11229</v>
      </c>
      <c r="E58" s="4" t="s">
        <v>85</v>
      </c>
      <c r="F58" s="4" t="s">
        <v>85</v>
      </c>
      <c r="G58" s="4" t="s">
        <v>67</v>
      </c>
      <c r="H58" s="4">
        <v>2026</v>
      </c>
      <c r="I58" s="4">
        <v>403</v>
      </c>
    </row>
    <row r="59" spans="1:9" x14ac:dyDescent="0.25">
      <c r="A59" s="4" t="s">
        <v>75</v>
      </c>
      <c r="B59" s="4" t="s">
        <v>255</v>
      </c>
      <c r="C59" s="4" t="s">
        <v>215</v>
      </c>
      <c r="D59" s="4">
        <v>1852</v>
      </c>
      <c r="E59" s="4" t="s">
        <v>85</v>
      </c>
      <c r="F59" s="4" t="s">
        <v>85</v>
      </c>
      <c r="G59" s="4" t="s">
        <v>67</v>
      </c>
      <c r="H59" s="4">
        <v>2026</v>
      </c>
      <c r="I59" s="4">
        <v>403</v>
      </c>
    </row>
    <row r="60" spans="1:9" x14ac:dyDescent="0.25">
      <c r="A60" s="4" t="s">
        <v>75</v>
      </c>
      <c r="B60" s="4" t="s">
        <v>256</v>
      </c>
      <c r="C60" s="4" t="s">
        <v>215</v>
      </c>
      <c r="D60" s="4">
        <v>2484</v>
      </c>
      <c r="E60" s="4" t="s">
        <v>85</v>
      </c>
      <c r="F60" s="4" t="s">
        <v>85</v>
      </c>
      <c r="G60" s="4" t="s">
        <v>67</v>
      </c>
      <c r="H60" s="4">
        <v>2026</v>
      </c>
      <c r="I60" s="4">
        <v>403</v>
      </c>
    </row>
    <row r="61" spans="1:9" x14ac:dyDescent="0.25">
      <c r="A61" s="4" t="s">
        <v>75</v>
      </c>
      <c r="B61" s="4" t="s">
        <v>257</v>
      </c>
      <c r="C61" s="4" t="s">
        <v>215</v>
      </c>
      <c r="D61" s="4">
        <v>2315</v>
      </c>
      <c r="E61" s="4" t="s">
        <v>85</v>
      </c>
      <c r="F61" s="4" t="s">
        <v>85</v>
      </c>
      <c r="G61" s="4" t="s">
        <v>67</v>
      </c>
      <c r="H61" s="4">
        <v>2026</v>
      </c>
      <c r="I61" s="4">
        <v>403</v>
      </c>
    </row>
    <row r="62" spans="1:9" x14ac:dyDescent="0.25">
      <c r="A62" s="4" t="s">
        <v>75</v>
      </c>
      <c r="B62" s="4" t="s">
        <v>258</v>
      </c>
      <c r="C62" s="4" t="s">
        <v>215</v>
      </c>
      <c r="D62" s="4">
        <v>10041</v>
      </c>
      <c r="E62" s="4" t="s">
        <v>85</v>
      </c>
      <c r="F62" s="4" t="s">
        <v>85</v>
      </c>
      <c r="G62" s="4" t="s">
        <v>67</v>
      </c>
      <c r="H62" s="4">
        <v>2026</v>
      </c>
      <c r="I62" s="4">
        <v>403</v>
      </c>
    </row>
    <row r="63" spans="1:9" x14ac:dyDescent="0.25">
      <c r="A63" s="4" t="s">
        <v>75</v>
      </c>
      <c r="B63" s="4" t="s">
        <v>259</v>
      </c>
      <c r="C63" s="4" t="s">
        <v>215</v>
      </c>
      <c r="D63" s="4">
        <v>1718</v>
      </c>
      <c r="E63" s="4" t="s">
        <v>85</v>
      </c>
      <c r="F63" s="4" t="s">
        <v>85</v>
      </c>
      <c r="G63" s="4" t="s">
        <v>67</v>
      </c>
      <c r="H63" s="4">
        <v>2026</v>
      </c>
      <c r="I63" s="4">
        <v>403</v>
      </c>
    </row>
    <row r="64" spans="1:9" x14ac:dyDescent="0.25">
      <c r="A64" s="4" t="s">
        <v>75</v>
      </c>
      <c r="B64" s="4" t="s">
        <v>260</v>
      </c>
      <c r="C64" s="4" t="s">
        <v>215</v>
      </c>
      <c r="D64" s="4">
        <v>1345</v>
      </c>
      <c r="E64" s="4" t="s">
        <v>85</v>
      </c>
      <c r="F64" s="4" t="s">
        <v>85</v>
      </c>
      <c r="G64" s="4" t="s">
        <v>67</v>
      </c>
      <c r="H64" s="4">
        <v>2026</v>
      </c>
      <c r="I64" s="4">
        <v>403</v>
      </c>
    </row>
    <row r="65" spans="1:9" x14ac:dyDescent="0.25">
      <c r="A65" s="4" t="s">
        <v>75</v>
      </c>
      <c r="B65" s="4" t="s">
        <v>261</v>
      </c>
      <c r="C65" s="4" t="s">
        <v>215</v>
      </c>
      <c r="D65" s="4">
        <v>1236</v>
      </c>
      <c r="E65" s="4" t="s">
        <v>85</v>
      </c>
      <c r="F65" s="4" t="s">
        <v>85</v>
      </c>
      <c r="G65" s="4" t="s">
        <v>67</v>
      </c>
      <c r="H65" s="4">
        <v>2026</v>
      </c>
      <c r="I65" s="4">
        <v>403</v>
      </c>
    </row>
    <row r="66" spans="1:9" x14ac:dyDescent="0.25">
      <c r="A66" s="4" t="s">
        <v>19</v>
      </c>
      <c r="B66" s="4" t="s">
        <v>106</v>
      </c>
      <c r="C66" s="4" t="s">
        <v>297</v>
      </c>
      <c r="D66" s="4">
        <v>9868</v>
      </c>
      <c r="E66" s="4" t="s">
        <v>85</v>
      </c>
      <c r="F66" s="4" t="s">
        <v>85</v>
      </c>
      <c r="G66" s="4" t="s">
        <v>67</v>
      </c>
      <c r="H66" s="4">
        <v>3610</v>
      </c>
      <c r="I66" s="4">
        <v>21</v>
      </c>
    </row>
    <row r="67" spans="1:9" x14ac:dyDescent="0.25">
      <c r="A67" s="4" t="s">
        <v>19</v>
      </c>
      <c r="B67" s="4" t="s">
        <v>107</v>
      </c>
      <c r="C67" s="4" t="s">
        <v>298</v>
      </c>
      <c r="D67" s="4">
        <v>8803</v>
      </c>
      <c r="E67" s="4" t="s">
        <v>85</v>
      </c>
      <c r="F67" s="4" t="s">
        <v>85</v>
      </c>
      <c r="G67" s="4" t="s">
        <v>67</v>
      </c>
      <c r="H67" s="4">
        <v>3610</v>
      </c>
      <c r="I67" s="4">
        <v>21</v>
      </c>
    </row>
    <row r="68" spans="1:9" x14ac:dyDescent="0.25">
      <c r="A68" s="4" t="s">
        <v>19</v>
      </c>
      <c r="B68" s="4" t="s">
        <v>108</v>
      </c>
      <c r="C68" s="4" t="s">
        <v>13</v>
      </c>
      <c r="D68" s="4">
        <v>46193</v>
      </c>
      <c r="E68" s="4" t="s">
        <v>85</v>
      </c>
      <c r="F68" s="4" t="s">
        <v>85</v>
      </c>
      <c r="G68" s="4" t="s">
        <v>67</v>
      </c>
      <c r="H68" s="4">
        <v>3610</v>
      </c>
      <c r="I68" s="4">
        <v>21</v>
      </c>
    </row>
    <row r="69" spans="1:9" x14ac:dyDescent="0.25">
      <c r="A69" s="4" t="s">
        <v>19</v>
      </c>
      <c r="B69" s="4" t="s">
        <v>109</v>
      </c>
      <c r="C69" s="4" t="s">
        <v>283</v>
      </c>
      <c r="D69" s="4">
        <v>9390</v>
      </c>
      <c r="E69" s="4" t="s">
        <v>85</v>
      </c>
      <c r="F69" s="4" t="s">
        <v>85</v>
      </c>
      <c r="G69" s="4" t="s">
        <v>67</v>
      </c>
      <c r="H69" s="4">
        <v>3610</v>
      </c>
      <c r="I69" s="4">
        <v>21</v>
      </c>
    </row>
    <row r="70" spans="1:9" x14ac:dyDescent="0.25">
      <c r="A70" s="4" t="s">
        <v>20</v>
      </c>
      <c r="B70" s="4" t="s">
        <v>110</v>
      </c>
      <c r="C70" s="4" t="s">
        <v>285</v>
      </c>
      <c r="D70" s="4">
        <v>8314</v>
      </c>
      <c r="E70" s="4" t="s">
        <v>85</v>
      </c>
      <c r="F70" s="4" t="s">
        <v>85</v>
      </c>
      <c r="G70" s="4" t="s">
        <v>67</v>
      </c>
      <c r="H70" s="4">
        <v>520</v>
      </c>
      <c r="I70" s="4">
        <v>21</v>
      </c>
    </row>
    <row r="71" spans="1:9" x14ac:dyDescent="0.25">
      <c r="A71" s="4" t="s">
        <v>20</v>
      </c>
      <c r="B71" s="4" t="s">
        <v>111</v>
      </c>
      <c r="C71" s="4" t="s">
        <v>17</v>
      </c>
      <c r="D71" s="4">
        <v>2844</v>
      </c>
      <c r="E71" s="4" t="s">
        <v>85</v>
      </c>
      <c r="F71" s="4" t="s">
        <v>85</v>
      </c>
      <c r="G71" s="4" t="s">
        <v>67</v>
      </c>
      <c r="H71" s="4">
        <v>520</v>
      </c>
      <c r="I71" s="4">
        <v>21</v>
      </c>
    </row>
    <row r="72" spans="1:9" x14ac:dyDescent="0.25">
      <c r="A72" s="4" t="s">
        <v>20</v>
      </c>
      <c r="B72" s="4" t="s">
        <v>112</v>
      </c>
      <c r="C72" s="4" t="s">
        <v>296</v>
      </c>
      <c r="D72" s="4">
        <v>17076</v>
      </c>
      <c r="E72" s="4" t="s">
        <v>85</v>
      </c>
      <c r="F72" s="4" t="s">
        <v>85</v>
      </c>
      <c r="G72" s="4" t="s">
        <v>67</v>
      </c>
      <c r="H72" s="4">
        <v>520</v>
      </c>
      <c r="I72" s="4">
        <v>21</v>
      </c>
    </row>
    <row r="73" spans="1:9" x14ac:dyDescent="0.25">
      <c r="A73" s="4" t="s">
        <v>20</v>
      </c>
      <c r="B73" s="4" t="s">
        <v>113</v>
      </c>
      <c r="C73" s="4" t="s">
        <v>286</v>
      </c>
      <c r="D73" s="4">
        <v>32186</v>
      </c>
      <c r="E73" s="4" t="s">
        <v>85</v>
      </c>
      <c r="F73" s="4" t="s">
        <v>85</v>
      </c>
      <c r="G73" s="4" t="s">
        <v>67</v>
      </c>
      <c r="H73" s="4">
        <v>520</v>
      </c>
      <c r="I73" s="4">
        <v>21</v>
      </c>
    </row>
    <row r="74" spans="1:9" x14ac:dyDescent="0.25">
      <c r="A74" s="4" t="s">
        <v>76</v>
      </c>
      <c r="B74" s="4" t="s">
        <v>262</v>
      </c>
      <c r="C74" s="4" t="s">
        <v>215</v>
      </c>
      <c r="D74" s="4">
        <v>50487</v>
      </c>
      <c r="E74" s="4" t="s">
        <v>85</v>
      </c>
      <c r="F74" s="4" t="s">
        <v>85</v>
      </c>
      <c r="G74" s="4" t="s">
        <v>67</v>
      </c>
      <c r="H74" s="4">
        <v>190</v>
      </c>
      <c r="I74" s="4">
        <v>21</v>
      </c>
    </row>
    <row r="75" spans="1:9" x14ac:dyDescent="0.25">
      <c r="A75" s="4" t="s">
        <v>76</v>
      </c>
      <c r="B75" s="4" t="s">
        <v>263</v>
      </c>
      <c r="C75" s="4" t="s">
        <v>215</v>
      </c>
      <c r="D75" s="4">
        <v>1437</v>
      </c>
      <c r="E75" s="4" t="s">
        <v>85</v>
      </c>
      <c r="F75" s="4" t="s">
        <v>85</v>
      </c>
      <c r="G75" s="4" t="s">
        <v>67</v>
      </c>
      <c r="H75" s="4">
        <v>190</v>
      </c>
      <c r="I75" s="4">
        <v>21</v>
      </c>
    </row>
    <row r="76" spans="1:9" x14ac:dyDescent="0.25">
      <c r="A76" s="4" t="s">
        <v>21</v>
      </c>
      <c r="B76" s="4" t="s">
        <v>114</v>
      </c>
      <c r="C76" s="4" t="s">
        <v>22</v>
      </c>
      <c r="D76" s="4">
        <v>4065</v>
      </c>
      <c r="E76" s="4" t="s">
        <v>278</v>
      </c>
      <c r="F76" s="4" t="str">
        <f>VLOOKUP(B76,[1]colour_range_groups!$B$2:$F$140,5,FALSE)</f>
        <v>C01</v>
      </c>
      <c r="G76" s="4" t="s">
        <v>65</v>
      </c>
      <c r="H76" s="4">
        <v>3222</v>
      </c>
      <c r="I76" s="4" t="s">
        <v>268</v>
      </c>
    </row>
    <row r="77" spans="1:9" x14ac:dyDescent="0.25">
      <c r="A77" s="4" t="s">
        <v>23</v>
      </c>
      <c r="B77" s="4" t="s">
        <v>115</v>
      </c>
      <c r="C77" s="4" t="s">
        <v>291</v>
      </c>
      <c r="D77" s="4">
        <v>12632</v>
      </c>
      <c r="E77" s="4" t="s">
        <v>85</v>
      </c>
      <c r="F77" s="4" t="s">
        <v>85</v>
      </c>
      <c r="G77" s="4" t="s">
        <v>67</v>
      </c>
      <c r="H77" s="4">
        <v>22</v>
      </c>
      <c r="I77" s="4">
        <v>22</v>
      </c>
    </row>
    <row r="78" spans="1:9" x14ac:dyDescent="0.25">
      <c r="A78" s="4" t="s">
        <v>23</v>
      </c>
      <c r="B78" s="4" t="s">
        <v>116</v>
      </c>
      <c r="C78" s="4" t="s">
        <v>284</v>
      </c>
      <c r="D78" s="4">
        <v>26996</v>
      </c>
      <c r="E78" s="4" t="s">
        <v>85</v>
      </c>
      <c r="F78" s="4" t="s">
        <v>85</v>
      </c>
      <c r="G78" s="4" t="s">
        <v>67</v>
      </c>
      <c r="H78" s="4">
        <v>22</v>
      </c>
      <c r="I78" s="4">
        <v>22</v>
      </c>
    </row>
    <row r="79" spans="1:9" x14ac:dyDescent="0.25">
      <c r="A79" s="4" t="s">
        <v>24</v>
      </c>
      <c r="B79" s="4" t="s">
        <v>117</v>
      </c>
      <c r="C79" s="4" t="s">
        <v>13</v>
      </c>
      <c r="D79" s="4">
        <v>27555</v>
      </c>
      <c r="E79" s="4" t="s">
        <v>278</v>
      </c>
      <c r="F79" s="4" t="str">
        <f>VLOOKUP(B79,[1]colour_range_groups!$B$2:$F$140,5,FALSE)</f>
        <v>C12</v>
      </c>
      <c r="G79" s="4" t="s">
        <v>65</v>
      </c>
      <c r="H79" s="4">
        <v>1115</v>
      </c>
      <c r="I79" s="4" t="s">
        <v>268</v>
      </c>
    </row>
    <row r="80" spans="1:9" x14ac:dyDescent="0.25">
      <c r="A80" s="4" t="s">
        <v>25</v>
      </c>
      <c r="B80" s="4" t="s">
        <v>118</v>
      </c>
      <c r="C80" s="4" t="s">
        <v>283</v>
      </c>
      <c r="D80" s="4">
        <v>2150</v>
      </c>
      <c r="E80" s="4" t="s">
        <v>85</v>
      </c>
      <c r="F80" s="4" t="s">
        <v>85</v>
      </c>
      <c r="G80" s="4" t="s">
        <v>65</v>
      </c>
      <c r="H80" s="4">
        <v>4009</v>
      </c>
      <c r="I80" s="4">
        <v>828</v>
      </c>
    </row>
    <row r="81" spans="1:9" x14ac:dyDescent="0.25">
      <c r="A81" s="4" t="s">
        <v>25</v>
      </c>
      <c r="B81" s="4" t="s">
        <v>119</v>
      </c>
      <c r="C81" s="4" t="s">
        <v>92</v>
      </c>
      <c r="D81" s="4">
        <v>21847</v>
      </c>
      <c r="E81" s="4" t="s">
        <v>85</v>
      </c>
      <c r="F81" s="4" t="s">
        <v>85</v>
      </c>
      <c r="G81" s="4" t="s">
        <v>65</v>
      </c>
      <c r="H81" s="4">
        <v>4009</v>
      </c>
      <c r="I81" s="4">
        <v>828</v>
      </c>
    </row>
    <row r="82" spans="1:9" x14ac:dyDescent="0.25">
      <c r="A82" s="4" t="s">
        <v>25</v>
      </c>
      <c r="B82" s="4" t="s">
        <v>120</v>
      </c>
      <c r="C82" s="4" t="s">
        <v>22</v>
      </c>
      <c r="D82" s="4">
        <v>3923</v>
      </c>
      <c r="E82" s="4" t="s">
        <v>278</v>
      </c>
      <c r="F82" s="4" t="str">
        <f>VLOOKUP(B82,[1]colour_range_groups!$B$2:$F$140,5,FALSE)</f>
        <v>C05</v>
      </c>
      <c r="G82" s="4" t="s">
        <v>65</v>
      </c>
      <c r="H82" s="4">
        <v>4009</v>
      </c>
      <c r="I82" s="4">
        <v>828</v>
      </c>
    </row>
    <row r="83" spans="1:9" x14ac:dyDescent="0.25">
      <c r="A83" s="4" t="s">
        <v>26</v>
      </c>
      <c r="B83" s="4" t="s">
        <v>121</v>
      </c>
      <c r="C83" s="4" t="s">
        <v>297</v>
      </c>
      <c r="D83" s="4">
        <v>8255</v>
      </c>
      <c r="E83" s="4" t="s">
        <v>85</v>
      </c>
      <c r="F83" s="4" t="s">
        <v>85</v>
      </c>
      <c r="G83" s="4" t="s">
        <v>67</v>
      </c>
      <c r="H83" s="4">
        <v>48</v>
      </c>
      <c r="I83" s="4">
        <v>48</v>
      </c>
    </row>
    <row r="84" spans="1:9" x14ac:dyDescent="0.25">
      <c r="A84" s="4" t="s">
        <v>26</v>
      </c>
      <c r="B84" s="4" t="s">
        <v>122</v>
      </c>
      <c r="C84" s="4" t="s">
        <v>283</v>
      </c>
      <c r="D84" s="4">
        <v>4222</v>
      </c>
      <c r="E84" s="4" t="s">
        <v>85</v>
      </c>
      <c r="F84" s="4" t="s">
        <v>85</v>
      </c>
      <c r="G84" s="4" t="s">
        <v>67</v>
      </c>
      <c r="H84" s="4">
        <v>48</v>
      </c>
      <c r="I84" s="4">
        <v>48</v>
      </c>
    </row>
    <row r="85" spans="1:9" x14ac:dyDescent="0.25">
      <c r="A85" s="4" t="s">
        <v>26</v>
      </c>
      <c r="B85" s="4" t="s">
        <v>123</v>
      </c>
      <c r="C85" s="4" t="s">
        <v>298</v>
      </c>
      <c r="D85" s="4">
        <v>4966</v>
      </c>
      <c r="E85" s="4" t="s">
        <v>85</v>
      </c>
      <c r="F85" s="4" t="s">
        <v>85</v>
      </c>
      <c r="G85" s="4" t="s">
        <v>67</v>
      </c>
      <c r="H85" s="4">
        <v>48</v>
      </c>
      <c r="I85" s="4">
        <v>48</v>
      </c>
    </row>
    <row r="86" spans="1:9" x14ac:dyDescent="0.25">
      <c r="A86" s="4" t="s">
        <v>27</v>
      </c>
      <c r="B86" s="4" t="s">
        <v>124</v>
      </c>
      <c r="C86" s="4" t="s">
        <v>13</v>
      </c>
      <c r="D86" s="4">
        <v>26574</v>
      </c>
      <c r="E86" s="4" t="s">
        <v>278</v>
      </c>
      <c r="F86" s="4" t="str">
        <f>VLOOKUP(B86,[1]colour_range_groups!$B$2:$F$140,5,FALSE)</f>
        <v>C09</v>
      </c>
      <c r="G86" s="4" t="s">
        <v>67</v>
      </c>
      <c r="H86" s="4">
        <v>42</v>
      </c>
      <c r="I86" s="4">
        <v>42</v>
      </c>
    </row>
    <row r="87" spans="1:9" x14ac:dyDescent="0.25">
      <c r="A87" s="4" t="s">
        <v>28</v>
      </c>
      <c r="B87" s="4" t="s">
        <v>125</v>
      </c>
      <c r="C87" s="4" t="s">
        <v>17</v>
      </c>
      <c r="D87" s="4">
        <v>4703</v>
      </c>
      <c r="E87" s="4" t="s">
        <v>85</v>
      </c>
      <c r="F87" s="4" t="s">
        <v>85</v>
      </c>
      <c r="G87" s="4" t="s">
        <v>67</v>
      </c>
      <c r="H87" s="4">
        <v>48</v>
      </c>
      <c r="I87" s="4">
        <v>48</v>
      </c>
    </row>
    <row r="88" spans="1:9" x14ac:dyDescent="0.25">
      <c r="A88" s="4" t="s">
        <v>28</v>
      </c>
      <c r="B88" s="4" t="s">
        <v>126</v>
      </c>
      <c r="C88" s="4" t="s">
        <v>287</v>
      </c>
      <c r="D88" s="4">
        <v>38363</v>
      </c>
      <c r="E88" s="4" t="s">
        <v>85</v>
      </c>
      <c r="F88" s="4" t="s">
        <v>85</v>
      </c>
      <c r="G88" s="4" t="s">
        <v>67</v>
      </c>
      <c r="H88" s="4">
        <v>48</v>
      </c>
      <c r="I88" s="4">
        <v>48</v>
      </c>
    </row>
    <row r="89" spans="1:9" x14ac:dyDescent="0.25">
      <c r="A89" s="4" t="s">
        <v>29</v>
      </c>
      <c r="B89" s="4" t="s">
        <v>127</v>
      </c>
      <c r="C89" s="4" t="s">
        <v>295</v>
      </c>
      <c r="D89" s="4">
        <v>20089</v>
      </c>
      <c r="E89" s="4" t="s">
        <v>85</v>
      </c>
      <c r="F89" s="4" t="s">
        <v>85</v>
      </c>
      <c r="G89" s="4" t="s">
        <v>67</v>
      </c>
      <c r="H89" s="4">
        <v>61</v>
      </c>
      <c r="I89" s="4">
        <v>61</v>
      </c>
    </row>
    <row r="90" spans="1:9" x14ac:dyDescent="0.25">
      <c r="A90" s="4" t="s">
        <v>29</v>
      </c>
      <c r="B90" s="4" t="s">
        <v>128</v>
      </c>
      <c r="C90" s="4" t="s">
        <v>5</v>
      </c>
      <c r="D90" s="4">
        <v>2288</v>
      </c>
      <c r="E90" s="4" t="s">
        <v>85</v>
      </c>
      <c r="F90" s="4" t="s">
        <v>85</v>
      </c>
      <c r="G90" s="4" t="s">
        <v>67</v>
      </c>
      <c r="H90" s="4">
        <v>61</v>
      </c>
      <c r="I90" s="4">
        <v>61</v>
      </c>
    </row>
    <row r="91" spans="1:9" x14ac:dyDescent="0.25">
      <c r="A91" s="4" t="s">
        <v>30</v>
      </c>
      <c r="B91" s="4" t="s">
        <v>129</v>
      </c>
      <c r="C91" s="4" t="s">
        <v>7</v>
      </c>
      <c r="D91" s="4">
        <v>27115</v>
      </c>
      <c r="E91" s="4" t="s">
        <v>85</v>
      </c>
      <c r="F91" s="4" t="s">
        <v>85</v>
      </c>
      <c r="G91" s="4" t="s">
        <v>67</v>
      </c>
      <c r="H91" s="4">
        <v>422</v>
      </c>
      <c r="I91" s="4">
        <v>21</v>
      </c>
    </row>
    <row r="92" spans="1:9" x14ac:dyDescent="0.25">
      <c r="A92" s="4" t="s">
        <v>31</v>
      </c>
      <c r="B92" s="4" t="s">
        <v>130</v>
      </c>
      <c r="C92" s="4" t="s">
        <v>13</v>
      </c>
      <c r="D92" s="4">
        <v>27683</v>
      </c>
      <c r="E92" s="4" t="s">
        <v>85</v>
      </c>
      <c r="F92" s="4" t="s">
        <v>85</v>
      </c>
      <c r="G92" s="4" t="s">
        <v>67</v>
      </c>
      <c r="H92" s="4">
        <v>12762</v>
      </c>
      <c r="I92" s="4">
        <v>61</v>
      </c>
    </row>
    <row r="93" spans="1:9" x14ac:dyDescent="0.25">
      <c r="A93" s="4" t="s">
        <v>31</v>
      </c>
      <c r="B93" s="4" t="s">
        <v>131</v>
      </c>
      <c r="C93" s="4" t="s">
        <v>17</v>
      </c>
      <c r="D93" s="4">
        <v>2236</v>
      </c>
      <c r="E93" s="4" t="s">
        <v>85</v>
      </c>
      <c r="F93" s="4" t="s">
        <v>85</v>
      </c>
      <c r="G93" s="4" t="s">
        <v>67</v>
      </c>
      <c r="H93" s="4">
        <v>12762</v>
      </c>
      <c r="I93" s="4">
        <v>61</v>
      </c>
    </row>
    <row r="94" spans="1:9" x14ac:dyDescent="0.25">
      <c r="A94" s="4" t="s">
        <v>31</v>
      </c>
      <c r="B94" s="4" t="s">
        <v>132</v>
      </c>
      <c r="C94" s="4" t="s">
        <v>296</v>
      </c>
      <c r="D94" s="4">
        <v>15949</v>
      </c>
      <c r="E94" s="4" t="s">
        <v>85</v>
      </c>
      <c r="F94" s="4" t="s">
        <v>85</v>
      </c>
      <c r="G94" s="4" t="s">
        <v>67</v>
      </c>
      <c r="H94" s="4">
        <v>12762</v>
      </c>
      <c r="I94" s="4">
        <v>61</v>
      </c>
    </row>
    <row r="95" spans="1:9" x14ac:dyDescent="0.25">
      <c r="A95" s="4" t="s">
        <v>32</v>
      </c>
      <c r="B95" s="4" t="s">
        <v>133</v>
      </c>
      <c r="C95" s="4" t="s">
        <v>283</v>
      </c>
      <c r="D95" s="4">
        <v>9884</v>
      </c>
      <c r="E95" s="4" t="s">
        <v>85</v>
      </c>
      <c r="F95" s="4" t="s">
        <v>85</v>
      </c>
      <c r="G95" s="4" t="s">
        <v>67</v>
      </c>
      <c r="H95" s="4">
        <v>422</v>
      </c>
      <c r="I95" s="4">
        <v>21</v>
      </c>
    </row>
    <row r="96" spans="1:9" x14ac:dyDescent="0.25">
      <c r="A96" s="4" t="s">
        <v>32</v>
      </c>
      <c r="B96" s="4" t="s">
        <v>134</v>
      </c>
      <c r="C96" s="4" t="s">
        <v>13</v>
      </c>
      <c r="D96" s="4">
        <v>29895</v>
      </c>
      <c r="E96" s="4" t="s">
        <v>85</v>
      </c>
      <c r="F96" s="4" t="s">
        <v>85</v>
      </c>
      <c r="G96" s="4" t="s">
        <v>67</v>
      </c>
      <c r="H96" s="4">
        <v>422</v>
      </c>
      <c r="I96" s="4">
        <v>21</v>
      </c>
    </row>
    <row r="97" spans="1:9" x14ac:dyDescent="0.25">
      <c r="A97" s="4" t="s">
        <v>32</v>
      </c>
      <c r="B97" s="4" t="s">
        <v>135</v>
      </c>
      <c r="C97" s="4" t="s">
        <v>17</v>
      </c>
      <c r="D97" s="4">
        <v>8394</v>
      </c>
      <c r="E97" s="4" t="s">
        <v>85</v>
      </c>
      <c r="F97" s="4" t="s">
        <v>85</v>
      </c>
      <c r="G97" s="4" t="s">
        <v>67</v>
      </c>
      <c r="H97" s="4">
        <v>422</v>
      </c>
      <c r="I97" s="4">
        <v>21</v>
      </c>
    </row>
    <row r="98" spans="1:9" x14ac:dyDescent="0.25">
      <c r="A98" s="4" t="s">
        <v>32</v>
      </c>
      <c r="B98" s="4" t="s">
        <v>136</v>
      </c>
      <c r="C98" s="4" t="s">
        <v>297</v>
      </c>
      <c r="D98" s="4">
        <v>14700</v>
      </c>
      <c r="E98" s="4" t="s">
        <v>85</v>
      </c>
      <c r="F98" s="4" t="s">
        <v>85</v>
      </c>
      <c r="G98" s="4" t="s">
        <v>67</v>
      </c>
      <c r="H98" s="4">
        <v>422</v>
      </c>
      <c r="I98" s="4">
        <v>21</v>
      </c>
    </row>
    <row r="99" spans="1:9" x14ac:dyDescent="0.25">
      <c r="A99" s="4" t="s">
        <v>33</v>
      </c>
      <c r="B99" s="4" t="s">
        <v>137</v>
      </c>
      <c r="C99" s="4" t="s">
        <v>17</v>
      </c>
      <c r="D99" s="4">
        <v>1503</v>
      </c>
      <c r="E99" s="4" t="s">
        <v>85</v>
      </c>
      <c r="F99" s="4" t="s">
        <v>85</v>
      </c>
      <c r="G99" s="4" t="s">
        <v>67</v>
      </c>
      <c r="H99" s="4">
        <v>6964</v>
      </c>
      <c r="I99" s="4">
        <v>354</v>
      </c>
    </row>
    <row r="100" spans="1:9" x14ac:dyDescent="0.25">
      <c r="A100" s="4" t="s">
        <v>33</v>
      </c>
      <c r="B100" s="4" t="s">
        <v>138</v>
      </c>
      <c r="C100" s="4" t="s">
        <v>296</v>
      </c>
      <c r="D100" s="4">
        <v>12920</v>
      </c>
      <c r="E100" s="4" t="s">
        <v>85</v>
      </c>
      <c r="F100" s="4" t="s">
        <v>85</v>
      </c>
      <c r="G100" s="4" t="s">
        <v>67</v>
      </c>
      <c r="H100" s="4">
        <v>6964</v>
      </c>
      <c r="I100" s="4">
        <v>354</v>
      </c>
    </row>
    <row r="101" spans="1:9" x14ac:dyDescent="0.25">
      <c r="A101" s="4" t="s">
        <v>34</v>
      </c>
      <c r="B101" s="4" t="s">
        <v>139</v>
      </c>
      <c r="C101" s="4" t="s">
        <v>292</v>
      </c>
      <c r="D101" s="4">
        <v>28083</v>
      </c>
      <c r="E101" s="4" t="s">
        <v>85</v>
      </c>
      <c r="F101" s="4" t="s">
        <v>85</v>
      </c>
      <c r="G101" s="4" t="s">
        <v>65</v>
      </c>
      <c r="H101" s="4">
        <v>830</v>
      </c>
      <c r="I101" s="4">
        <v>828</v>
      </c>
    </row>
    <row r="102" spans="1:9" x14ac:dyDescent="0.25">
      <c r="A102" s="4" t="s">
        <v>34</v>
      </c>
      <c r="B102" s="4" t="s">
        <v>140</v>
      </c>
      <c r="C102" s="4" t="s">
        <v>299</v>
      </c>
      <c r="D102" s="4">
        <v>2534</v>
      </c>
      <c r="E102" s="4" t="s">
        <v>85</v>
      </c>
      <c r="F102" s="4" t="s">
        <v>85</v>
      </c>
      <c r="G102" s="4" t="s">
        <v>65</v>
      </c>
      <c r="H102" s="4">
        <v>830</v>
      </c>
      <c r="I102" s="4">
        <v>828</v>
      </c>
    </row>
    <row r="103" spans="1:9" x14ac:dyDescent="0.25">
      <c r="A103" s="4" t="s">
        <v>34</v>
      </c>
      <c r="B103" s="4" t="s">
        <v>141</v>
      </c>
      <c r="C103" s="4" t="s">
        <v>283</v>
      </c>
      <c r="D103" s="4">
        <v>5507</v>
      </c>
      <c r="E103" s="4" t="s">
        <v>85</v>
      </c>
      <c r="F103" s="4" t="s">
        <v>85</v>
      </c>
      <c r="G103" s="4" t="s">
        <v>65</v>
      </c>
      <c r="H103" s="4">
        <v>830</v>
      </c>
      <c r="I103" s="4">
        <v>828</v>
      </c>
    </row>
    <row r="104" spans="1:9" x14ac:dyDescent="0.25">
      <c r="A104" s="4" t="s">
        <v>35</v>
      </c>
      <c r="B104" s="4" t="s">
        <v>142</v>
      </c>
      <c r="C104" s="4" t="s">
        <v>143</v>
      </c>
      <c r="D104" s="4">
        <v>2033</v>
      </c>
      <c r="E104" s="4" t="s">
        <v>85</v>
      </c>
      <c r="F104" s="4" t="s">
        <v>85</v>
      </c>
      <c r="G104" s="4" t="s">
        <v>67</v>
      </c>
      <c r="H104" s="4">
        <v>42</v>
      </c>
      <c r="I104" s="4">
        <v>42</v>
      </c>
    </row>
    <row r="105" spans="1:9" x14ac:dyDescent="0.25">
      <c r="A105" s="4" t="s">
        <v>35</v>
      </c>
      <c r="B105" s="4" t="s">
        <v>144</v>
      </c>
      <c r="C105" s="4" t="s">
        <v>293</v>
      </c>
      <c r="D105" s="4">
        <v>22779</v>
      </c>
      <c r="E105" s="4" t="s">
        <v>85</v>
      </c>
      <c r="F105" s="4" t="s">
        <v>85</v>
      </c>
      <c r="G105" s="4" t="s">
        <v>67</v>
      </c>
      <c r="H105" s="4">
        <v>42</v>
      </c>
      <c r="I105" s="4">
        <v>42</v>
      </c>
    </row>
    <row r="106" spans="1:9" x14ac:dyDescent="0.25">
      <c r="A106" s="4" t="s">
        <v>35</v>
      </c>
      <c r="B106" s="4" t="s">
        <v>145</v>
      </c>
      <c r="C106" s="4" t="s">
        <v>13</v>
      </c>
      <c r="D106" s="4">
        <v>26195</v>
      </c>
      <c r="E106" s="4" t="s">
        <v>278</v>
      </c>
      <c r="F106" s="4" t="str">
        <f>VLOOKUP(B106,[1]colour_range_groups!$B$2:$F$140,5,FALSE)</f>
        <v>C09</v>
      </c>
      <c r="G106" s="4" t="s">
        <v>67</v>
      </c>
      <c r="H106" s="4">
        <v>42</v>
      </c>
      <c r="I106" s="4">
        <v>42</v>
      </c>
    </row>
    <row r="107" spans="1:9" x14ac:dyDescent="0.25">
      <c r="A107" s="4" t="s">
        <v>36</v>
      </c>
      <c r="B107" s="4" t="s">
        <v>146</v>
      </c>
      <c r="C107" s="4" t="s">
        <v>13</v>
      </c>
      <c r="D107" s="4">
        <v>30065</v>
      </c>
      <c r="E107" s="4" t="s">
        <v>278</v>
      </c>
      <c r="F107" s="4" t="str">
        <f>VLOOKUP(B107,[1]colour_range_groups!$B$2:$F$140,5,FALSE)</f>
        <v>C11</v>
      </c>
      <c r="G107" s="4" t="s">
        <v>67</v>
      </c>
      <c r="H107" s="4">
        <v>42</v>
      </c>
      <c r="I107" s="4">
        <v>42</v>
      </c>
    </row>
    <row r="108" spans="1:9" x14ac:dyDescent="0.25">
      <c r="A108" s="4" t="s">
        <v>37</v>
      </c>
      <c r="B108" s="4" t="s">
        <v>147</v>
      </c>
      <c r="C108" s="4" t="s">
        <v>300</v>
      </c>
      <c r="D108" s="4">
        <v>14549</v>
      </c>
      <c r="E108" s="4" t="s">
        <v>85</v>
      </c>
      <c r="F108" s="4" t="s">
        <v>85</v>
      </c>
      <c r="G108" s="4" t="s">
        <v>65</v>
      </c>
      <c r="H108" s="4">
        <v>3232</v>
      </c>
      <c r="I108" s="4">
        <v>828</v>
      </c>
    </row>
    <row r="109" spans="1:9" x14ac:dyDescent="0.25">
      <c r="A109" s="4" t="s">
        <v>37</v>
      </c>
      <c r="B109" s="4" t="s">
        <v>148</v>
      </c>
      <c r="C109" s="4" t="s">
        <v>5</v>
      </c>
      <c r="D109" s="4">
        <v>2291</v>
      </c>
      <c r="E109" s="4" t="s">
        <v>85</v>
      </c>
      <c r="F109" s="4" t="s">
        <v>85</v>
      </c>
      <c r="G109" s="4" t="s">
        <v>65</v>
      </c>
      <c r="H109" s="4">
        <v>3232</v>
      </c>
      <c r="I109" s="4">
        <v>828</v>
      </c>
    </row>
    <row r="110" spans="1:9" x14ac:dyDescent="0.25">
      <c r="A110" s="4" t="s">
        <v>37</v>
      </c>
      <c r="B110" s="4" t="s">
        <v>149</v>
      </c>
      <c r="C110" s="4" t="s">
        <v>301</v>
      </c>
      <c r="D110" s="4">
        <v>3384</v>
      </c>
      <c r="E110" s="4" t="s">
        <v>85</v>
      </c>
      <c r="F110" s="4" t="s">
        <v>85</v>
      </c>
      <c r="G110" s="4" t="s">
        <v>65</v>
      </c>
      <c r="H110" s="4">
        <v>3232</v>
      </c>
      <c r="I110" s="4">
        <v>828</v>
      </c>
    </row>
    <row r="111" spans="1:9" x14ac:dyDescent="0.25">
      <c r="A111" s="4" t="s">
        <v>38</v>
      </c>
      <c r="B111" s="4" t="s">
        <v>150</v>
      </c>
      <c r="C111" s="4" t="s">
        <v>92</v>
      </c>
      <c r="D111" s="4">
        <v>18419</v>
      </c>
      <c r="E111" s="4" t="s">
        <v>85</v>
      </c>
      <c r="F111" s="4" t="s">
        <v>85</v>
      </c>
      <c r="G111" s="4" t="s">
        <v>65</v>
      </c>
      <c r="H111" s="4">
        <v>14595</v>
      </c>
      <c r="I111" s="4">
        <v>828</v>
      </c>
    </row>
    <row r="112" spans="1:9" x14ac:dyDescent="0.25">
      <c r="A112" s="4" t="s">
        <v>38</v>
      </c>
      <c r="B112" s="4" t="s">
        <v>151</v>
      </c>
      <c r="C112" s="4" t="s">
        <v>283</v>
      </c>
      <c r="D112" s="4">
        <v>4199</v>
      </c>
      <c r="E112" s="4" t="s">
        <v>85</v>
      </c>
      <c r="F112" s="4" t="s">
        <v>85</v>
      </c>
      <c r="G112" s="4" t="s">
        <v>65</v>
      </c>
      <c r="H112" s="4">
        <v>14595</v>
      </c>
      <c r="I112" s="4">
        <v>828</v>
      </c>
    </row>
    <row r="113" spans="1:9" x14ac:dyDescent="0.25">
      <c r="A113" s="4" t="s">
        <v>39</v>
      </c>
      <c r="B113" s="4" t="s">
        <v>152</v>
      </c>
      <c r="C113" s="4" t="s">
        <v>143</v>
      </c>
      <c r="D113" s="4">
        <v>2313</v>
      </c>
      <c r="E113" s="4" t="s">
        <v>85</v>
      </c>
      <c r="F113" s="4" t="s">
        <v>85</v>
      </c>
      <c r="G113" s="4" t="s">
        <v>65</v>
      </c>
      <c r="H113" s="4">
        <v>900</v>
      </c>
      <c r="I113" s="4" t="s">
        <v>268</v>
      </c>
    </row>
    <row r="114" spans="1:9" x14ac:dyDescent="0.25">
      <c r="A114" s="4" t="s">
        <v>39</v>
      </c>
      <c r="B114" s="4" t="s">
        <v>153</v>
      </c>
      <c r="C114" s="4" t="s">
        <v>283</v>
      </c>
      <c r="D114" s="4">
        <v>10918</v>
      </c>
      <c r="E114" s="4" t="s">
        <v>85</v>
      </c>
      <c r="F114" s="4" t="s">
        <v>85</v>
      </c>
      <c r="G114" s="4" t="s">
        <v>65</v>
      </c>
      <c r="H114" s="4">
        <v>900</v>
      </c>
      <c r="I114" s="4" t="s">
        <v>268</v>
      </c>
    </row>
    <row r="115" spans="1:9" x14ac:dyDescent="0.25">
      <c r="A115" s="4" t="s">
        <v>39</v>
      </c>
      <c r="B115" s="4" t="s">
        <v>154</v>
      </c>
      <c r="C115" s="4" t="s">
        <v>289</v>
      </c>
      <c r="D115" s="4">
        <v>18335</v>
      </c>
      <c r="E115" s="4" t="s">
        <v>85</v>
      </c>
      <c r="F115" s="4" t="s">
        <v>85</v>
      </c>
      <c r="G115" s="4" t="s">
        <v>65</v>
      </c>
      <c r="H115" s="4">
        <v>900</v>
      </c>
      <c r="I115" s="4" t="s">
        <v>268</v>
      </c>
    </row>
    <row r="116" spans="1:9" x14ac:dyDescent="0.25">
      <c r="A116" s="4" t="s">
        <v>39</v>
      </c>
      <c r="B116" s="4" t="s">
        <v>155</v>
      </c>
      <c r="C116" s="4" t="s">
        <v>301</v>
      </c>
      <c r="D116" s="4">
        <v>2171</v>
      </c>
      <c r="E116" s="4" t="s">
        <v>85</v>
      </c>
      <c r="F116" s="4" t="s">
        <v>85</v>
      </c>
      <c r="G116" s="4" t="s">
        <v>65</v>
      </c>
      <c r="H116" s="4">
        <v>900</v>
      </c>
      <c r="I116" s="4" t="s">
        <v>268</v>
      </c>
    </row>
    <row r="117" spans="1:9" x14ac:dyDescent="0.25">
      <c r="A117" s="4" t="s">
        <v>39</v>
      </c>
      <c r="B117" s="4" t="s">
        <v>156</v>
      </c>
      <c r="C117" s="4" t="s">
        <v>294</v>
      </c>
      <c r="D117" s="4">
        <v>7481</v>
      </c>
      <c r="E117" s="4" t="s">
        <v>85</v>
      </c>
      <c r="F117" s="4" t="s">
        <v>85</v>
      </c>
      <c r="G117" s="4" t="s">
        <v>65</v>
      </c>
      <c r="H117" s="4">
        <v>900</v>
      </c>
      <c r="I117" s="4" t="s">
        <v>268</v>
      </c>
    </row>
    <row r="118" spans="1:9" x14ac:dyDescent="0.25">
      <c r="A118" s="4" t="s">
        <v>39</v>
      </c>
      <c r="B118" s="4" t="s">
        <v>157</v>
      </c>
      <c r="C118" s="4" t="s">
        <v>300</v>
      </c>
      <c r="D118" s="4">
        <v>14754</v>
      </c>
      <c r="E118" s="4" t="s">
        <v>85</v>
      </c>
      <c r="F118" s="4" t="s">
        <v>85</v>
      </c>
      <c r="G118" s="4" t="s">
        <v>65</v>
      </c>
      <c r="H118" s="4">
        <v>900</v>
      </c>
      <c r="I118" s="4" t="s">
        <v>268</v>
      </c>
    </row>
    <row r="119" spans="1:9" x14ac:dyDescent="0.25">
      <c r="A119" s="4" t="s">
        <v>39</v>
      </c>
      <c r="B119" s="4" t="s">
        <v>158</v>
      </c>
      <c r="C119" s="4" t="s">
        <v>296</v>
      </c>
      <c r="D119" s="4">
        <v>15356</v>
      </c>
      <c r="E119" s="4" t="s">
        <v>85</v>
      </c>
      <c r="F119" s="4" t="s">
        <v>85</v>
      </c>
      <c r="G119" s="4" t="s">
        <v>65</v>
      </c>
      <c r="H119" s="4">
        <v>900</v>
      </c>
      <c r="I119" s="4" t="s">
        <v>268</v>
      </c>
    </row>
    <row r="120" spans="1:9" x14ac:dyDescent="0.25">
      <c r="A120" s="4" t="s">
        <v>39</v>
      </c>
      <c r="B120" s="4" t="s">
        <v>159</v>
      </c>
      <c r="C120" s="4" t="s">
        <v>40</v>
      </c>
      <c r="D120" s="4">
        <v>2428</v>
      </c>
      <c r="E120" s="4" t="s">
        <v>278</v>
      </c>
      <c r="F120" s="4" t="str">
        <f>VLOOKUP(B120,[1]colour_range_groups!$B$2:$F$140,5,FALSE)</f>
        <v>C07</v>
      </c>
      <c r="G120" s="4" t="s">
        <v>65</v>
      </c>
      <c r="H120" s="4">
        <v>900</v>
      </c>
      <c r="I120" s="4" t="s">
        <v>268</v>
      </c>
    </row>
    <row r="121" spans="1:9" x14ac:dyDescent="0.25">
      <c r="A121" s="4" t="s">
        <v>42</v>
      </c>
      <c r="B121" s="4" t="s">
        <v>160</v>
      </c>
      <c r="C121" s="4" t="s">
        <v>298</v>
      </c>
      <c r="D121" s="4">
        <v>1639</v>
      </c>
      <c r="E121" s="4" t="s">
        <v>85</v>
      </c>
      <c r="F121" s="4" t="s">
        <v>85</v>
      </c>
      <c r="G121" s="4" t="s">
        <v>65</v>
      </c>
      <c r="H121" s="4">
        <v>5734</v>
      </c>
      <c r="I121" s="4">
        <v>828</v>
      </c>
    </row>
    <row r="122" spans="1:9" x14ac:dyDescent="0.25">
      <c r="A122" s="4" t="s">
        <v>43</v>
      </c>
      <c r="B122" s="4" t="s">
        <v>161</v>
      </c>
      <c r="C122" s="4" t="s">
        <v>92</v>
      </c>
      <c r="D122" s="4">
        <v>22678</v>
      </c>
      <c r="E122" s="4" t="s">
        <v>85</v>
      </c>
      <c r="F122" s="4" t="s">
        <v>85</v>
      </c>
      <c r="G122" s="4" t="s">
        <v>67</v>
      </c>
      <c r="H122" s="4">
        <v>14186</v>
      </c>
      <c r="I122" s="4">
        <v>52</v>
      </c>
    </row>
    <row r="123" spans="1:9" x14ac:dyDescent="0.25">
      <c r="A123" s="4" t="s">
        <v>43</v>
      </c>
      <c r="B123" s="4" t="s">
        <v>162</v>
      </c>
      <c r="C123" s="4" t="s">
        <v>281</v>
      </c>
      <c r="D123" s="4">
        <v>20532</v>
      </c>
      <c r="E123" s="4" t="s">
        <v>85</v>
      </c>
      <c r="F123" s="4" t="s">
        <v>85</v>
      </c>
      <c r="G123" s="4" t="s">
        <v>67</v>
      </c>
      <c r="H123" s="4">
        <v>14186</v>
      </c>
      <c r="I123" s="4">
        <v>52</v>
      </c>
    </row>
    <row r="124" spans="1:9" x14ac:dyDescent="0.25">
      <c r="A124" s="4" t="s">
        <v>43</v>
      </c>
      <c r="B124" s="4" t="s">
        <v>163</v>
      </c>
      <c r="C124" s="4" t="s">
        <v>283</v>
      </c>
      <c r="D124" s="4">
        <v>10040</v>
      </c>
      <c r="E124" s="4" t="s">
        <v>85</v>
      </c>
      <c r="F124" s="4" t="s">
        <v>85</v>
      </c>
      <c r="G124" s="4" t="s">
        <v>67</v>
      </c>
      <c r="H124" s="4">
        <v>14186</v>
      </c>
      <c r="I124" s="4">
        <v>52</v>
      </c>
    </row>
    <row r="125" spans="1:9" x14ac:dyDescent="0.25">
      <c r="A125" s="4" t="s">
        <v>43</v>
      </c>
      <c r="B125" s="4" t="s">
        <v>164</v>
      </c>
      <c r="C125" s="4" t="s">
        <v>5</v>
      </c>
      <c r="D125" s="4">
        <v>9848</v>
      </c>
      <c r="E125" s="4" t="s">
        <v>85</v>
      </c>
      <c r="F125" s="4" t="s">
        <v>85</v>
      </c>
      <c r="G125" s="4" t="s">
        <v>67</v>
      </c>
      <c r="H125" s="4">
        <v>14186</v>
      </c>
      <c r="I125" s="4">
        <v>52</v>
      </c>
    </row>
    <row r="126" spans="1:9" x14ac:dyDescent="0.25">
      <c r="A126" s="4" t="s">
        <v>44</v>
      </c>
      <c r="B126" s="4" t="s">
        <v>165</v>
      </c>
      <c r="C126" s="4" t="s">
        <v>295</v>
      </c>
      <c r="D126" s="4">
        <v>18065</v>
      </c>
      <c r="E126" s="4" t="s">
        <v>85</v>
      </c>
      <c r="F126" s="4" t="s">
        <v>85</v>
      </c>
      <c r="G126" s="4" t="s">
        <v>65</v>
      </c>
      <c r="H126" s="4">
        <v>900</v>
      </c>
      <c r="I126" s="4" t="s">
        <v>268</v>
      </c>
    </row>
    <row r="127" spans="1:9" x14ac:dyDescent="0.25">
      <c r="A127" s="4" t="s">
        <v>44</v>
      </c>
      <c r="B127" s="4" t="s">
        <v>166</v>
      </c>
      <c r="C127" s="4" t="s">
        <v>5</v>
      </c>
      <c r="D127" s="4">
        <v>3770</v>
      </c>
      <c r="E127" s="4" t="s">
        <v>85</v>
      </c>
      <c r="F127" s="4" t="s">
        <v>85</v>
      </c>
      <c r="G127" s="4" t="s">
        <v>65</v>
      </c>
      <c r="H127" s="4">
        <v>900</v>
      </c>
      <c r="I127" s="4" t="s">
        <v>268</v>
      </c>
    </row>
    <row r="128" spans="1:9" x14ac:dyDescent="0.25">
      <c r="A128" s="4" t="s">
        <v>44</v>
      </c>
      <c r="B128" s="4" t="s">
        <v>167</v>
      </c>
      <c r="C128" s="4" t="s">
        <v>143</v>
      </c>
      <c r="D128" s="4">
        <v>3721</v>
      </c>
      <c r="E128" s="4" t="s">
        <v>85</v>
      </c>
      <c r="F128" s="4" t="s">
        <v>85</v>
      </c>
      <c r="G128" s="4" t="s">
        <v>65</v>
      </c>
      <c r="H128" s="4">
        <v>900</v>
      </c>
      <c r="I128" s="4" t="s">
        <v>268</v>
      </c>
    </row>
    <row r="129" spans="1:11" x14ac:dyDescent="0.25">
      <c r="A129" s="4" t="s">
        <v>44</v>
      </c>
      <c r="B129" s="4" t="s">
        <v>168</v>
      </c>
      <c r="C129" s="4" t="s">
        <v>40</v>
      </c>
      <c r="D129" s="4">
        <v>2428</v>
      </c>
      <c r="E129" s="4" t="s">
        <v>278</v>
      </c>
      <c r="F129" s="4" t="str">
        <f>VLOOKUP(B129,[1]colour_range_groups!$B$2:$F$140,5,FALSE)</f>
        <v>C07</v>
      </c>
      <c r="G129" s="4" t="s">
        <v>65</v>
      </c>
      <c r="H129" s="4">
        <v>900</v>
      </c>
      <c r="I129" s="4" t="s">
        <v>268</v>
      </c>
      <c r="J129" s="4" t="s">
        <v>273</v>
      </c>
      <c r="K129" t="s">
        <v>279</v>
      </c>
    </row>
    <row r="130" spans="1:11" x14ac:dyDescent="0.25">
      <c r="A130" s="4" t="s">
        <v>44</v>
      </c>
      <c r="B130" s="4" t="s">
        <v>169</v>
      </c>
      <c r="C130" s="4" t="s">
        <v>289</v>
      </c>
      <c r="D130" s="4">
        <v>18335</v>
      </c>
      <c r="E130" s="4" t="s">
        <v>85</v>
      </c>
      <c r="F130" s="4" t="s">
        <v>85</v>
      </c>
      <c r="G130" s="4" t="s">
        <v>65</v>
      </c>
      <c r="H130" s="4">
        <v>900</v>
      </c>
      <c r="I130" s="4" t="s">
        <v>268</v>
      </c>
    </row>
    <row r="131" spans="1:11" x14ac:dyDescent="0.25">
      <c r="A131" s="4" t="s">
        <v>44</v>
      </c>
      <c r="B131" s="4" t="s">
        <v>170</v>
      </c>
      <c r="C131" s="4" t="s">
        <v>294</v>
      </c>
      <c r="D131" s="4">
        <v>7622</v>
      </c>
      <c r="E131" s="4" t="s">
        <v>85</v>
      </c>
      <c r="F131" s="4" t="s">
        <v>85</v>
      </c>
      <c r="G131" s="4" t="s">
        <v>65</v>
      </c>
      <c r="H131" s="4">
        <v>900</v>
      </c>
      <c r="I131" s="4" t="s">
        <v>268</v>
      </c>
    </row>
    <row r="132" spans="1:11" x14ac:dyDescent="0.25">
      <c r="A132" s="4" t="s">
        <v>44</v>
      </c>
      <c r="B132" s="4" t="s">
        <v>171</v>
      </c>
      <c r="C132" s="4" t="s">
        <v>6</v>
      </c>
      <c r="D132" s="4">
        <v>36277</v>
      </c>
      <c r="E132" s="4" t="s">
        <v>278</v>
      </c>
      <c r="F132" s="4" t="str">
        <f>VLOOKUP(B132,[1]colour_range_groups!$B$2:$F$140,5,FALSE)</f>
        <v>C14</v>
      </c>
      <c r="G132" s="4" t="s">
        <v>65</v>
      </c>
      <c r="H132" s="4">
        <v>900</v>
      </c>
      <c r="I132" s="4" t="s">
        <v>268</v>
      </c>
    </row>
    <row r="133" spans="1:11" x14ac:dyDescent="0.25">
      <c r="A133" s="4" t="s">
        <v>45</v>
      </c>
      <c r="B133" s="4" t="s">
        <v>172</v>
      </c>
      <c r="C133" s="4" t="s">
        <v>41</v>
      </c>
      <c r="D133" s="4">
        <v>8529</v>
      </c>
      <c r="E133" s="4" t="s">
        <v>85</v>
      </c>
      <c r="F133" s="4" t="s">
        <v>85</v>
      </c>
      <c r="G133" s="4" t="s">
        <v>65</v>
      </c>
      <c r="H133" s="4">
        <v>829</v>
      </c>
      <c r="I133" s="4">
        <v>828</v>
      </c>
    </row>
    <row r="134" spans="1:11" x14ac:dyDescent="0.25">
      <c r="A134" s="4" t="s">
        <v>45</v>
      </c>
      <c r="B134" s="4" t="s">
        <v>173</v>
      </c>
      <c r="C134" s="4" t="s">
        <v>13</v>
      </c>
      <c r="D134" s="4">
        <v>29036</v>
      </c>
      <c r="E134" s="4" t="s">
        <v>85</v>
      </c>
      <c r="F134" s="4" t="s">
        <v>85</v>
      </c>
      <c r="G134" s="4" t="s">
        <v>65</v>
      </c>
      <c r="H134" s="4">
        <v>829</v>
      </c>
      <c r="I134" s="4">
        <v>828</v>
      </c>
    </row>
    <row r="135" spans="1:11" x14ac:dyDescent="0.25">
      <c r="A135" s="4" t="s">
        <v>45</v>
      </c>
      <c r="B135" s="4" t="s">
        <v>174</v>
      </c>
      <c r="C135" s="4" t="s">
        <v>300</v>
      </c>
      <c r="D135" s="4">
        <v>14528</v>
      </c>
      <c r="E135" s="4" t="s">
        <v>85</v>
      </c>
      <c r="F135" s="4" t="s">
        <v>85</v>
      </c>
      <c r="G135" s="4" t="s">
        <v>65</v>
      </c>
      <c r="H135" s="4">
        <v>829</v>
      </c>
      <c r="I135" s="4">
        <v>828</v>
      </c>
    </row>
    <row r="136" spans="1:11" x14ac:dyDescent="0.25">
      <c r="A136" s="4" t="s">
        <v>45</v>
      </c>
      <c r="B136" s="4" t="s">
        <v>175</v>
      </c>
      <c r="C136" s="4" t="s">
        <v>40</v>
      </c>
      <c r="D136" s="4">
        <v>2427</v>
      </c>
      <c r="E136" s="4" t="s">
        <v>278</v>
      </c>
      <c r="F136" s="4" t="str">
        <f>VLOOKUP(B136,[1]colour_range_groups!$B$2:$F$140,5,FALSE)</f>
        <v>C07</v>
      </c>
      <c r="G136" s="4" t="s">
        <v>65</v>
      </c>
      <c r="H136" s="4">
        <v>829</v>
      </c>
      <c r="I136" s="4">
        <v>828</v>
      </c>
      <c r="J136" s="4" t="s">
        <v>274</v>
      </c>
    </row>
    <row r="137" spans="1:11" x14ac:dyDescent="0.25">
      <c r="A137" s="4" t="s">
        <v>46</v>
      </c>
      <c r="B137" s="4" t="s">
        <v>176</v>
      </c>
      <c r="C137" s="4" t="s">
        <v>6</v>
      </c>
      <c r="D137" s="4">
        <v>37369</v>
      </c>
      <c r="E137" s="4" t="s">
        <v>85</v>
      </c>
      <c r="F137" s="4" t="s">
        <v>85</v>
      </c>
      <c r="G137" s="4" t="s">
        <v>67</v>
      </c>
      <c r="H137" s="4">
        <v>53</v>
      </c>
      <c r="I137" s="4">
        <v>21</v>
      </c>
    </row>
    <row r="138" spans="1:11" x14ac:dyDescent="0.25">
      <c r="A138" s="4" t="s">
        <v>46</v>
      </c>
      <c r="B138" s="4" t="s">
        <v>177</v>
      </c>
      <c r="C138" s="4" t="s">
        <v>13</v>
      </c>
      <c r="D138" s="4">
        <v>28059</v>
      </c>
      <c r="E138" s="4" t="s">
        <v>278</v>
      </c>
      <c r="F138" s="4" t="str">
        <f>VLOOKUP(B138,[1]colour_range_groups!$B$2:$F$140,5,FALSE)</f>
        <v>C11</v>
      </c>
      <c r="G138" s="4" t="s">
        <v>67</v>
      </c>
      <c r="H138" s="4">
        <v>53</v>
      </c>
      <c r="I138" s="4">
        <v>21</v>
      </c>
    </row>
    <row r="139" spans="1:11" x14ac:dyDescent="0.25">
      <c r="A139" s="4" t="s">
        <v>77</v>
      </c>
      <c r="B139" s="4" t="s">
        <v>178</v>
      </c>
      <c r="C139" s="4" t="s">
        <v>22</v>
      </c>
      <c r="D139" s="4">
        <v>1690</v>
      </c>
      <c r="E139" s="4" t="s">
        <v>85</v>
      </c>
      <c r="F139" s="4" t="s">
        <v>85</v>
      </c>
      <c r="G139" s="4" t="s">
        <v>67</v>
      </c>
      <c r="H139" s="4">
        <v>45</v>
      </c>
      <c r="I139" s="4">
        <v>45</v>
      </c>
      <c r="J139" s="4" t="s">
        <v>275</v>
      </c>
    </row>
    <row r="140" spans="1:11" x14ac:dyDescent="0.25">
      <c r="A140" s="4" t="s">
        <v>78</v>
      </c>
      <c r="B140" s="4" t="s">
        <v>264</v>
      </c>
      <c r="C140" s="4" t="s">
        <v>215</v>
      </c>
      <c r="D140" s="4">
        <v>3605</v>
      </c>
      <c r="E140" s="4" t="s">
        <v>85</v>
      </c>
      <c r="F140" s="4" t="s">
        <v>85</v>
      </c>
      <c r="G140" s="4" t="s">
        <v>67</v>
      </c>
      <c r="H140" s="4">
        <v>677</v>
      </c>
      <c r="I140" s="4">
        <v>677</v>
      </c>
    </row>
    <row r="141" spans="1:11" x14ac:dyDescent="0.25">
      <c r="A141" s="4" t="s">
        <v>47</v>
      </c>
      <c r="B141" s="4" t="s">
        <v>179</v>
      </c>
      <c r="C141" s="4" t="s">
        <v>48</v>
      </c>
      <c r="D141" s="4">
        <v>5381</v>
      </c>
      <c r="E141" s="4" t="s">
        <v>278</v>
      </c>
      <c r="F141" s="4" t="str">
        <f>VLOOKUP(B141,[1]colour_range_groups!$B$2:$F$140,5,FALSE)</f>
        <v>C04</v>
      </c>
      <c r="G141" s="4" t="s">
        <v>67</v>
      </c>
      <c r="H141" s="4">
        <v>5647</v>
      </c>
      <c r="I141" s="4">
        <v>692</v>
      </c>
    </row>
    <row r="142" spans="1:11" x14ac:dyDescent="0.25">
      <c r="A142" s="4" t="s">
        <v>49</v>
      </c>
      <c r="B142" s="4" t="s">
        <v>180</v>
      </c>
      <c r="C142" s="4" t="s">
        <v>6</v>
      </c>
      <c r="D142" s="4">
        <v>45668</v>
      </c>
      <c r="E142" s="4" t="s">
        <v>278</v>
      </c>
      <c r="F142" s="4" t="str">
        <f>VLOOKUP(B142,[1]colour_range_groups!$B$2:$F$140,5,FALSE)</f>
        <v>C08</v>
      </c>
      <c r="G142" s="4" t="s">
        <v>67</v>
      </c>
      <c r="H142" s="4">
        <v>48</v>
      </c>
      <c r="I142" s="4">
        <v>48</v>
      </c>
    </row>
    <row r="143" spans="1:11" x14ac:dyDescent="0.25">
      <c r="A143" s="4" t="s">
        <v>50</v>
      </c>
      <c r="B143" s="4" t="s">
        <v>181</v>
      </c>
      <c r="C143" s="4" t="s">
        <v>143</v>
      </c>
      <c r="D143" s="4">
        <v>4173</v>
      </c>
      <c r="E143" s="4" t="s">
        <v>85</v>
      </c>
      <c r="F143" s="4" t="s">
        <v>85</v>
      </c>
      <c r="G143" s="4" t="s">
        <v>65</v>
      </c>
      <c r="H143" s="4">
        <v>8926</v>
      </c>
      <c r="I143" s="4">
        <v>828</v>
      </c>
    </row>
    <row r="144" spans="1:11" x14ac:dyDescent="0.25">
      <c r="A144" s="4" t="s">
        <v>50</v>
      </c>
      <c r="B144" s="4" t="s">
        <v>182</v>
      </c>
      <c r="C144" s="4" t="s">
        <v>293</v>
      </c>
      <c r="D144" s="4">
        <v>22538</v>
      </c>
      <c r="E144" s="4" t="s">
        <v>85</v>
      </c>
      <c r="F144" s="4" t="s">
        <v>85</v>
      </c>
      <c r="G144" s="4" t="s">
        <v>65</v>
      </c>
      <c r="H144" s="4">
        <v>8926</v>
      </c>
      <c r="I144" s="4">
        <v>828</v>
      </c>
    </row>
    <row r="145" spans="1:9" x14ac:dyDescent="0.25">
      <c r="A145" s="4" t="s">
        <v>79</v>
      </c>
      <c r="B145" s="4" t="s">
        <v>265</v>
      </c>
      <c r="C145" s="4" t="s">
        <v>215</v>
      </c>
      <c r="D145" s="4">
        <v>9896</v>
      </c>
      <c r="E145" s="4" t="s">
        <v>85</v>
      </c>
      <c r="F145" s="4" t="s">
        <v>85</v>
      </c>
      <c r="G145" s="4" t="s">
        <v>67</v>
      </c>
      <c r="H145" s="4">
        <v>583</v>
      </c>
      <c r="I145" s="4">
        <v>45</v>
      </c>
    </row>
    <row r="146" spans="1:9" x14ac:dyDescent="0.25">
      <c r="A146" s="4" t="s">
        <v>79</v>
      </c>
      <c r="B146" s="4" t="s">
        <v>266</v>
      </c>
      <c r="C146" s="4" t="s">
        <v>215</v>
      </c>
      <c r="D146" s="4">
        <v>1979</v>
      </c>
      <c r="E146" s="4" t="s">
        <v>85</v>
      </c>
      <c r="F146" s="4" t="s">
        <v>85</v>
      </c>
      <c r="G146" s="4" t="s">
        <v>67</v>
      </c>
      <c r="H146" s="4">
        <v>583</v>
      </c>
      <c r="I146" s="4">
        <v>45</v>
      </c>
    </row>
    <row r="147" spans="1:9" x14ac:dyDescent="0.25">
      <c r="A147" s="4" t="s">
        <v>51</v>
      </c>
      <c r="B147" s="4" t="s">
        <v>183</v>
      </c>
      <c r="C147" s="4" t="s">
        <v>13</v>
      </c>
      <c r="D147" s="4">
        <v>27311</v>
      </c>
      <c r="E147" s="4" t="s">
        <v>85</v>
      </c>
      <c r="F147" s="4" t="s">
        <v>85</v>
      </c>
      <c r="G147" s="4" t="s">
        <v>67</v>
      </c>
      <c r="H147" s="4">
        <v>2392</v>
      </c>
      <c r="I147" s="4">
        <v>52</v>
      </c>
    </row>
    <row r="148" spans="1:9" x14ac:dyDescent="0.25">
      <c r="A148" s="4" t="s">
        <v>80</v>
      </c>
      <c r="B148" s="4" t="s">
        <v>267</v>
      </c>
      <c r="C148" s="4" t="s">
        <v>215</v>
      </c>
      <c r="D148" s="4">
        <v>20683</v>
      </c>
      <c r="E148" s="4" t="s">
        <v>85</v>
      </c>
      <c r="F148" s="4" t="s">
        <v>85</v>
      </c>
      <c r="G148" s="4" t="s">
        <v>67</v>
      </c>
      <c r="H148" s="4">
        <v>61</v>
      </c>
      <c r="I148" s="4">
        <v>61</v>
      </c>
    </row>
    <row r="149" spans="1:9" x14ac:dyDescent="0.25">
      <c r="A149" s="4" t="s">
        <v>52</v>
      </c>
      <c r="B149" s="4" t="s">
        <v>184</v>
      </c>
      <c r="C149" s="4" t="s">
        <v>5</v>
      </c>
      <c r="D149" s="4">
        <v>11764</v>
      </c>
      <c r="E149" s="4" t="s">
        <v>85</v>
      </c>
      <c r="F149" s="4" t="s">
        <v>85</v>
      </c>
      <c r="G149" s="4" t="s">
        <v>67</v>
      </c>
      <c r="H149" s="4">
        <v>51</v>
      </c>
      <c r="I149" s="4">
        <v>443</v>
      </c>
    </row>
    <row r="150" spans="1:9" x14ac:dyDescent="0.25">
      <c r="A150" s="4" t="s">
        <v>52</v>
      </c>
      <c r="B150" s="4" t="s">
        <v>185</v>
      </c>
      <c r="C150" s="4" t="s">
        <v>281</v>
      </c>
      <c r="D150" s="4">
        <v>24214</v>
      </c>
      <c r="E150" s="4" t="s">
        <v>85</v>
      </c>
      <c r="F150" s="4" t="s">
        <v>85</v>
      </c>
      <c r="G150" s="4" t="s">
        <v>67</v>
      </c>
      <c r="H150" s="4">
        <v>51</v>
      </c>
      <c r="I150" s="4">
        <v>443</v>
      </c>
    </row>
    <row r="151" spans="1:9" x14ac:dyDescent="0.25">
      <c r="A151" s="4" t="s">
        <v>53</v>
      </c>
      <c r="B151" s="4" t="s">
        <v>186</v>
      </c>
      <c r="C151" s="4" t="s">
        <v>13</v>
      </c>
      <c r="D151" s="4">
        <v>28972</v>
      </c>
      <c r="E151" s="4" t="s">
        <v>278</v>
      </c>
      <c r="F151" s="4" t="str">
        <f>VLOOKUP(B151,[1]colour_range_groups!$B$2:$F$140,5,FALSE)</f>
        <v>C11</v>
      </c>
      <c r="G151" s="4" t="s">
        <v>67</v>
      </c>
      <c r="H151" s="4">
        <v>42</v>
      </c>
      <c r="I151" s="4">
        <v>42</v>
      </c>
    </row>
    <row r="152" spans="1:9" x14ac:dyDescent="0.25">
      <c r="A152" s="4" t="s">
        <v>54</v>
      </c>
      <c r="B152" s="4" t="s">
        <v>187</v>
      </c>
      <c r="C152" s="4" t="s">
        <v>13</v>
      </c>
      <c r="D152" s="4">
        <v>27560</v>
      </c>
      <c r="E152" s="4" t="s">
        <v>278</v>
      </c>
      <c r="F152" s="4" t="str">
        <f>VLOOKUP(B152,[1]colour_range_groups!$B$2:$F$140,5,FALSE)</f>
        <v>C10</v>
      </c>
      <c r="G152" s="4" t="s">
        <v>67</v>
      </c>
      <c r="H152" s="4">
        <v>61</v>
      </c>
      <c r="I152" s="4">
        <v>61</v>
      </c>
    </row>
    <row r="153" spans="1:9" x14ac:dyDescent="0.25">
      <c r="A153" s="4" t="s">
        <v>55</v>
      </c>
      <c r="B153" s="4" t="s">
        <v>188</v>
      </c>
      <c r="C153" s="4" t="s">
        <v>290</v>
      </c>
      <c r="D153" s="4">
        <v>48909</v>
      </c>
      <c r="E153" s="4" t="s">
        <v>85</v>
      </c>
      <c r="F153" s="4" t="s">
        <v>85</v>
      </c>
      <c r="G153" s="4" t="s">
        <v>67</v>
      </c>
      <c r="H153" s="4">
        <v>61</v>
      </c>
      <c r="I153" s="4">
        <v>61</v>
      </c>
    </row>
    <row r="154" spans="1:9" x14ac:dyDescent="0.25">
      <c r="A154" s="4" t="s">
        <v>55</v>
      </c>
      <c r="B154" s="4" t="s">
        <v>189</v>
      </c>
      <c r="C154" s="4" t="s">
        <v>5</v>
      </c>
      <c r="D154" s="4">
        <v>9865</v>
      </c>
      <c r="E154" s="4" t="s">
        <v>85</v>
      </c>
      <c r="F154" s="4" t="s">
        <v>85</v>
      </c>
      <c r="G154" s="4" t="s">
        <v>67</v>
      </c>
      <c r="H154" s="4">
        <v>61</v>
      </c>
      <c r="I154" s="4">
        <v>61</v>
      </c>
    </row>
    <row r="155" spans="1:9" x14ac:dyDescent="0.25">
      <c r="A155" s="4" t="s">
        <v>56</v>
      </c>
      <c r="B155" s="4" t="s">
        <v>190</v>
      </c>
      <c r="C155" s="4" t="s">
        <v>282</v>
      </c>
      <c r="D155" s="4">
        <v>19113</v>
      </c>
      <c r="E155" s="4" t="s">
        <v>85</v>
      </c>
      <c r="F155" s="4" t="s">
        <v>85</v>
      </c>
      <c r="G155" s="4" t="s">
        <v>67</v>
      </c>
      <c r="H155" s="4">
        <v>50</v>
      </c>
      <c r="I155" s="4">
        <v>21</v>
      </c>
    </row>
    <row r="156" spans="1:9" x14ac:dyDescent="0.25">
      <c r="A156" s="4" t="s">
        <v>56</v>
      </c>
      <c r="B156" s="4" t="s">
        <v>191</v>
      </c>
      <c r="C156" s="4" t="s">
        <v>5</v>
      </c>
      <c r="D156" s="4">
        <v>3042</v>
      </c>
      <c r="E156" s="4" t="s">
        <v>85</v>
      </c>
      <c r="F156" s="4" t="s">
        <v>85</v>
      </c>
      <c r="G156" s="4" t="s">
        <v>67</v>
      </c>
      <c r="H156" s="4">
        <v>50</v>
      </c>
      <c r="I156" s="4">
        <v>21</v>
      </c>
    </row>
    <row r="157" spans="1:9" x14ac:dyDescent="0.25">
      <c r="A157" s="4" t="s">
        <v>56</v>
      </c>
      <c r="B157" s="4" t="s">
        <v>192</v>
      </c>
      <c r="C157" s="4" t="s">
        <v>13</v>
      </c>
      <c r="D157" s="4">
        <v>32268</v>
      </c>
      <c r="E157" s="4" t="s">
        <v>85</v>
      </c>
      <c r="F157" s="4" t="s">
        <v>85</v>
      </c>
      <c r="G157" s="4" t="s">
        <v>67</v>
      </c>
      <c r="H157" s="4">
        <v>50</v>
      </c>
      <c r="I157" s="4">
        <v>21</v>
      </c>
    </row>
    <row r="158" spans="1:9" x14ac:dyDescent="0.25">
      <c r="A158" s="4" t="s">
        <v>57</v>
      </c>
      <c r="B158" s="4" t="s">
        <v>193</v>
      </c>
      <c r="C158" s="4" t="s">
        <v>283</v>
      </c>
      <c r="D158" s="4">
        <v>13053</v>
      </c>
      <c r="E158" s="4" t="s">
        <v>85</v>
      </c>
      <c r="F158" s="4" t="s">
        <v>85</v>
      </c>
      <c r="G158" s="4" t="s">
        <v>67</v>
      </c>
      <c r="H158" s="4">
        <v>2357</v>
      </c>
      <c r="I158" s="4">
        <v>61</v>
      </c>
    </row>
    <row r="159" spans="1:9" x14ac:dyDescent="0.25">
      <c r="A159" s="4" t="s">
        <v>57</v>
      </c>
      <c r="B159" s="4" t="s">
        <v>194</v>
      </c>
      <c r="C159" s="4" t="s">
        <v>282</v>
      </c>
      <c r="D159" s="4">
        <v>19120</v>
      </c>
      <c r="E159" s="4" t="s">
        <v>85</v>
      </c>
      <c r="F159" s="4" t="s">
        <v>85</v>
      </c>
      <c r="G159" s="4" t="s">
        <v>67</v>
      </c>
      <c r="H159" s="4">
        <v>2357</v>
      </c>
      <c r="I159" s="4">
        <v>61</v>
      </c>
    </row>
    <row r="160" spans="1:9" x14ac:dyDescent="0.25">
      <c r="A160" s="4" t="s">
        <v>57</v>
      </c>
      <c r="B160" s="4" t="s">
        <v>195</v>
      </c>
      <c r="C160" s="4" t="s">
        <v>5</v>
      </c>
      <c r="D160" s="4">
        <v>10499</v>
      </c>
      <c r="E160" s="4" t="s">
        <v>85</v>
      </c>
      <c r="F160" s="4" t="s">
        <v>85</v>
      </c>
      <c r="G160" s="4" t="s">
        <v>67</v>
      </c>
      <c r="H160" s="4">
        <v>2357</v>
      </c>
      <c r="I160" s="4">
        <v>61</v>
      </c>
    </row>
    <row r="161" spans="1:9" x14ac:dyDescent="0.25">
      <c r="A161" s="4" t="s">
        <v>57</v>
      </c>
      <c r="B161" s="4" t="s">
        <v>196</v>
      </c>
      <c r="C161" s="4" t="s">
        <v>13</v>
      </c>
      <c r="D161" s="4">
        <v>27303</v>
      </c>
      <c r="E161" s="4" t="s">
        <v>85</v>
      </c>
      <c r="F161" s="4" t="s">
        <v>85</v>
      </c>
      <c r="G161" s="4" t="s">
        <v>67</v>
      </c>
      <c r="H161" s="4">
        <v>2357</v>
      </c>
      <c r="I161" s="4">
        <v>61</v>
      </c>
    </row>
    <row r="162" spans="1:9" x14ac:dyDescent="0.25">
      <c r="A162" s="4" t="s">
        <v>57</v>
      </c>
      <c r="B162" s="4" t="s">
        <v>197</v>
      </c>
      <c r="C162" s="4" t="s">
        <v>297</v>
      </c>
      <c r="D162" s="4">
        <v>12021</v>
      </c>
      <c r="E162" s="4" t="s">
        <v>85</v>
      </c>
      <c r="F162" s="4" t="s">
        <v>85</v>
      </c>
      <c r="G162" s="4" t="s">
        <v>67</v>
      </c>
      <c r="H162" s="4">
        <v>2357</v>
      </c>
      <c r="I162" s="4">
        <v>61</v>
      </c>
    </row>
    <row r="163" spans="1:9" x14ac:dyDescent="0.25">
      <c r="A163" s="4" t="s">
        <v>57</v>
      </c>
      <c r="B163" s="4" t="s">
        <v>198</v>
      </c>
      <c r="C163" s="4" t="s">
        <v>301</v>
      </c>
      <c r="D163" s="4">
        <v>1317</v>
      </c>
      <c r="E163" s="4" t="s">
        <v>85</v>
      </c>
      <c r="F163" s="4" t="s">
        <v>85</v>
      </c>
      <c r="G163" s="4" t="s">
        <v>67</v>
      </c>
      <c r="H163" s="4">
        <v>2357</v>
      </c>
      <c r="I163" s="4">
        <v>61</v>
      </c>
    </row>
    <row r="164" spans="1:9" x14ac:dyDescent="0.25">
      <c r="A164" s="4" t="s">
        <v>57</v>
      </c>
      <c r="B164" s="4" t="s">
        <v>199</v>
      </c>
      <c r="C164" s="4" t="s">
        <v>291</v>
      </c>
      <c r="D164" s="4">
        <v>10644</v>
      </c>
      <c r="E164" s="4" t="s">
        <v>85</v>
      </c>
      <c r="F164" s="4" t="s">
        <v>85</v>
      </c>
      <c r="G164" s="4" t="s">
        <v>67</v>
      </c>
      <c r="H164" s="4">
        <v>2357</v>
      </c>
      <c r="I164" s="4">
        <v>61</v>
      </c>
    </row>
    <row r="165" spans="1:9" x14ac:dyDescent="0.25">
      <c r="A165" s="4" t="s">
        <v>58</v>
      </c>
      <c r="B165" s="4" t="s">
        <v>200</v>
      </c>
      <c r="C165" s="4" t="s">
        <v>22</v>
      </c>
      <c r="D165" s="4">
        <v>2718</v>
      </c>
      <c r="E165" s="4" t="s">
        <v>278</v>
      </c>
      <c r="F165" s="4" t="str">
        <f>VLOOKUP(B165,[1]colour_range_groups!$B$2:$F$140,5,FALSE)</f>
        <v>C03</v>
      </c>
      <c r="G165" s="4" t="s">
        <v>65</v>
      </c>
      <c r="H165" s="4">
        <v>1096</v>
      </c>
      <c r="I165" s="4">
        <v>828</v>
      </c>
    </row>
    <row r="166" spans="1:9" x14ac:dyDescent="0.25">
      <c r="A166" s="4" t="s">
        <v>59</v>
      </c>
      <c r="B166" s="4" t="s">
        <v>201</v>
      </c>
      <c r="C166" s="4" t="s">
        <v>296</v>
      </c>
      <c r="D166" s="4">
        <v>20202</v>
      </c>
      <c r="E166" s="4" t="s">
        <v>85</v>
      </c>
      <c r="F166" s="4" t="s">
        <v>85</v>
      </c>
      <c r="G166" s="4" t="s">
        <v>67</v>
      </c>
      <c r="H166" s="4">
        <v>45</v>
      </c>
      <c r="I166" s="4">
        <v>45</v>
      </c>
    </row>
    <row r="167" spans="1:9" x14ac:dyDescent="0.25">
      <c r="A167" s="4" t="s">
        <v>59</v>
      </c>
      <c r="B167" s="4" t="s">
        <v>202</v>
      </c>
      <c r="C167" s="4" t="s">
        <v>288</v>
      </c>
      <c r="D167" s="4">
        <v>19773</v>
      </c>
      <c r="E167" s="4" t="s">
        <v>85</v>
      </c>
      <c r="F167" s="4" t="s">
        <v>85</v>
      </c>
      <c r="G167" s="4" t="s">
        <v>67</v>
      </c>
      <c r="H167" s="4">
        <v>45</v>
      </c>
      <c r="I167" s="4">
        <v>45</v>
      </c>
    </row>
    <row r="168" spans="1:9" x14ac:dyDescent="0.25">
      <c r="A168" s="4" t="s">
        <v>60</v>
      </c>
      <c r="B168" s="4" t="s">
        <v>203</v>
      </c>
      <c r="C168" s="4" t="s">
        <v>7</v>
      </c>
      <c r="D168" s="4">
        <v>34721</v>
      </c>
      <c r="E168" s="4" t="s">
        <v>85</v>
      </c>
      <c r="F168" s="4" t="s">
        <v>85</v>
      </c>
      <c r="G168" s="4" t="s">
        <v>65</v>
      </c>
      <c r="H168" s="4">
        <v>2256</v>
      </c>
      <c r="I168" s="4">
        <v>828</v>
      </c>
    </row>
    <row r="169" spans="1:9" x14ac:dyDescent="0.25">
      <c r="A169" s="4" t="s">
        <v>60</v>
      </c>
      <c r="B169" s="4" t="s">
        <v>204</v>
      </c>
      <c r="C169" s="4" t="s">
        <v>92</v>
      </c>
      <c r="D169" s="4">
        <v>23542</v>
      </c>
      <c r="E169" s="4" t="s">
        <v>85</v>
      </c>
      <c r="F169" s="4" t="s">
        <v>85</v>
      </c>
      <c r="G169" s="4" t="s">
        <v>65</v>
      </c>
      <c r="H169" s="4">
        <v>2256</v>
      </c>
      <c r="I169" s="4">
        <v>828</v>
      </c>
    </row>
    <row r="170" spans="1:9" x14ac:dyDescent="0.25">
      <c r="A170" s="4" t="s">
        <v>60</v>
      </c>
      <c r="B170" s="4" t="s">
        <v>205</v>
      </c>
      <c r="C170" s="4" t="s">
        <v>283</v>
      </c>
      <c r="D170" s="4">
        <v>6348</v>
      </c>
      <c r="E170" s="4" t="s">
        <v>85</v>
      </c>
      <c r="F170" s="4" t="s">
        <v>85</v>
      </c>
      <c r="G170" s="4" t="s">
        <v>65</v>
      </c>
      <c r="H170" s="4">
        <v>2256</v>
      </c>
      <c r="I170" s="4">
        <v>828</v>
      </c>
    </row>
    <row r="171" spans="1:9" x14ac:dyDescent="0.25">
      <c r="A171" s="4" t="s">
        <v>61</v>
      </c>
      <c r="B171" s="4" t="s">
        <v>206</v>
      </c>
      <c r="C171" s="4" t="s">
        <v>92</v>
      </c>
      <c r="D171" s="4">
        <v>22399</v>
      </c>
      <c r="E171" s="4" t="s">
        <v>85</v>
      </c>
      <c r="F171" s="4" t="s">
        <v>85</v>
      </c>
      <c r="G171" s="4" t="s">
        <v>65</v>
      </c>
      <c r="H171" s="4">
        <v>2256</v>
      </c>
      <c r="I171" s="4">
        <v>828</v>
      </c>
    </row>
    <row r="172" spans="1:9" x14ac:dyDescent="0.25">
      <c r="A172" s="4" t="s">
        <v>61</v>
      </c>
      <c r="B172" s="4" t="s">
        <v>207</v>
      </c>
      <c r="C172" s="4" t="s">
        <v>281</v>
      </c>
      <c r="D172" s="4">
        <v>22102</v>
      </c>
      <c r="E172" s="4" t="s">
        <v>85</v>
      </c>
      <c r="F172" s="4" t="s">
        <v>85</v>
      </c>
      <c r="G172" s="4" t="s">
        <v>65</v>
      </c>
      <c r="H172" s="4">
        <v>2256</v>
      </c>
      <c r="I172" s="4">
        <v>828</v>
      </c>
    </row>
    <row r="173" spans="1:9" x14ac:dyDescent="0.25">
      <c r="A173" s="4" t="s">
        <v>61</v>
      </c>
      <c r="B173" s="4" t="s">
        <v>208</v>
      </c>
      <c r="C173" s="4" t="s">
        <v>5</v>
      </c>
      <c r="D173" s="4">
        <v>3327</v>
      </c>
      <c r="E173" s="4" t="s">
        <v>85</v>
      </c>
      <c r="F173" s="4" t="s">
        <v>85</v>
      </c>
      <c r="G173" s="4" t="s">
        <v>65</v>
      </c>
      <c r="H173" s="4">
        <v>2256</v>
      </c>
      <c r="I173" s="4">
        <v>828</v>
      </c>
    </row>
    <row r="174" spans="1:9" x14ac:dyDescent="0.25">
      <c r="A174" s="4" t="s">
        <v>62</v>
      </c>
      <c r="B174" s="4" t="s">
        <v>209</v>
      </c>
      <c r="C174" s="4" t="s">
        <v>295</v>
      </c>
      <c r="D174" s="4">
        <v>18616</v>
      </c>
      <c r="E174" s="4" t="s">
        <v>85</v>
      </c>
      <c r="F174" s="4" t="s">
        <v>85</v>
      </c>
      <c r="G174" s="4" t="s">
        <v>65</v>
      </c>
      <c r="H174" s="4">
        <v>3230</v>
      </c>
      <c r="I174" s="4">
        <v>828</v>
      </c>
    </row>
    <row r="175" spans="1:9" x14ac:dyDescent="0.25">
      <c r="A175" s="4" t="s">
        <v>62</v>
      </c>
      <c r="B175" s="4" t="s">
        <v>210</v>
      </c>
      <c r="C175" s="4" t="s">
        <v>13</v>
      </c>
      <c r="D175" s="4">
        <v>25647</v>
      </c>
      <c r="E175" s="4" t="s">
        <v>278</v>
      </c>
      <c r="F175" s="4" t="str">
        <f>VLOOKUP(B175,[1]colour_range_groups!$B$2:$F$140,5,FALSE)</f>
        <v>C13</v>
      </c>
      <c r="G175" s="4" t="s">
        <v>65</v>
      </c>
      <c r="H175" s="4">
        <v>3230</v>
      </c>
      <c r="I175" s="4">
        <v>828</v>
      </c>
    </row>
    <row r="176" spans="1:9" x14ac:dyDescent="0.25">
      <c r="A176" s="4" t="s">
        <v>62</v>
      </c>
      <c r="B176" s="4" t="s">
        <v>211</v>
      </c>
      <c r="C176" s="4" t="s">
        <v>212</v>
      </c>
      <c r="D176" s="4">
        <v>11999</v>
      </c>
      <c r="E176" s="4" t="s">
        <v>85</v>
      </c>
      <c r="F176" s="4" t="s">
        <v>85</v>
      </c>
      <c r="G176" s="4" t="s">
        <v>65</v>
      </c>
      <c r="H176" s="4">
        <v>3230</v>
      </c>
      <c r="I176" s="4">
        <v>828</v>
      </c>
    </row>
    <row r="177" spans="1:9" x14ac:dyDescent="0.25">
      <c r="A177" s="4" t="s">
        <v>62</v>
      </c>
      <c r="B177" s="4" t="s">
        <v>271</v>
      </c>
      <c r="C177" s="4" t="s">
        <v>215</v>
      </c>
      <c r="D177" s="5">
        <v>39254</v>
      </c>
      <c r="E177" s="4" t="s">
        <v>278</v>
      </c>
      <c r="F177" s="4" t="s">
        <v>272</v>
      </c>
      <c r="G177" s="4" t="s">
        <v>65</v>
      </c>
      <c r="H177" s="4">
        <v>3230</v>
      </c>
      <c r="I177" s="4">
        <v>828</v>
      </c>
    </row>
  </sheetData>
  <sortState xmlns:xlrd2="http://schemas.microsoft.com/office/spreadsheetml/2017/richdata2" ref="A2:J177">
    <sortCondition ref="A1:A1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1141-8208-4836-A7AE-405EF2F7551D}">
  <dimension ref="A1:E65"/>
  <sheetViews>
    <sheetView workbookViewId="0">
      <selection activeCell="D20" sqref="B20:D20"/>
    </sheetView>
  </sheetViews>
  <sheetFormatPr defaultRowHeight="15" x14ac:dyDescent="0.25"/>
  <cols>
    <col min="1" max="1" width="7.140625" bestFit="1" customWidth="1"/>
    <col min="2" max="2" width="7.7109375" bestFit="1" customWidth="1"/>
    <col min="3" max="3" width="9.140625" bestFit="1" customWidth="1"/>
    <col min="4" max="4" width="4" bestFit="1" customWidth="1"/>
    <col min="5" max="5" width="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63</v>
      </c>
    </row>
    <row r="2" spans="1:5" x14ac:dyDescent="0.25">
      <c r="A2" t="s">
        <v>64</v>
      </c>
      <c r="B2" t="s">
        <v>65</v>
      </c>
      <c r="C2">
        <v>3072</v>
      </c>
      <c r="D2">
        <v>828</v>
      </c>
      <c r="E2" t="s">
        <v>82</v>
      </c>
    </row>
    <row r="3" spans="1:5" x14ac:dyDescent="0.25">
      <c r="A3" t="s">
        <v>21</v>
      </c>
      <c r="B3" t="s">
        <v>65</v>
      </c>
      <c r="C3">
        <v>3222</v>
      </c>
      <c r="D3" t="s">
        <v>268</v>
      </c>
      <c r="E3" t="s">
        <v>82</v>
      </c>
    </row>
    <row r="4" spans="1:5" x14ac:dyDescent="0.25">
      <c r="A4" t="s">
        <v>24</v>
      </c>
      <c r="B4" t="s">
        <v>65</v>
      </c>
      <c r="C4">
        <v>1115</v>
      </c>
      <c r="D4" t="s">
        <v>268</v>
      </c>
      <c r="E4" t="s">
        <v>82</v>
      </c>
    </row>
    <row r="5" spans="1:5" x14ac:dyDescent="0.25">
      <c r="A5" t="s">
        <v>25</v>
      </c>
      <c r="B5" t="s">
        <v>65</v>
      </c>
      <c r="C5">
        <v>4009</v>
      </c>
      <c r="D5">
        <v>828</v>
      </c>
      <c r="E5" t="s">
        <v>81</v>
      </c>
    </row>
    <row r="6" spans="1:5" x14ac:dyDescent="0.25">
      <c r="A6" t="s">
        <v>34</v>
      </c>
      <c r="B6" t="s">
        <v>65</v>
      </c>
      <c r="C6">
        <v>830</v>
      </c>
      <c r="D6">
        <v>828</v>
      </c>
      <c r="E6" t="s">
        <v>81</v>
      </c>
    </row>
    <row r="7" spans="1:5" x14ac:dyDescent="0.25">
      <c r="A7" t="s">
        <v>37</v>
      </c>
      <c r="B7" t="s">
        <v>65</v>
      </c>
      <c r="C7">
        <v>3232</v>
      </c>
      <c r="D7">
        <v>828</v>
      </c>
      <c r="E7" t="s">
        <v>82</v>
      </c>
    </row>
    <row r="8" spans="1:5" x14ac:dyDescent="0.25">
      <c r="A8" t="s">
        <v>38</v>
      </c>
      <c r="B8" t="s">
        <v>65</v>
      </c>
      <c r="C8">
        <v>14595</v>
      </c>
      <c r="D8">
        <v>828</v>
      </c>
      <c r="E8" t="s">
        <v>81</v>
      </c>
    </row>
    <row r="9" spans="1:5" x14ac:dyDescent="0.25">
      <c r="A9" t="s">
        <v>39</v>
      </c>
      <c r="B9" t="s">
        <v>65</v>
      </c>
      <c r="C9">
        <v>900</v>
      </c>
      <c r="D9" t="s">
        <v>268</v>
      </c>
      <c r="E9" t="s">
        <v>83</v>
      </c>
    </row>
    <row r="10" spans="1:5" x14ac:dyDescent="0.25">
      <c r="A10" t="s">
        <v>42</v>
      </c>
      <c r="B10" t="s">
        <v>65</v>
      </c>
      <c r="C10">
        <v>5734</v>
      </c>
      <c r="D10">
        <v>828</v>
      </c>
      <c r="E10" t="s">
        <v>83</v>
      </c>
    </row>
    <row r="11" spans="1:5" x14ac:dyDescent="0.25">
      <c r="A11" t="s">
        <v>44</v>
      </c>
      <c r="B11" t="s">
        <v>65</v>
      </c>
      <c r="C11">
        <v>900</v>
      </c>
      <c r="D11" t="s">
        <v>268</v>
      </c>
      <c r="E11" t="s">
        <v>83</v>
      </c>
    </row>
    <row r="12" spans="1:5" x14ac:dyDescent="0.25">
      <c r="A12" t="s">
        <v>45</v>
      </c>
      <c r="B12" t="s">
        <v>65</v>
      </c>
      <c r="C12">
        <v>829</v>
      </c>
      <c r="D12">
        <v>828</v>
      </c>
      <c r="E12" t="s">
        <v>82</v>
      </c>
    </row>
    <row r="13" spans="1:5" x14ac:dyDescent="0.25">
      <c r="A13" t="s">
        <v>50</v>
      </c>
      <c r="B13" t="s">
        <v>65</v>
      </c>
      <c r="C13">
        <v>8926</v>
      </c>
      <c r="D13">
        <v>828</v>
      </c>
      <c r="E13" t="s">
        <v>81</v>
      </c>
    </row>
    <row r="14" spans="1:5" x14ac:dyDescent="0.25">
      <c r="A14" t="s">
        <v>58</v>
      </c>
      <c r="B14" t="s">
        <v>65</v>
      </c>
      <c r="C14">
        <v>1096</v>
      </c>
      <c r="D14">
        <v>828</v>
      </c>
      <c r="E14" t="s">
        <v>84</v>
      </c>
    </row>
    <row r="15" spans="1:5" x14ac:dyDescent="0.25">
      <c r="A15" t="s">
        <v>60</v>
      </c>
      <c r="B15" t="s">
        <v>65</v>
      </c>
      <c r="C15">
        <v>2256</v>
      </c>
      <c r="D15">
        <v>828</v>
      </c>
      <c r="E15" t="s">
        <v>83</v>
      </c>
    </row>
    <row r="16" spans="1:5" x14ac:dyDescent="0.25">
      <c r="A16" t="s">
        <v>61</v>
      </c>
      <c r="B16" t="s">
        <v>65</v>
      </c>
      <c r="C16">
        <v>2256</v>
      </c>
      <c r="D16">
        <v>828</v>
      </c>
      <c r="E16" t="s">
        <v>83</v>
      </c>
    </row>
    <row r="17" spans="1:5" x14ac:dyDescent="0.25">
      <c r="A17" t="s">
        <v>62</v>
      </c>
      <c r="B17" t="s">
        <v>65</v>
      </c>
      <c r="C17">
        <v>3230</v>
      </c>
      <c r="D17">
        <v>828</v>
      </c>
      <c r="E17" t="s">
        <v>83</v>
      </c>
    </row>
    <row r="18" spans="1:5" x14ac:dyDescent="0.25">
      <c r="A18" t="s">
        <v>4</v>
      </c>
      <c r="B18" t="s">
        <v>67</v>
      </c>
      <c r="C18">
        <v>520</v>
      </c>
      <c r="D18">
        <v>21</v>
      </c>
      <c r="E18" t="s">
        <v>82</v>
      </c>
    </row>
    <row r="19" spans="1:5" x14ac:dyDescent="0.25">
      <c r="A19" t="s">
        <v>66</v>
      </c>
      <c r="B19" t="s">
        <v>67</v>
      </c>
      <c r="C19">
        <v>508</v>
      </c>
      <c r="D19">
        <v>508</v>
      </c>
      <c r="E19" t="s">
        <v>81</v>
      </c>
    </row>
    <row r="20" spans="1:5" x14ac:dyDescent="0.25">
      <c r="A20" t="s">
        <v>68</v>
      </c>
      <c r="B20" t="s">
        <v>67</v>
      </c>
      <c r="C20">
        <v>12749</v>
      </c>
      <c r="D20">
        <v>353</v>
      </c>
      <c r="E20" t="s">
        <v>81</v>
      </c>
    </row>
    <row r="21" spans="1:5" x14ac:dyDescent="0.25">
      <c r="A21" t="s">
        <v>69</v>
      </c>
      <c r="B21" t="s">
        <v>67</v>
      </c>
      <c r="C21">
        <v>227</v>
      </c>
      <c r="D21">
        <v>206</v>
      </c>
      <c r="E21" t="s">
        <v>81</v>
      </c>
    </row>
    <row r="22" spans="1:5" x14ac:dyDescent="0.25">
      <c r="A22" t="s">
        <v>70</v>
      </c>
      <c r="B22" t="s">
        <v>67</v>
      </c>
      <c r="C22">
        <v>354</v>
      </c>
      <c r="D22">
        <v>354</v>
      </c>
      <c r="E22" t="s">
        <v>81</v>
      </c>
    </row>
    <row r="23" spans="1:5" x14ac:dyDescent="0.25">
      <c r="A23" t="s">
        <v>8</v>
      </c>
      <c r="B23" t="s">
        <v>67</v>
      </c>
      <c r="C23">
        <v>677</v>
      </c>
      <c r="D23">
        <v>677</v>
      </c>
      <c r="E23" t="s">
        <v>81</v>
      </c>
    </row>
    <row r="24" spans="1:5" x14ac:dyDescent="0.25">
      <c r="A24" t="s">
        <v>9</v>
      </c>
      <c r="B24" t="s">
        <v>67</v>
      </c>
      <c r="C24">
        <v>48</v>
      </c>
      <c r="D24">
        <v>48</v>
      </c>
      <c r="E24" t="s">
        <v>83</v>
      </c>
    </row>
    <row r="25" spans="1:5" x14ac:dyDescent="0.25">
      <c r="A25" t="s">
        <v>10</v>
      </c>
      <c r="B25" t="s">
        <v>67</v>
      </c>
      <c r="C25">
        <v>704</v>
      </c>
      <c r="D25" t="s">
        <v>268</v>
      </c>
      <c r="E25" t="s">
        <v>84</v>
      </c>
    </row>
    <row r="26" spans="1:5" x14ac:dyDescent="0.25">
      <c r="A26" t="s">
        <v>11</v>
      </c>
      <c r="B26" t="s">
        <v>67</v>
      </c>
      <c r="C26">
        <v>1030</v>
      </c>
      <c r="D26" t="s">
        <v>268</v>
      </c>
      <c r="E26" t="s">
        <v>84</v>
      </c>
    </row>
    <row r="27" spans="1:5" x14ac:dyDescent="0.25">
      <c r="A27" t="s">
        <v>12</v>
      </c>
      <c r="B27" t="s">
        <v>67</v>
      </c>
      <c r="C27">
        <v>61</v>
      </c>
      <c r="D27">
        <v>61</v>
      </c>
      <c r="E27" t="s">
        <v>84</v>
      </c>
    </row>
    <row r="28" spans="1:5" x14ac:dyDescent="0.25">
      <c r="A28" t="s">
        <v>14</v>
      </c>
      <c r="B28" t="s">
        <v>67</v>
      </c>
      <c r="C28">
        <v>137</v>
      </c>
      <c r="D28">
        <v>45</v>
      </c>
      <c r="E28" t="s">
        <v>84</v>
      </c>
    </row>
    <row r="29" spans="1:5" x14ac:dyDescent="0.25">
      <c r="A29" t="s">
        <v>71</v>
      </c>
      <c r="B29" t="s">
        <v>67</v>
      </c>
      <c r="C29">
        <v>257</v>
      </c>
      <c r="D29">
        <v>257</v>
      </c>
      <c r="E29" t="s">
        <v>83</v>
      </c>
    </row>
    <row r="30" spans="1:5" x14ac:dyDescent="0.25">
      <c r="A30" t="s">
        <v>72</v>
      </c>
      <c r="B30" t="s">
        <v>67</v>
      </c>
      <c r="C30">
        <v>474</v>
      </c>
      <c r="D30">
        <v>48</v>
      </c>
      <c r="E30" t="s">
        <v>84</v>
      </c>
    </row>
    <row r="31" spans="1:5" x14ac:dyDescent="0.25">
      <c r="A31" t="s">
        <v>16</v>
      </c>
      <c r="B31" t="s">
        <v>67</v>
      </c>
      <c r="C31">
        <v>535</v>
      </c>
      <c r="D31">
        <v>460</v>
      </c>
      <c r="E31" t="s">
        <v>81</v>
      </c>
    </row>
    <row r="32" spans="1:5" x14ac:dyDescent="0.25">
      <c r="A32" t="s">
        <v>73</v>
      </c>
      <c r="B32" t="s">
        <v>67</v>
      </c>
      <c r="C32">
        <v>3538</v>
      </c>
      <c r="D32" t="s">
        <v>268</v>
      </c>
      <c r="E32" t="s">
        <v>81</v>
      </c>
    </row>
    <row r="33" spans="1:5" x14ac:dyDescent="0.25">
      <c r="A33" t="s">
        <v>18</v>
      </c>
      <c r="B33" t="s">
        <v>67</v>
      </c>
      <c r="C33">
        <v>42</v>
      </c>
      <c r="D33">
        <v>42</v>
      </c>
      <c r="E33" t="s">
        <v>81</v>
      </c>
    </row>
    <row r="34" spans="1:5" x14ac:dyDescent="0.25">
      <c r="A34" t="s">
        <v>74</v>
      </c>
      <c r="B34" t="s">
        <v>67</v>
      </c>
      <c r="C34">
        <v>403</v>
      </c>
      <c r="D34">
        <v>403</v>
      </c>
      <c r="E34" t="s">
        <v>84</v>
      </c>
    </row>
    <row r="35" spans="1:5" x14ac:dyDescent="0.25">
      <c r="A35" t="s">
        <v>75</v>
      </c>
      <c r="B35" t="s">
        <v>67</v>
      </c>
      <c r="C35">
        <v>2026</v>
      </c>
      <c r="D35">
        <v>403</v>
      </c>
      <c r="E35" t="s">
        <v>84</v>
      </c>
    </row>
    <row r="36" spans="1:5" x14ac:dyDescent="0.25">
      <c r="A36" t="s">
        <v>19</v>
      </c>
      <c r="B36" t="s">
        <v>67</v>
      </c>
      <c r="C36">
        <v>3610</v>
      </c>
      <c r="D36">
        <v>21</v>
      </c>
      <c r="E36" t="s">
        <v>84</v>
      </c>
    </row>
    <row r="37" spans="1:5" x14ac:dyDescent="0.25">
      <c r="A37" t="s">
        <v>20</v>
      </c>
      <c r="B37" t="s">
        <v>67</v>
      </c>
      <c r="C37">
        <v>520</v>
      </c>
      <c r="D37">
        <v>21</v>
      </c>
      <c r="E37" t="s">
        <v>81</v>
      </c>
    </row>
    <row r="38" spans="1:5" x14ac:dyDescent="0.25">
      <c r="A38" t="s">
        <v>76</v>
      </c>
      <c r="B38" t="s">
        <v>67</v>
      </c>
      <c r="C38">
        <v>190</v>
      </c>
      <c r="D38">
        <v>21</v>
      </c>
      <c r="E38" t="s">
        <v>83</v>
      </c>
    </row>
    <row r="39" spans="1:5" x14ac:dyDescent="0.25">
      <c r="A39" t="s">
        <v>23</v>
      </c>
      <c r="B39" t="s">
        <v>67</v>
      </c>
      <c r="C39">
        <v>22</v>
      </c>
      <c r="D39">
        <v>22</v>
      </c>
      <c r="E39" t="s">
        <v>81</v>
      </c>
    </row>
    <row r="40" spans="1:5" x14ac:dyDescent="0.25">
      <c r="A40" t="s">
        <v>26</v>
      </c>
      <c r="B40" t="s">
        <v>67</v>
      </c>
      <c r="C40">
        <v>48</v>
      </c>
      <c r="D40">
        <v>48</v>
      </c>
      <c r="E40" t="s">
        <v>81</v>
      </c>
    </row>
    <row r="41" spans="1:5" x14ac:dyDescent="0.25">
      <c r="A41" t="s">
        <v>27</v>
      </c>
      <c r="B41" t="s">
        <v>67</v>
      </c>
      <c r="C41">
        <v>42</v>
      </c>
      <c r="D41">
        <v>42</v>
      </c>
      <c r="E41" t="s">
        <v>84</v>
      </c>
    </row>
    <row r="42" spans="1:5" x14ac:dyDescent="0.25">
      <c r="A42" t="s">
        <v>28</v>
      </c>
      <c r="B42" t="s">
        <v>67</v>
      </c>
      <c r="C42">
        <v>48</v>
      </c>
      <c r="D42">
        <v>48</v>
      </c>
      <c r="E42" t="s">
        <v>81</v>
      </c>
    </row>
    <row r="43" spans="1:5" x14ac:dyDescent="0.25">
      <c r="A43" t="s">
        <v>29</v>
      </c>
      <c r="B43" t="s">
        <v>67</v>
      </c>
      <c r="C43">
        <v>61</v>
      </c>
      <c r="D43">
        <v>61</v>
      </c>
      <c r="E43" t="s">
        <v>82</v>
      </c>
    </row>
    <row r="44" spans="1:5" x14ac:dyDescent="0.25">
      <c r="A44" t="s">
        <v>30</v>
      </c>
      <c r="B44" t="s">
        <v>67</v>
      </c>
      <c r="C44">
        <v>422</v>
      </c>
      <c r="D44">
        <v>21</v>
      </c>
      <c r="E44" t="s">
        <v>82</v>
      </c>
    </row>
    <row r="45" spans="1:5" x14ac:dyDescent="0.25">
      <c r="A45" t="s">
        <v>31</v>
      </c>
      <c r="B45" t="s">
        <v>67</v>
      </c>
      <c r="C45">
        <v>12762</v>
      </c>
      <c r="D45">
        <v>61</v>
      </c>
      <c r="E45" t="s">
        <v>81</v>
      </c>
    </row>
    <row r="46" spans="1:5" x14ac:dyDescent="0.25">
      <c r="A46" t="s">
        <v>32</v>
      </c>
      <c r="B46" t="s">
        <v>67</v>
      </c>
      <c r="C46">
        <v>422</v>
      </c>
      <c r="D46">
        <v>21</v>
      </c>
      <c r="E46" t="s">
        <v>81</v>
      </c>
    </row>
    <row r="47" spans="1:5" x14ac:dyDescent="0.25">
      <c r="A47" t="s">
        <v>33</v>
      </c>
      <c r="B47" t="s">
        <v>67</v>
      </c>
      <c r="C47">
        <v>6964</v>
      </c>
      <c r="D47">
        <v>354</v>
      </c>
      <c r="E47" t="s">
        <v>81</v>
      </c>
    </row>
    <row r="48" spans="1:5" x14ac:dyDescent="0.25">
      <c r="A48" t="s">
        <v>35</v>
      </c>
      <c r="B48" t="s">
        <v>67</v>
      </c>
      <c r="C48">
        <v>42</v>
      </c>
      <c r="D48">
        <v>42</v>
      </c>
      <c r="E48" t="s">
        <v>81</v>
      </c>
    </row>
    <row r="49" spans="1:5" x14ac:dyDescent="0.25">
      <c r="A49" t="s">
        <v>36</v>
      </c>
      <c r="B49" t="s">
        <v>67</v>
      </c>
      <c r="C49">
        <v>42</v>
      </c>
      <c r="D49">
        <v>42</v>
      </c>
      <c r="E49" t="s">
        <v>81</v>
      </c>
    </row>
    <row r="50" spans="1:5" x14ac:dyDescent="0.25">
      <c r="A50" t="s">
        <v>43</v>
      </c>
      <c r="B50" t="s">
        <v>67</v>
      </c>
      <c r="C50">
        <v>14186</v>
      </c>
      <c r="D50">
        <v>52</v>
      </c>
      <c r="E50" t="s">
        <v>84</v>
      </c>
    </row>
    <row r="51" spans="1:5" x14ac:dyDescent="0.25">
      <c r="A51" t="s">
        <v>46</v>
      </c>
      <c r="B51" t="s">
        <v>67</v>
      </c>
      <c r="C51">
        <v>53</v>
      </c>
      <c r="D51">
        <v>21</v>
      </c>
      <c r="E51" t="s">
        <v>82</v>
      </c>
    </row>
    <row r="52" spans="1:5" x14ac:dyDescent="0.25">
      <c r="A52" t="s">
        <v>77</v>
      </c>
      <c r="B52" t="s">
        <v>67</v>
      </c>
      <c r="C52">
        <v>45</v>
      </c>
      <c r="D52">
        <v>45</v>
      </c>
      <c r="E52" t="s">
        <v>81</v>
      </c>
    </row>
    <row r="53" spans="1:5" x14ac:dyDescent="0.25">
      <c r="A53" t="s">
        <v>78</v>
      </c>
      <c r="B53" t="s">
        <v>67</v>
      </c>
      <c r="C53">
        <v>677</v>
      </c>
      <c r="D53">
        <v>677</v>
      </c>
      <c r="E53" t="s">
        <v>81</v>
      </c>
    </row>
    <row r="54" spans="1:5" x14ac:dyDescent="0.25">
      <c r="A54" t="s">
        <v>47</v>
      </c>
      <c r="B54" t="s">
        <v>67</v>
      </c>
      <c r="C54">
        <v>5647</v>
      </c>
      <c r="D54">
        <v>692</v>
      </c>
      <c r="E54" t="s">
        <v>81</v>
      </c>
    </row>
    <row r="55" spans="1:5" x14ac:dyDescent="0.25">
      <c r="A55" t="s">
        <v>49</v>
      </c>
      <c r="B55" t="s">
        <v>67</v>
      </c>
      <c r="C55">
        <v>48</v>
      </c>
      <c r="D55">
        <v>48</v>
      </c>
      <c r="E55" t="s">
        <v>83</v>
      </c>
    </row>
    <row r="56" spans="1:5" x14ac:dyDescent="0.25">
      <c r="A56" t="s">
        <v>79</v>
      </c>
      <c r="B56" t="s">
        <v>67</v>
      </c>
      <c r="C56">
        <v>583</v>
      </c>
      <c r="D56">
        <v>45</v>
      </c>
      <c r="E56" t="s">
        <v>81</v>
      </c>
    </row>
    <row r="57" spans="1:5" x14ac:dyDescent="0.25">
      <c r="A57" t="s">
        <v>51</v>
      </c>
      <c r="B57" t="s">
        <v>67</v>
      </c>
      <c r="C57">
        <v>2392</v>
      </c>
      <c r="D57">
        <v>52</v>
      </c>
      <c r="E57" t="s">
        <v>82</v>
      </c>
    </row>
    <row r="58" spans="1:5" x14ac:dyDescent="0.25">
      <c r="A58" t="s">
        <v>80</v>
      </c>
      <c r="B58" t="s">
        <v>67</v>
      </c>
      <c r="C58">
        <v>61</v>
      </c>
      <c r="D58">
        <v>61</v>
      </c>
      <c r="E58" t="s">
        <v>82</v>
      </c>
    </row>
    <row r="59" spans="1:5" x14ac:dyDescent="0.25">
      <c r="A59" t="s">
        <v>52</v>
      </c>
      <c r="B59" t="s">
        <v>67</v>
      </c>
      <c r="C59">
        <v>51</v>
      </c>
      <c r="D59">
        <v>443</v>
      </c>
      <c r="E59" t="s">
        <v>81</v>
      </c>
    </row>
    <row r="60" spans="1:5" x14ac:dyDescent="0.25">
      <c r="A60" t="s">
        <v>53</v>
      </c>
      <c r="B60" t="s">
        <v>67</v>
      </c>
      <c r="C60">
        <v>42</v>
      </c>
      <c r="D60">
        <v>42</v>
      </c>
      <c r="E60" t="s">
        <v>82</v>
      </c>
    </row>
    <row r="61" spans="1:5" x14ac:dyDescent="0.25">
      <c r="A61" t="s">
        <v>54</v>
      </c>
      <c r="B61" t="s">
        <v>67</v>
      </c>
      <c r="C61">
        <v>61</v>
      </c>
      <c r="D61">
        <v>61</v>
      </c>
      <c r="E61" t="s">
        <v>84</v>
      </c>
    </row>
    <row r="62" spans="1:5" x14ac:dyDescent="0.25">
      <c r="A62" t="s">
        <v>55</v>
      </c>
      <c r="B62" t="s">
        <v>67</v>
      </c>
      <c r="C62">
        <v>61</v>
      </c>
      <c r="D62">
        <v>61</v>
      </c>
      <c r="E62" t="s">
        <v>82</v>
      </c>
    </row>
    <row r="63" spans="1:5" x14ac:dyDescent="0.25">
      <c r="A63" t="s">
        <v>56</v>
      </c>
      <c r="B63" t="s">
        <v>67</v>
      </c>
      <c r="C63">
        <v>50</v>
      </c>
      <c r="D63">
        <v>21</v>
      </c>
      <c r="E63" t="s">
        <v>82</v>
      </c>
    </row>
    <row r="64" spans="1:5" x14ac:dyDescent="0.25">
      <c r="A64" t="s">
        <v>57</v>
      </c>
      <c r="B64" t="s">
        <v>67</v>
      </c>
      <c r="C64">
        <v>2357</v>
      </c>
      <c r="D64">
        <v>61</v>
      </c>
      <c r="E64" t="s">
        <v>84</v>
      </c>
    </row>
    <row r="65" spans="1:5" x14ac:dyDescent="0.25">
      <c r="A65" t="s">
        <v>59</v>
      </c>
      <c r="B65" t="s">
        <v>67</v>
      </c>
      <c r="C65">
        <v>45</v>
      </c>
      <c r="D65">
        <v>45</v>
      </c>
      <c r="E65" t="s">
        <v>83</v>
      </c>
    </row>
  </sheetData>
  <sortState xmlns:xlrd2="http://schemas.microsoft.com/office/spreadsheetml/2017/richdata2" ref="A2:E65">
    <sortCondition ref="B1:B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C3192-5BBF-40E3-B3F1-BAC18B55C3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A4DFB8-8BD4-41E9-AB77-DEE4F2E1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F5BDDE-4B0A-4CC4-A176-AF2A81E3A25E}">
  <ds:schemaRefs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a1e774b-1312-493c-b167-5aa786dea5b7"/>
    <ds:schemaRef ds:uri="http://purl.org/dc/dcmitype/"/>
    <ds:schemaRef ds:uri="c478fcf1-df2b-4b17-ac0d-5fb1dd3b8dd4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Illumina_contigs_selected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Parolin Calarga</dc:creator>
  <cp:keywords/>
  <dc:description/>
  <cp:lastModifiedBy>Aline Parolin Calarga</cp:lastModifiedBy>
  <cp:revision/>
  <dcterms:created xsi:type="dcterms:W3CDTF">2025-02-04T02:14:24Z</dcterms:created>
  <dcterms:modified xsi:type="dcterms:W3CDTF">2026-01-27T02:13:49Z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