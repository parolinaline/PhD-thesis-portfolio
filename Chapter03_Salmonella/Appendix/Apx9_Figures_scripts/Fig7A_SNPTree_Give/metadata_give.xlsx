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3 Salmonella/WRITING_CHAPTER03/Figures_scripts/6A_SNPTree_Give/"/>
    </mc:Choice>
  </mc:AlternateContent>
  <xr:revisionPtr revIDLastSave="304" documentId="8_{F51A4CB6-6D40-438A-9254-4860122DCBA5}" xr6:coauthVersionLast="47" xr6:coauthVersionMax="47" xr10:uidLastSave="{8E9AB78C-F3B7-4430-8108-60CE42D1CE24}"/>
  <bookViews>
    <workbookView xWindow="-120" yWindow="-120" windowWidth="38640" windowHeight="21120" activeTab="1" xr2:uid="{34D17289-E6E0-4FC2-A742-6B26A0246D61}"/>
  </bookViews>
  <sheets>
    <sheet name="metadata" sheetId="1" r:id="rId1"/>
    <sheet name="labels" sheetId="28" r:id="rId2"/>
    <sheet name="AMR" sheetId="27" r:id="rId3"/>
    <sheet name="plasmids_pivot_table" sheetId="24" r:id="rId4"/>
    <sheet name="plasmids_binary_table" sheetId="25" r:id="rId5"/>
    <sheet name="colours" sheetId="18" r:id="rId6"/>
  </sheets>
  <definedNames>
    <definedName name="_xlnm._FilterDatabase" localSheetId="0" hidden="1">metadata!$J$1:$J$79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2" i="1"/>
</calcChain>
</file>

<file path=xl/sharedStrings.xml><?xml version="1.0" encoding="utf-8"?>
<sst xmlns="http://schemas.openxmlformats.org/spreadsheetml/2006/main" count="914" uniqueCount="239">
  <si>
    <t>ID</t>
  </si>
  <si>
    <t>Source</t>
  </si>
  <si>
    <t>Year</t>
  </si>
  <si>
    <t>Genotype</t>
  </si>
  <si>
    <t>Bovine</t>
  </si>
  <si>
    <t>Equine</t>
  </si>
  <si>
    <t>Canine</t>
  </si>
  <si>
    <t>Feline</t>
  </si>
  <si>
    <t>Ovine</t>
  </si>
  <si>
    <t>tet(A)</t>
  </si>
  <si>
    <t>IncX1</t>
  </si>
  <si>
    <t>IncI-gamma/K1</t>
  </si>
  <si>
    <t>Col156</t>
  </si>
  <si>
    <t>rep_1778</t>
  </si>
  <si>
    <t>rep_2370</t>
  </si>
  <si>
    <t>Human</t>
  </si>
  <si>
    <t>#54478c</t>
  </si>
  <si>
    <t>#2c699a</t>
  </si>
  <si>
    <t>#0db39e</t>
  </si>
  <si>
    <t>#83e377</t>
  </si>
  <si>
    <t>#efea5a</t>
  </si>
  <si>
    <t>#f29e4c</t>
  </si>
  <si>
    <t>#1a4301</t>
  </si>
  <si>
    <t>LEGEND_TITLE</t>
  </si>
  <si>
    <t>LEGEND_SHAPES</t>
  </si>
  <si>
    <t>LEGEND_COLORS</t>
  </si>
  <si>
    <t>LEGEND_LABELS</t>
  </si>
  <si>
    <t>Row Labels</t>
  </si>
  <si>
    <t>(blank)</t>
  </si>
  <si>
    <t>Grand Total</t>
  </si>
  <si>
    <t>Count of Plasmid</t>
  </si>
  <si>
    <t>Column Labels</t>
  </si>
  <si>
    <t>FIELD_SHAPES</t>
  </si>
  <si>
    <t>FIELD_LABELS</t>
  </si>
  <si>
    <t>FIELD_COLORS</t>
  </si>
  <si>
    <t>#1f77b4</t>
  </si>
  <si>
    <t>#ff7f0e</t>
  </si>
  <si>
    <t>#2ca02c</t>
  </si>
  <si>
    <t>#d62728</t>
  </si>
  <si>
    <t>#9467bd</t>
  </si>
  <si>
    <t>#8c564b</t>
  </si>
  <si>
    <t>#e377c2</t>
  </si>
  <si>
    <t>#7f7f7f</t>
  </si>
  <si>
    <t>#17becf</t>
  </si>
  <si>
    <t>aph(3'')-Ib</t>
  </si>
  <si>
    <t>aph(6)-Id</t>
  </si>
  <si>
    <t>ND</t>
  </si>
  <si>
    <t>blaTEM-1B</t>
  </si>
  <si>
    <t>qnrS1</t>
  </si>
  <si>
    <t>sul2</t>
  </si>
  <si>
    <t>#bcbd22</t>
  </si>
  <si>
    <t>ID_ST</t>
  </si>
  <si>
    <t>SGV002</t>
  </si>
  <si>
    <t>SGV002_ST516</t>
  </si>
  <si>
    <t>SGV003</t>
  </si>
  <si>
    <t>SGV003_ST516</t>
  </si>
  <si>
    <t>SGV004</t>
  </si>
  <si>
    <t>SGV004_ST654</t>
  </si>
  <si>
    <t>SGV005</t>
  </si>
  <si>
    <t>SGV005_ST516</t>
  </si>
  <si>
    <t>SGV006</t>
  </si>
  <si>
    <t>SGV006_ST516</t>
  </si>
  <si>
    <t>blaTEM-1B;mph(A);</t>
  </si>
  <si>
    <t>SGV007</t>
  </si>
  <si>
    <t>SGV007_ST516</t>
  </si>
  <si>
    <t>SGV008</t>
  </si>
  <si>
    <t>SGV008_ST516</t>
  </si>
  <si>
    <t>aph(3'')-Ib;aph(6)-Id;sul2;tet(A);</t>
  </si>
  <si>
    <t>SGV009</t>
  </si>
  <si>
    <t>SGV009_ST516</t>
  </si>
  <si>
    <t>SGV010</t>
  </si>
  <si>
    <t>SGV010_ST516</t>
  </si>
  <si>
    <t>SGV011</t>
  </si>
  <si>
    <t>SGV011_ST516</t>
  </si>
  <si>
    <t>SGV012</t>
  </si>
  <si>
    <t>SGV012_ST516</t>
  </si>
  <si>
    <t>SGV013</t>
  </si>
  <si>
    <t>SGV013_ST516</t>
  </si>
  <si>
    <t>SGV014</t>
  </si>
  <si>
    <t>SGV014_ST516</t>
  </si>
  <si>
    <t>SGV016</t>
  </si>
  <si>
    <t>SGV016_ST516</t>
  </si>
  <si>
    <t>SGV017</t>
  </si>
  <si>
    <t>SGV017_ST516</t>
  </si>
  <si>
    <t>SGV018</t>
  </si>
  <si>
    <t>SGV018_ST2227</t>
  </si>
  <si>
    <t>SGV019</t>
  </si>
  <si>
    <t>SGV019_ST516</t>
  </si>
  <si>
    <t>Poultry</t>
  </si>
  <si>
    <t>SGV020</t>
  </si>
  <si>
    <t>SGV020_ST516</t>
  </si>
  <si>
    <t>aadA17;blaTEM-1B;lnu(F);qnrS1;tet(A);</t>
  </si>
  <si>
    <t>SGV021</t>
  </si>
  <si>
    <t>SGV021_ST654</t>
  </si>
  <si>
    <t>SGV022</t>
  </si>
  <si>
    <t>SGV022_ST654</t>
  </si>
  <si>
    <t>SGV023</t>
  </si>
  <si>
    <t>SGV023_ST654</t>
  </si>
  <si>
    <t>SGV025</t>
  </si>
  <si>
    <t>SGV025_ST654</t>
  </si>
  <si>
    <t>SGV026</t>
  </si>
  <si>
    <t>SGV026_ST654</t>
  </si>
  <si>
    <t>SGV027</t>
  </si>
  <si>
    <t>SGV027_STunknown</t>
  </si>
  <si>
    <t>SGV028</t>
  </si>
  <si>
    <t>SGV028_ST654</t>
  </si>
  <si>
    <t>SGV029</t>
  </si>
  <si>
    <t>SGV029_ST654</t>
  </si>
  <si>
    <t>SGV030</t>
  </si>
  <si>
    <t>SGV030_ST654</t>
  </si>
  <si>
    <t>SGV031</t>
  </si>
  <si>
    <t>SGV031_ST654</t>
  </si>
  <si>
    <t>SGV032</t>
  </si>
  <si>
    <t>SGV032_ST654</t>
  </si>
  <si>
    <t>SGV033</t>
  </si>
  <si>
    <t>SGV033_ST654</t>
  </si>
  <si>
    <t>SGV034</t>
  </si>
  <si>
    <t>SGV034_ST654</t>
  </si>
  <si>
    <t>SGV035</t>
  </si>
  <si>
    <t>SGV035_ST654</t>
  </si>
  <si>
    <t>SGV036</t>
  </si>
  <si>
    <t>SGV036_ST654</t>
  </si>
  <si>
    <t>SGV037</t>
  </si>
  <si>
    <t>SGV037_ST654</t>
  </si>
  <si>
    <t>SGV038</t>
  </si>
  <si>
    <t>SGV038_ST654</t>
  </si>
  <si>
    <t>SGV039</t>
  </si>
  <si>
    <t>SGV039_ST654</t>
  </si>
  <si>
    <t>SGV040</t>
  </si>
  <si>
    <t>SGV040_ST654</t>
  </si>
  <si>
    <t>SGV041</t>
  </si>
  <si>
    <t>SGV041_ST654</t>
  </si>
  <si>
    <t>SGV042</t>
  </si>
  <si>
    <t>SGV042_ST654</t>
  </si>
  <si>
    <t>SGV043</t>
  </si>
  <si>
    <t>SGV043_ST654</t>
  </si>
  <si>
    <t>SGV044</t>
  </si>
  <si>
    <t>SGV044_ST654</t>
  </si>
  <si>
    <t>SGV045</t>
  </si>
  <si>
    <t>SGV045_ST654</t>
  </si>
  <si>
    <t>SGV046</t>
  </si>
  <si>
    <t>SGV046_ST654</t>
  </si>
  <si>
    <t>SGV047</t>
  </si>
  <si>
    <t>SGV047_ST654</t>
  </si>
  <si>
    <t>SGV048</t>
  </si>
  <si>
    <t>SGV048_ST654</t>
  </si>
  <si>
    <t>SGV049</t>
  </si>
  <si>
    <t>SGV049_ST654</t>
  </si>
  <si>
    <t>SGV050</t>
  </si>
  <si>
    <t>SGV050_ST654</t>
  </si>
  <si>
    <t>SGV051</t>
  </si>
  <si>
    <t>SGV051_ST654</t>
  </si>
  <si>
    <t>SGV052</t>
  </si>
  <si>
    <t>SGV052_ST654</t>
  </si>
  <si>
    <t>SGV053</t>
  </si>
  <si>
    <t>SGV053_ST654</t>
  </si>
  <si>
    <t>SGV054</t>
  </si>
  <si>
    <t>SGV054_ST654</t>
  </si>
  <si>
    <t>SGV055</t>
  </si>
  <si>
    <t>SGV055_ST654</t>
  </si>
  <si>
    <t>SGV056</t>
  </si>
  <si>
    <t>SGV056_ST654</t>
  </si>
  <si>
    <t>SGV057</t>
  </si>
  <si>
    <t>SGV057_ST654</t>
  </si>
  <si>
    <t>SGV058</t>
  </si>
  <si>
    <t>SGV058_ST654</t>
  </si>
  <si>
    <t>SGV059</t>
  </si>
  <si>
    <t>SGV059_ST654</t>
  </si>
  <si>
    <t>SGV060</t>
  </si>
  <si>
    <t>SGV060_ST654</t>
  </si>
  <si>
    <t>SGV061</t>
  </si>
  <si>
    <t>SGV061_ST654</t>
  </si>
  <si>
    <t>SGV062</t>
  </si>
  <si>
    <t>SGV062_ST654</t>
  </si>
  <si>
    <t>SGV063</t>
  </si>
  <si>
    <t>SGV063_ST654</t>
  </si>
  <si>
    <t>SGV064</t>
  </si>
  <si>
    <t>SGV064_ST654</t>
  </si>
  <si>
    <t>SGV065</t>
  </si>
  <si>
    <t>SGV065_ST654</t>
  </si>
  <si>
    <t>SGV066</t>
  </si>
  <si>
    <t>SGV066_ST654</t>
  </si>
  <si>
    <t>SGV067</t>
  </si>
  <si>
    <t>SGV067_ST654</t>
  </si>
  <si>
    <t>SGV068</t>
  </si>
  <si>
    <t>SGV068_ST654</t>
  </si>
  <si>
    <t>SGV069</t>
  </si>
  <si>
    <t>SGV069_ST654</t>
  </si>
  <si>
    <t>SGV070</t>
  </si>
  <si>
    <t>SGV070_ST654</t>
  </si>
  <si>
    <t>SGV071</t>
  </si>
  <si>
    <t>SGV071_ST654</t>
  </si>
  <si>
    <t>SGV072</t>
  </si>
  <si>
    <t>SGV072_ST654</t>
  </si>
  <si>
    <t>SGV073</t>
  </si>
  <si>
    <t>SGV073_ST654</t>
  </si>
  <si>
    <t>SGV074</t>
  </si>
  <si>
    <t>SGV074_ST684</t>
  </si>
  <si>
    <t>SGV075</t>
  </si>
  <si>
    <t>SGV075_ST654</t>
  </si>
  <si>
    <t>SGV077</t>
  </si>
  <si>
    <t>SGV077_ST654</t>
  </si>
  <si>
    <t>SGV078</t>
  </si>
  <si>
    <t>SGV078_ST654</t>
  </si>
  <si>
    <t>SGV079</t>
  </si>
  <si>
    <t>SGV079_ST654</t>
  </si>
  <si>
    <t>SGV080</t>
  </si>
  <si>
    <t>SGV080_ST654</t>
  </si>
  <si>
    <t>SGV081</t>
  </si>
  <si>
    <t>SGV081_STunknown</t>
  </si>
  <si>
    <t>SGV082</t>
  </si>
  <si>
    <t>SGV082_STunknown</t>
  </si>
  <si>
    <t>SOURCE</t>
  </si>
  <si>
    <t>mph(A)</t>
  </si>
  <si>
    <t>aadA17</t>
  </si>
  <si>
    <t>lnu(F)</t>
  </si>
  <si>
    <t>#MY INFORMATION</t>
  </si>
  <si>
    <t>IncI2</t>
  </si>
  <si>
    <t>IncQ1</t>
  </si>
  <si>
    <t>IncFII</t>
  </si>
  <si>
    <t>rep_435</t>
  </si>
  <si>
    <t>rep_2335</t>
  </si>
  <si>
    <t>IncFIC/IncFII</t>
  </si>
  <si>
    <t>#27B0F5</t>
  </si>
  <si>
    <t>#9127F5</t>
  </si>
  <si>
    <t>aph(3'')-Ib + aph(6)-Id + sul2 + tet(A)</t>
  </si>
  <si>
    <t>blaTEM-1B + mph(A)</t>
  </si>
  <si>
    <t>aadA17 + blaTEM-1B + lnu(F) + qnrS1 + tet(A)</t>
  </si>
  <si>
    <t>Count of ID</t>
  </si>
  <si>
    <t>#cc79a7</t>
  </si>
  <si>
    <t>#0072b2</t>
  </si>
  <si>
    <t>#009e73</t>
  </si>
  <si>
    <t>#000000</t>
  </si>
  <si>
    <t>ST</t>
  </si>
  <si>
    <t>ST516</t>
  </si>
  <si>
    <t>ST654</t>
  </si>
  <si>
    <t>ST2227</t>
  </si>
  <si>
    <t>STunknown</t>
  </si>
  <si>
    <t>ST684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</si>
</sst>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1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ne Parolin Calarga" refreshedDate="45888.519236921296" createdVersion="8" refreshedVersion="8" minRefreshableVersion="3" recordCount="29" xr:uid="{A1448CD9-5F61-4DE8-9529-F1762610227A}">
  <cacheSource type="worksheet">
    <worksheetSource ref="A1:B30" sheet="plasmids_long_format"/>
  </cacheSource>
  <cacheFields count="2">
    <cacheField name="ID" numFmtId="0">
      <sharedItems count="21">
        <s v="SGV004"/>
        <s v="SGV006"/>
        <s v="SGV008"/>
        <s v="SGV011"/>
        <s v="SGV012"/>
        <s v="SGV016"/>
        <s v="SGV018"/>
        <s v="SGV019"/>
        <s v="SGV020"/>
        <s v="SGV022"/>
        <s v="SGV025"/>
        <s v="SGV029"/>
        <s v="SGV032"/>
        <s v="SGV033"/>
        <s v="SGV046"/>
        <s v="SGV048"/>
        <s v="SGV064"/>
        <s v="SGV068"/>
        <s v="SGV080"/>
        <s v="SGV081"/>
        <s v="SGV082"/>
      </sharedItems>
    </cacheField>
    <cacheField name="Plasmid" numFmtId="0">
      <sharedItems count="11">
        <s v="IncI2"/>
        <s v="IncI-gamma/K1"/>
        <s v="rep_2335"/>
        <s v="IncFIC/IncFII"/>
        <s v="rep_1778"/>
        <s v="IncQ1"/>
        <s v="Col156"/>
        <s v="IncFII"/>
        <s v="IncX1"/>
        <s v="rep_2370"/>
        <s v="rep_43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ne Parolin Calarga" refreshedDate="45903.772715162035" createdVersion="8" refreshedVersion="8" minRefreshableVersion="3" recordCount="79" xr:uid="{03C4982F-67D0-4DCD-892F-685B485CEF12}">
  <cacheSource type="worksheet">
    <worksheetSource ref="I1:J1048576" sheet="metadata"/>
  </cacheSource>
  <cacheFields count="2">
    <cacheField name="ID" numFmtId="0">
      <sharedItems containsBlank="1" count="79">
        <s v="SGV002"/>
        <s v="SGV003"/>
        <s v="SGV004"/>
        <s v="SGV005"/>
        <s v="SGV006"/>
        <s v="SGV007"/>
        <s v="SGV008"/>
        <s v="SGV009"/>
        <s v="SGV010"/>
        <s v="SGV011"/>
        <s v="SGV012"/>
        <s v="SGV013"/>
        <s v="SGV014"/>
        <s v="SGV016"/>
        <s v="SGV017"/>
        <s v="SGV018"/>
        <s v="SGV019"/>
        <s v="SGV020"/>
        <s v="SGV021"/>
        <s v="SGV022"/>
        <s v="SGV023"/>
        <s v="SGV025"/>
        <s v="SGV026"/>
        <s v="SGV027"/>
        <s v="SGV028"/>
        <s v="SGV029"/>
        <s v="SGV030"/>
        <s v="SGV031"/>
        <s v="SGV032"/>
        <s v="SGV033"/>
        <s v="SGV034"/>
        <s v="SGV035"/>
        <s v="SGV036"/>
        <s v="SGV037"/>
        <s v="SGV038"/>
        <s v="SGV039"/>
        <s v="SGV040"/>
        <s v="SGV041"/>
        <s v="SGV042"/>
        <s v="SGV043"/>
        <s v="SGV044"/>
        <s v="SGV045"/>
        <s v="SGV046"/>
        <s v="SGV047"/>
        <s v="SGV048"/>
        <s v="SGV049"/>
        <s v="SGV050"/>
        <s v="SGV051"/>
        <s v="SGV052"/>
        <s v="SGV053"/>
        <s v="SGV054"/>
        <s v="SGV055"/>
        <s v="SGV056"/>
        <s v="SGV057"/>
        <s v="SGV058"/>
        <s v="SGV059"/>
        <s v="SGV060"/>
        <s v="SGV061"/>
        <s v="SGV062"/>
        <s v="SGV063"/>
        <s v="SGV064"/>
        <s v="SGV065"/>
        <s v="SGV066"/>
        <s v="SGV067"/>
        <s v="SGV068"/>
        <s v="SGV069"/>
        <s v="SGV070"/>
        <s v="SGV071"/>
        <s v="SGV072"/>
        <s v="SGV073"/>
        <s v="SGV074"/>
        <s v="SGV075"/>
        <s v="SGV077"/>
        <s v="SGV078"/>
        <s v="SGV079"/>
        <s v="SGV080"/>
        <s v="SGV081"/>
        <s v="SGV082"/>
        <m/>
      </sharedItems>
    </cacheField>
    <cacheField name="Genotype" numFmtId="0">
      <sharedItems containsBlank="1" count="5">
        <s v="ND"/>
        <s v="blaTEM-1B + mph(A)"/>
        <s v="aph(3'')-Ib + aph(6)-Id + sul2 + tet(A)"/>
        <s v="aadA17 + blaTEM-1B + lnu(F) + qnrS1 + tet(A)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</r>
  <r>
    <x v="0"/>
    <x v="1"/>
  </r>
  <r>
    <x v="0"/>
    <x v="2"/>
  </r>
  <r>
    <x v="1"/>
    <x v="3"/>
  </r>
  <r>
    <x v="1"/>
    <x v="4"/>
  </r>
  <r>
    <x v="1"/>
    <x v="2"/>
  </r>
  <r>
    <x v="2"/>
    <x v="5"/>
  </r>
  <r>
    <x v="3"/>
    <x v="6"/>
  </r>
  <r>
    <x v="4"/>
    <x v="3"/>
  </r>
  <r>
    <x v="5"/>
    <x v="6"/>
  </r>
  <r>
    <x v="6"/>
    <x v="6"/>
  </r>
  <r>
    <x v="6"/>
    <x v="2"/>
  </r>
  <r>
    <x v="7"/>
    <x v="7"/>
  </r>
  <r>
    <x v="8"/>
    <x v="8"/>
  </r>
  <r>
    <x v="9"/>
    <x v="2"/>
  </r>
  <r>
    <x v="9"/>
    <x v="9"/>
  </r>
  <r>
    <x v="10"/>
    <x v="1"/>
  </r>
  <r>
    <x v="11"/>
    <x v="1"/>
  </r>
  <r>
    <x v="12"/>
    <x v="1"/>
  </r>
  <r>
    <x v="13"/>
    <x v="1"/>
  </r>
  <r>
    <x v="14"/>
    <x v="0"/>
  </r>
  <r>
    <x v="15"/>
    <x v="0"/>
  </r>
  <r>
    <x v="16"/>
    <x v="1"/>
  </r>
  <r>
    <x v="17"/>
    <x v="10"/>
  </r>
  <r>
    <x v="18"/>
    <x v="0"/>
  </r>
  <r>
    <x v="19"/>
    <x v="3"/>
  </r>
  <r>
    <x v="19"/>
    <x v="1"/>
  </r>
  <r>
    <x v="20"/>
    <x v="7"/>
  </r>
  <r>
    <x v="2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x v="0"/>
    <x v="0"/>
  </r>
  <r>
    <x v="1"/>
    <x v="0"/>
  </r>
  <r>
    <x v="2"/>
    <x v="0"/>
  </r>
  <r>
    <x v="3"/>
    <x v="0"/>
  </r>
  <r>
    <x v="4"/>
    <x v="1"/>
  </r>
  <r>
    <x v="5"/>
    <x v="0"/>
  </r>
  <r>
    <x v="6"/>
    <x v="2"/>
  </r>
  <r>
    <x v="7"/>
    <x v="2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3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24"/>
    <x v="0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49"/>
    <x v="0"/>
  </r>
  <r>
    <x v="50"/>
    <x v="0"/>
  </r>
  <r>
    <x v="51"/>
    <x v="0"/>
  </r>
  <r>
    <x v="52"/>
    <x v="0"/>
  </r>
  <r>
    <x v="53"/>
    <x v="0"/>
  </r>
  <r>
    <x v="54"/>
    <x v="0"/>
  </r>
  <r>
    <x v="55"/>
    <x v="0"/>
  </r>
  <r>
    <x v="56"/>
    <x v="0"/>
  </r>
  <r>
    <x v="57"/>
    <x v="0"/>
  </r>
  <r>
    <x v="58"/>
    <x v="0"/>
  </r>
  <r>
    <x v="59"/>
    <x v="0"/>
  </r>
  <r>
    <x v="60"/>
    <x v="0"/>
  </r>
  <r>
    <x v="61"/>
    <x v="0"/>
  </r>
  <r>
    <x v="62"/>
    <x v="0"/>
  </r>
  <r>
    <x v="63"/>
    <x v="0"/>
  </r>
  <r>
    <x v="64"/>
    <x v="0"/>
  </r>
  <r>
    <x v="65"/>
    <x v="0"/>
  </r>
  <r>
    <x v="66"/>
    <x v="0"/>
  </r>
  <r>
    <x v="67"/>
    <x v="0"/>
  </r>
  <r>
    <x v="68"/>
    <x v="0"/>
  </r>
  <r>
    <x v="69"/>
    <x v="0"/>
  </r>
  <r>
    <x v="70"/>
    <x v="0"/>
  </r>
  <r>
    <x v="71"/>
    <x v="0"/>
  </r>
  <r>
    <x v="72"/>
    <x v="0"/>
  </r>
  <r>
    <x v="73"/>
    <x v="0"/>
  </r>
  <r>
    <x v="74"/>
    <x v="0"/>
  </r>
  <r>
    <x v="75"/>
    <x v="0"/>
  </r>
  <r>
    <x v="76"/>
    <x v="0"/>
  </r>
  <r>
    <x v="77"/>
    <x v="0"/>
  </r>
  <r>
    <x v="78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E3D33-D3CA-4291-AFD3-61955E1A9AD5}" name="PivotTable1" cacheId="1" applyNumberFormats="0" applyBorderFormats="0" applyFontFormats="0" applyPatternFormats="0" applyAlignmentFormats="0" applyWidthHeightFormats="1" dataCaption="Values" missingCaption="-1" updatedVersion="8" minRefreshableVersion="3" useAutoFormatting="1" itemPrintTitles="1" createdVersion="8" indent="0" outline="1" outlineData="1" multipleFieldFilters="0">
  <location ref="A3:G84" firstHeaderRow="1" firstDataRow="2" firstDataCol="1"/>
  <pivotFields count="2">
    <pivotField axis="axisRow" dataField="1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axis="axisCol" showAll="0">
      <items count="6">
        <item x="3"/>
        <item x="2"/>
        <item x="1"/>
        <item x="0"/>
        <item x="4"/>
        <item t="default"/>
      </items>
    </pivotField>
  </pivotFields>
  <rowFields count="1">
    <field x="0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55EE8-C55F-4797-9D09-24F179C12CAF}" name="PivotTable7" cacheId="0" applyNumberFormats="0" applyBorderFormats="0" applyFontFormats="0" applyPatternFormats="0" applyAlignmentFormats="0" applyWidthHeightFormats="1" dataCaption="Values" missingCaption="-1" updatedVersion="8" minRefreshableVersion="3" useAutoFormatting="1" itemPrintTitles="1" createdVersion="8" indent="0" outline="1" outlineData="1" multipleFieldFilters="0">
  <location ref="A1:M24" firstHeaderRow="1" firstDataRow="2" firstDataCol="1"/>
  <pivotFields count="2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Col" dataField="1" showAll="0">
      <items count="12">
        <item x="6"/>
        <item x="3"/>
        <item x="7"/>
        <item x="0"/>
        <item x="1"/>
        <item x="5"/>
        <item x="8"/>
        <item x="4"/>
        <item x="2"/>
        <item x="9"/>
        <item x="10"/>
        <item t="default"/>
      </items>
    </pivotField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Plasm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lor-hex.com/color/0072b2" TargetMode="External"/><Relationship Id="rId2" Type="http://schemas.openxmlformats.org/officeDocument/2006/relationships/hyperlink" Target="https://www.color-hex.com/color/cc79a7" TargetMode="External"/><Relationship Id="rId1" Type="http://schemas.openxmlformats.org/officeDocument/2006/relationships/pivotTable" Target="../pivotTables/pivotTable1.xml"/><Relationship Id="rId4" Type="http://schemas.openxmlformats.org/officeDocument/2006/relationships/hyperlink" Target="https://www.color-hex.com/color/009e7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3635-1E2E-43C2-80A9-C1BB19348609}">
  <dimension ref="A1:J79"/>
  <sheetViews>
    <sheetView workbookViewId="0">
      <selection sqref="A1:E1048576"/>
    </sheetView>
  </sheetViews>
  <sheetFormatPr defaultRowHeight="15" x14ac:dyDescent="0.25"/>
  <cols>
    <col min="1" max="1" width="7.7109375" bestFit="1" customWidth="1"/>
    <col min="2" max="2" width="7.85546875" bestFit="1" customWidth="1"/>
    <col min="3" max="3" width="7.42578125" bestFit="1" customWidth="1"/>
    <col min="4" max="4" width="5" bestFit="1" customWidth="1"/>
    <col min="5" max="5" width="18.7109375" bestFit="1" customWidth="1"/>
    <col min="6" max="6" width="7.42578125" bestFit="1" customWidth="1"/>
    <col min="7" max="7" width="5" bestFit="1" customWidth="1"/>
    <col min="8" max="8" width="35.5703125" bestFit="1" customWidth="1"/>
    <col min="9" max="9" width="7.7109375" bestFit="1" customWidth="1"/>
    <col min="10" max="10" width="40.28515625" bestFit="1" customWidth="1"/>
  </cols>
  <sheetData>
    <row r="1" spans="1:10" x14ac:dyDescent="0.25">
      <c r="A1" s="1" t="s">
        <v>0</v>
      </c>
      <c r="B1" s="1"/>
      <c r="C1" s="1" t="s">
        <v>1</v>
      </c>
      <c r="D1" s="1" t="s">
        <v>2</v>
      </c>
      <c r="E1" s="1" t="s">
        <v>51</v>
      </c>
      <c r="F1" s="1" t="s">
        <v>1</v>
      </c>
      <c r="G1" s="1" t="s">
        <v>2</v>
      </c>
      <c r="H1" s="1" t="s">
        <v>3</v>
      </c>
      <c r="I1" s="1" t="s">
        <v>0</v>
      </c>
      <c r="J1" s="1" t="s">
        <v>3</v>
      </c>
    </row>
    <row r="2" spans="1:10" x14ac:dyDescent="0.25">
      <c r="A2" s="1" t="s">
        <v>52</v>
      </c>
      <c r="B2" s="1" t="str">
        <f>VLOOKUP(C2,colours!$A$4:$B$10,2,FALSE)</f>
        <v>#efea5a</v>
      </c>
      <c r="C2" s="1" t="s">
        <v>15</v>
      </c>
      <c r="D2" s="1">
        <v>2005</v>
      </c>
      <c r="E2" s="1" t="s">
        <v>53</v>
      </c>
      <c r="F2" s="1" t="s">
        <v>15</v>
      </c>
      <c r="G2" s="1">
        <v>2005</v>
      </c>
      <c r="H2" s="1" t="e">
        <v>#N/A</v>
      </c>
      <c r="I2" s="1" t="s">
        <v>52</v>
      </c>
      <c r="J2" s="1" t="s">
        <v>46</v>
      </c>
    </row>
    <row r="3" spans="1:10" x14ac:dyDescent="0.25">
      <c r="A3" s="1" t="s">
        <v>54</v>
      </c>
      <c r="B3" s="1" t="str">
        <f>VLOOKUP(C3,colours!$A$4:$B$10,2,FALSE)</f>
        <v>#efea5a</v>
      </c>
      <c r="C3" s="1" t="s">
        <v>15</v>
      </c>
      <c r="D3" s="1">
        <v>2005</v>
      </c>
      <c r="E3" s="1" t="s">
        <v>55</v>
      </c>
      <c r="F3" s="1" t="s">
        <v>15</v>
      </c>
      <c r="G3" s="1">
        <v>2005</v>
      </c>
      <c r="H3" s="1" t="e">
        <v>#N/A</v>
      </c>
      <c r="I3" s="1" t="s">
        <v>54</v>
      </c>
      <c r="J3" s="1" t="s">
        <v>46</v>
      </c>
    </row>
    <row r="4" spans="1:10" x14ac:dyDescent="0.25">
      <c r="A4" s="1" t="s">
        <v>56</v>
      </c>
      <c r="B4" s="1" t="str">
        <f>VLOOKUP(C4,colours!$A$4:$B$10,2,FALSE)</f>
        <v>#54478c</v>
      </c>
      <c r="C4" s="1" t="s">
        <v>4</v>
      </c>
      <c r="D4" s="1">
        <v>2005</v>
      </c>
      <c r="E4" s="1" t="s">
        <v>57</v>
      </c>
      <c r="F4" s="1" t="s">
        <v>4</v>
      </c>
      <c r="G4" s="1">
        <v>2005</v>
      </c>
      <c r="H4" s="1" t="e">
        <v>#N/A</v>
      </c>
      <c r="I4" s="1" t="s">
        <v>56</v>
      </c>
      <c r="J4" s="1" t="s">
        <v>46</v>
      </c>
    </row>
    <row r="5" spans="1:10" x14ac:dyDescent="0.25">
      <c r="A5" s="1" t="s">
        <v>58</v>
      </c>
      <c r="B5" s="1" t="str">
        <f>VLOOKUP(C5,colours!$A$4:$B$10,2,FALSE)</f>
        <v>#efea5a</v>
      </c>
      <c r="C5" s="1" t="s">
        <v>15</v>
      </c>
      <c r="D5" s="1">
        <v>2006</v>
      </c>
      <c r="E5" s="1" t="s">
        <v>59</v>
      </c>
      <c r="F5" s="1" t="s">
        <v>15</v>
      </c>
      <c r="G5" s="1">
        <v>2006</v>
      </c>
      <c r="H5" s="1" t="e">
        <v>#N/A</v>
      </c>
      <c r="I5" s="1" t="s">
        <v>58</v>
      </c>
      <c r="J5" s="1" t="s">
        <v>46</v>
      </c>
    </row>
    <row r="6" spans="1:10" x14ac:dyDescent="0.25">
      <c r="A6" s="1" t="s">
        <v>60</v>
      </c>
      <c r="B6" s="1" t="str">
        <f>VLOOKUP(C6,colours!$A$4:$B$10,2,FALSE)</f>
        <v>#efea5a</v>
      </c>
      <c r="C6" s="1" t="s">
        <v>15</v>
      </c>
      <c r="D6" s="1">
        <v>2006</v>
      </c>
      <c r="E6" s="1" t="s">
        <v>61</v>
      </c>
      <c r="F6" s="1" t="s">
        <v>15</v>
      </c>
      <c r="G6" s="1">
        <v>2006</v>
      </c>
      <c r="H6" s="1" t="s">
        <v>62</v>
      </c>
      <c r="I6" s="1" t="s">
        <v>60</v>
      </c>
      <c r="J6" s="1" t="s">
        <v>226</v>
      </c>
    </row>
    <row r="7" spans="1:10" x14ac:dyDescent="0.25">
      <c r="A7" s="4" t="s">
        <v>63</v>
      </c>
      <c r="B7" s="1" t="str">
        <f>VLOOKUP(C7,colours!$A$4:$B$10,2,FALSE)</f>
        <v>#efea5a</v>
      </c>
      <c r="C7" s="1" t="s">
        <v>15</v>
      </c>
      <c r="D7" s="4">
        <v>2006</v>
      </c>
      <c r="E7" s="4" t="s">
        <v>64</v>
      </c>
      <c r="F7" s="1" t="s">
        <v>15</v>
      </c>
      <c r="G7" s="4">
        <v>2006</v>
      </c>
      <c r="H7" s="4" t="e">
        <v>#N/A</v>
      </c>
      <c r="I7" s="4" t="s">
        <v>63</v>
      </c>
      <c r="J7" s="1" t="s">
        <v>46</v>
      </c>
    </row>
    <row r="8" spans="1:10" x14ac:dyDescent="0.25">
      <c r="A8" s="1" t="s">
        <v>65</v>
      </c>
      <c r="B8" s="1" t="str">
        <f>VLOOKUP(C8,colours!$A$4:$B$10,2,FALSE)</f>
        <v>#efea5a</v>
      </c>
      <c r="C8" s="1" t="s">
        <v>15</v>
      </c>
      <c r="D8" s="1">
        <v>2006</v>
      </c>
      <c r="E8" s="1" t="s">
        <v>66</v>
      </c>
      <c r="F8" s="1" t="s">
        <v>15</v>
      </c>
      <c r="G8" s="1">
        <v>2006</v>
      </c>
      <c r="H8" s="1" t="s">
        <v>67</v>
      </c>
      <c r="I8" s="1" t="s">
        <v>65</v>
      </c>
      <c r="J8" s="1" t="s">
        <v>225</v>
      </c>
    </row>
    <row r="9" spans="1:10" x14ac:dyDescent="0.25">
      <c r="A9" s="1" t="s">
        <v>68</v>
      </c>
      <c r="B9" s="1" t="str">
        <f>VLOOKUP(C9,colours!$A$4:$B$10,2,FALSE)</f>
        <v>#efea5a</v>
      </c>
      <c r="C9" s="1" t="s">
        <v>15</v>
      </c>
      <c r="D9" s="1">
        <v>2006</v>
      </c>
      <c r="E9" s="1" t="s">
        <v>69</v>
      </c>
      <c r="F9" s="1" t="s">
        <v>15</v>
      </c>
      <c r="G9" s="1">
        <v>2006</v>
      </c>
      <c r="H9" s="4" t="s">
        <v>67</v>
      </c>
      <c r="I9" s="1" t="s">
        <v>68</v>
      </c>
      <c r="J9" s="1" t="s">
        <v>225</v>
      </c>
    </row>
    <row r="10" spans="1:10" x14ac:dyDescent="0.25">
      <c r="A10" s="1" t="s">
        <v>70</v>
      </c>
      <c r="B10" s="1" t="str">
        <f>VLOOKUP(C10,colours!$A$4:$B$10,2,FALSE)</f>
        <v>#efea5a</v>
      </c>
      <c r="C10" s="1" t="s">
        <v>15</v>
      </c>
      <c r="D10" s="1">
        <v>2006</v>
      </c>
      <c r="E10" s="1" t="s">
        <v>71</v>
      </c>
      <c r="F10" s="1" t="s">
        <v>15</v>
      </c>
      <c r="G10" s="1">
        <v>2006</v>
      </c>
      <c r="H10" s="1" t="e">
        <v>#N/A</v>
      </c>
      <c r="I10" s="1" t="s">
        <v>70</v>
      </c>
      <c r="J10" s="1" t="s">
        <v>46</v>
      </c>
    </row>
    <row r="11" spans="1:10" x14ac:dyDescent="0.25">
      <c r="A11" s="1" t="s">
        <v>72</v>
      </c>
      <c r="B11" s="1" t="str">
        <f>VLOOKUP(C11,colours!$A$4:$B$10,2,FALSE)</f>
        <v>#efea5a</v>
      </c>
      <c r="C11" s="1" t="s">
        <v>15</v>
      </c>
      <c r="D11" s="1">
        <v>2007</v>
      </c>
      <c r="E11" s="1" t="s">
        <v>73</v>
      </c>
      <c r="F11" s="1" t="s">
        <v>15</v>
      </c>
      <c r="G11" s="1">
        <v>2007</v>
      </c>
      <c r="H11" s="1" t="e">
        <v>#N/A</v>
      </c>
      <c r="I11" s="1" t="s">
        <v>72</v>
      </c>
      <c r="J11" s="1" t="s">
        <v>46</v>
      </c>
    </row>
    <row r="12" spans="1:10" x14ac:dyDescent="0.25">
      <c r="A12" s="1" t="s">
        <v>74</v>
      </c>
      <c r="B12" s="1" t="str">
        <f>VLOOKUP(C12,colours!$A$4:$B$10,2,FALSE)</f>
        <v>#efea5a</v>
      </c>
      <c r="C12" s="1" t="s">
        <v>15</v>
      </c>
      <c r="D12" s="1">
        <v>2007</v>
      </c>
      <c r="E12" s="1" t="s">
        <v>75</v>
      </c>
      <c r="F12" s="1" t="s">
        <v>15</v>
      </c>
      <c r="G12" s="1">
        <v>2007</v>
      </c>
      <c r="H12" s="1" t="e">
        <v>#N/A</v>
      </c>
      <c r="I12" s="1" t="s">
        <v>74</v>
      </c>
      <c r="J12" s="1" t="s">
        <v>46</v>
      </c>
    </row>
    <row r="13" spans="1:10" x14ac:dyDescent="0.25">
      <c r="A13" s="1" t="s">
        <v>76</v>
      </c>
      <c r="B13" s="1" t="str">
        <f>VLOOKUP(C13,colours!$A$4:$B$10,2,FALSE)</f>
        <v>#efea5a</v>
      </c>
      <c r="C13" s="1" t="s">
        <v>15</v>
      </c>
      <c r="D13" s="1">
        <v>2008</v>
      </c>
      <c r="E13" s="1" t="s">
        <v>77</v>
      </c>
      <c r="F13" s="1" t="s">
        <v>15</v>
      </c>
      <c r="G13" s="1">
        <v>2008</v>
      </c>
      <c r="H13" s="1" t="e">
        <v>#N/A</v>
      </c>
      <c r="I13" s="1" t="s">
        <v>76</v>
      </c>
      <c r="J13" s="1" t="s">
        <v>46</v>
      </c>
    </row>
    <row r="14" spans="1:10" x14ac:dyDescent="0.25">
      <c r="A14" s="1" t="s">
        <v>78</v>
      </c>
      <c r="B14" s="1" t="str">
        <f>VLOOKUP(C14,colours!$A$4:$B$10,2,FALSE)</f>
        <v>#efea5a</v>
      </c>
      <c r="C14" s="1" t="s">
        <v>15</v>
      </c>
      <c r="D14" s="1">
        <v>2009</v>
      </c>
      <c r="E14" s="1" t="s">
        <v>79</v>
      </c>
      <c r="F14" s="1" t="s">
        <v>15</v>
      </c>
      <c r="G14" s="1">
        <v>2009</v>
      </c>
      <c r="H14" s="1" t="e">
        <v>#N/A</v>
      </c>
      <c r="I14" s="1" t="s">
        <v>78</v>
      </c>
      <c r="J14" s="1" t="s">
        <v>46</v>
      </c>
    </row>
    <row r="15" spans="1:10" x14ac:dyDescent="0.25">
      <c r="A15" s="4" t="s">
        <v>80</v>
      </c>
      <c r="B15" s="1" t="str">
        <f>VLOOKUP(C15,colours!$A$4:$B$10,2,FALSE)</f>
        <v>#efea5a</v>
      </c>
      <c r="C15" s="1" t="s">
        <v>15</v>
      </c>
      <c r="D15" s="4">
        <v>2010</v>
      </c>
      <c r="E15" s="4" t="s">
        <v>81</v>
      </c>
      <c r="F15" s="1" t="s">
        <v>15</v>
      </c>
      <c r="G15" s="4">
        <v>2010</v>
      </c>
      <c r="H15" s="4" t="e">
        <v>#N/A</v>
      </c>
      <c r="I15" s="4" t="s">
        <v>80</v>
      </c>
      <c r="J15" s="1" t="s">
        <v>46</v>
      </c>
    </row>
    <row r="16" spans="1:10" x14ac:dyDescent="0.25">
      <c r="A16" s="1" t="s">
        <v>82</v>
      </c>
      <c r="B16" s="1" t="str">
        <f>VLOOKUP(C16,colours!$A$4:$B$10,2,FALSE)</f>
        <v>#efea5a</v>
      </c>
      <c r="C16" s="1" t="s">
        <v>15</v>
      </c>
      <c r="D16" s="1">
        <v>2011</v>
      </c>
      <c r="E16" s="1" t="s">
        <v>83</v>
      </c>
      <c r="F16" s="1" t="s">
        <v>15</v>
      </c>
      <c r="G16" s="1">
        <v>2011</v>
      </c>
      <c r="H16" s="1" t="e">
        <v>#N/A</v>
      </c>
      <c r="I16" s="1" t="s">
        <v>82</v>
      </c>
      <c r="J16" s="1" t="s">
        <v>46</v>
      </c>
    </row>
    <row r="17" spans="1:10" x14ac:dyDescent="0.25">
      <c r="A17" s="1" t="s">
        <v>84</v>
      </c>
      <c r="B17" s="1" t="str">
        <f>VLOOKUP(C17,colours!$A$4:$B$10,2,FALSE)</f>
        <v>#efea5a</v>
      </c>
      <c r="C17" s="1" t="s">
        <v>15</v>
      </c>
      <c r="D17" s="1">
        <v>2012</v>
      </c>
      <c r="E17" s="1" t="s">
        <v>85</v>
      </c>
      <c r="F17" s="1" t="s">
        <v>15</v>
      </c>
      <c r="G17" s="1">
        <v>2012</v>
      </c>
      <c r="H17" s="1" t="e">
        <v>#N/A</v>
      </c>
      <c r="I17" s="1" t="s">
        <v>84</v>
      </c>
      <c r="J17" s="1" t="s">
        <v>46</v>
      </c>
    </row>
    <row r="18" spans="1:10" x14ac:dyDescent="0.25">
      <c r="A18" s="1" t="s">
        <v>86</v>
      </c>
      <c r="B18" s="1" t="str">
        <f>VLOOKUP(C18,colours!$A$4:$B$10,2,FALSE)</f>
        <v>#1a4301</v>
      </c>
      <c r="C18" s="1" t="s">
        <v>88</v>
      </c>
      <c r="D18" s="1">
        <v>2012</v>
      </c>
      <c r="E18" s="1" t="s">
        <v>87</v>
      </c>
      <c r="F18" s="1" t="s">
        <v>88</v>
      </c>
      <c r="G18" s="1">
        <v>2012</v>
      </c>
      <c r="H18" s="1" t="e">
        <v>#N/A</v>
      </c>
      <c r="I18" s="1" t="s">
        <v>86</v>
      </c>
      <c r="J18" s="1" t="s">
        <v>46</v>
      </c>
    </row>
    <row r="19" spans="1:10" x14ac:dyDescent="0.25">
      <c r="A19" s="1" t="s">
        <v>89</v>
      </c>
      <c r="B19" s="1" t="str">
        <f>VLOOKUP(C19,colours!$A$4:$B$10,2,FALSE)</f>
        <v>#efea5a</v>
      </c>
      <c r="C19" s="1" t="s">
        <v>15</v>
      </c>
      <c r="D19" s="1">
        <v>2017</v>
      </c>
      <c r="E19" s="1" t="s">
        <v>90</v>
      </c>
      <c r="F19" s="1" t="s">
        <v>15</v>
      </c>
      <c r="G19" s="1">
        <v>2017</v>
      </c>
      <c r="H19" s="1" t="s">
        <v>91</v>
      </c>
      <c r="I19" s="1" t="s">
        <v>89</v>
      </c>
      <c r="J19" s="1" t="s">
        <v>227</v>
      </c>
    </row>
    <row r="20" spans="1:10" x14ac:dyDescent="0.25">
      <c r="A20" s="1" t="s">
        <v>92</v>
      </c>
      <c r="B20" s="1" t="str">
        <f>VLOOKUP(C20,colours!$A$4:$B$10,2,FALSE)</f>
        <v>#54478c</v>
      </c>
      <c r="C20" s="1" t="s">
        <v>4</v>
      </c>
      <c r="D20" s="1">
        <v>2019</v>
      </c>
      <c r="E20" s="1" t="s">
        <v>93</v>
      </c>
      <c r="F20" s="1" t="s">
        <v>4</v>
      </c>
      <c r="G20" s="1">
        <v>2019</v>
      </c>
      <c r="H20" s="1" t="e">
        <v>#N/A</v>
      </c>
      <c r="I20" s="1" t="s">
        <v>92</v>
      </c>
      <c r="J20" s="1" t="s">
        <v>46</v>
      </c>
    </row>
    <row r="21" spans="1:10" x14ac:dyDescent="0.25">
      <c r="A21" s="1" t="s">
        <v>94</v>
      </c>
      <c r="B21" s="1" t="str">
        <f>VLOOKUP(C21,colours!$A$4:$B$10,2,FALSE)</f>
        <v>#54478c</v>
      </c>
      <c r="C21" s="1" t="s">
        <v>4</v>
      </c>
      <c r="D21" s="1">
        <v>2019</v>
      </c>
      <c r="E21" s="1" t="s">
        <v>95</v>
      </c>
      <c r="F21" s="1" t="s">
        <v>4</v>
      </c>
      <c r="G21" s="1">
        <v>2019</v>
      </c>
      <c r="H21" s="1" t="e">
        <v>#N/A</v>
      </c>
      <c r="I21" s="1" t="s">
        <v>94</v>
      </c>
      <c r="J21" s="1" t="s">
        <v>46</v>
      </c>
    </row>
    <row r="22" spans="1:10" x14ac:dyDescent="0.25">
      <c r="A22" s="1" t="s">
        <v>96</v>
      </c>
      <c r="B22" s="1" t="str">
        <f>VLOOKUP(C22,colours!$A$4:$B$10,2,FALSE)</f>
        <v>#54478c</v>
      </c>
      <c r="C22" s="1" t="s">
        <v>4</v>
      </c>
      <c r="D22" s="1">
        <v>2019</v>
      </c>
      <c r="E22" s="1" t="s">
        <v>97</v>
      </c>
      <c r="F22" s="1" t="s">
        <v>4</v>
      </c>
      <c r="G22" s="1">
        <v>2019</v>
      </c>
      <c r="H22" s="1" t="e">
        <v>#N/A</v>
      </c>
      <c r="I22" s="1" t="s">
        <v>96</v>
      </c>
      <c r="J22" s="1" t="s">
        <v>46</v>
      </c>
    </row>
    <row r="23" spans="1:10" x14ac:dyDescent="0.25">
      <c r="A23" s="1" t="s">
        <v>98</v>
      </c>
      <c r="B23" s="1" t="str">
        <f>VLOOKUP(C23,colours!$A$4:$B$10,2,FALSE)</f>
        <v>#54478c</v>
      </c>
      <c r="C23" s="1" t="s">
        <v>4</v>
      </c>
      <c r="D23" s="1">
        <v>2019</v>
      </c>
      <c r="E23" s="1" t="s">
        <v>99</v>
      </c>
      <c r="F23" s="1" t="s">
        <v>4</v>
      </c>
      <c r="G23" s="1">
        <v>2019</v>
      </c>
      <c r="H23" s="1" t="e">
        <v>#N/A</v>
      </c>
      <c r="I23" s="1" t="s">
        <v>98</v>
      </c>
      <c r="J23" s="1" t="s">
        <v>46</v>
      </c>
    </row>
    <row r="24" spans="1:10" x14ac:dyDescent="0.25">
      <c r="A24" s="1" t="s">
        <v>100</v>
      </c>
      <c r="B24" s="1" t="str">
        <f>VLOOKUP(C24,colours!$A$4:$B$10,2,FALSE)</f>
        <v>#54478c</v>
      </c>
      <c r="C24" s="1" t="s">
        <v>4</v>
      </c>
      <c r="D24" s="1">
        <v>2019</v>
      </c>
      <c r="E24" s="1" t="s">
        <v>101</v>
      </c>
      <c r="F24" s="1" t="s">
        <v>4</v>
      </c>
      <c r="G24" s="1">
        <v>2019</v>
      </c>
      <c r="H24" s="1" t="e">
        <v>#N/A</v>
      </c>
      <c r="I24" s="1" t="s">
        <v>100</v>
      </c>
      <c r="J24" s="1" t="s">
        <v>46</v>
      </c>
    </row>
    <row r="25" spans="1:10" x14ac:dyDescent="0.25">
      <c r="A25" s="1" t="s">
        <v>102</v>
      </c>
      <c r="B25" s="1" t="str">
        <f>VLOOKUP(C25,colours!$A$4:$B$10,2,FALSE)</f>
        <v>#54478c</v>
      </c>
      <c r="C25" s="1" t="s">
        <v>4</v>
      </c>
      <c r="D25" s="1">
        <v>2019</v>
      </c>
      <c r="E25" s="1" t="s">
        <v>103</v>
      </c>
      <c r="F25" s="1" t="s">
        <v>4</v>
      </c>
      <c r="G25" s="1">
        <v>2019</v>
      </c>
      <c r="H25" s="1" t="e">
        <v>#N/A</v>
      </c>
      <c r="I25" s="1" t="s">
        <v>102</v>
      </c>
      <c r="J25" s="1" t="s">
        <v>46</v>
      </c>
    </row>
    <row r="26" spans="1:10" x14ac:dyDescent="0.25">
      <c r="A26" s="1" t="s">
        <v>104</v>
      </c>
      <c r="B26" s="1" t="str">
        <f>VLOOKUP(C26,colours!$A$4:$B$10,2,FALSE)</f>
        <v>#54478c</v>
      </c>
      <c r="C26" s="1" t="s">
        <v>4</v>
      </c>
      <c r="D26" s="1">
        <v>2019</v>
      </c>
      <c r="E26" s="1" t="s">
        <v>105</v>
      </c>
      <c r="F26" s="1" t="s">
        <v>4</v>
      </c>
      <c r="G26" s="1">
        <v>2019</v>
      </c>
      <c r="H26" s="1" t="e">
        <v>#N/A</v>
      </c>
      <c r="I26" s="1" t="s">
        <v>104</v>
      </c>
      <c r="J26" s="1" t="s">
        <v>46</v>
      </c>
    </row>
    <row r="27" spans="1:10" x14ac:dyDescent="0.25">
      <c r="A27" s="1" t="s">
        <v>106</v>
      </c>
      <c r="B27" s="1" t="str">
        <f>VLOOKUP(C27,colours!$A$4:$B$10,2,FALSE)</f>
        <v>#54478c</v>
      </c>
      <c r="C27" s="1" t="s">
        <v>4</v>
      </c>
      <c r="D27" s="1">
        <v>2019</v>
      </c>
      <c r="E27" s="1" t="s">
        <v>107</v>
      </c>
      <c r="F27" s="1" t="s">
        <v>4</v>
      </c>
      <c r="G27" s="1">
        <v>2019</v>
      </c>
      <c r="H27" s="1" t="e">
        <v>#N/A</v>
      </c>
      <c r="I27" s="1" t="s">
        <v>106</v>
      </c>
      <c r="J27" s="1" t="s">
        <v>46</v>
      </c>
    </row>
    <row r="28" spans="1:10" x14ac:dyDescent="0.25">
      <c r="A28" s="1" t="s">
        <v>108</v>
      </c>
      <c r="B28" s="1" t="str">
        <f>VLOOKUP(C28,colours!$A$4:$B$10,2,FALSE)</f>
        <v>#54478c</v>
      </c>
      <c r="C28" s="1" t="s">
        <v>4</v>
      </c>
      <c r="D28" s="1">
        <v>2020</v>
      </c>
      <c r="E28" s="1" t="s">
        <v>109</v>
      </c>
      <c r="F28" s="1" t="s">
        <v>4</v>
      </c>
      <c r="G28" s="1">
        <v>2020</v>
      </c>
      <c r="H28" s="1" t="e">
        <v>#N/A</v>
      </c>
      <c r="I28" s="1" t="s">
        <v>108</v>
      </c>
      <c r="J28" s="1" t="s">
        <v>46</v>
      </c>
    </row>
    <row r="29" spans="1:10" x14ac:dyDescent="0.25">
      <c r="A29" s="1" t="s">
        <v>110</v>
      </c>
      <c r="B29" s="1" t="str">
        <f>VLOOKUP(C29,colours!$A$4:$B$10,2,FALSE)</f>
        <v>#54478c</v>
      </c>
      <c r="C29" s="1" t="s">
        <v>4</v>
      </c>
      <c r="D29" s="1">
        <v>2020</v>
      </c>
      <c r="E29" s="1" t="s">
        <v>111</v>
      </c>
      <c r="F29" s="1" t="s">
        <v>4</v>
      </c>
      <c r="G29" s="1">
        <v>2020</v>
      </c>
      <c r="H29" s="1" t="e">
        <v>#N/A</v>
      </c>
      <c r="I29" s="1" t="s">
        <v>110</v>
      </c>
      <c r="J29" s="1" t="s">
        <v>46</v>
      </c>
    </row>
    <row r="30" spans="1:10" x14ac:dyDescent="0.25">
      <c r="A30" s="1" t="s">
        <v>112</v>
      </c>
      <c r="B30" s="1" t="str">
        <f>VLOOKUP(C30,colours!$A$4:$B$10,2,FALSE)</f>
        <v>#efea5a</v>
      </c>
      <c r="C30" s="1" t="s">
        <v>15</v>
      </c>
      <c r="D30" s="1">
        <v>2020</v>
      </c>
      <c r="E30" s="1" t="s">
        <v>113</v>
      </c>
      <c r="F30" s="1" t="s">
        <v>15</v>
      </c>
      <c r="G30" s="1">
        <v>2020</v>
      </c>
      <c r="H30" s="1" t="e">
        <v>#N/A</v>
      </c>
      <c r="I30" s="1" t="s">
        <v>112</v>
      </c>
      <c r="J30" s="1" t="s">
        <v>46</v>
      </c>
    </row>
    <row r="31" spans="1:10" x14ac:dyDescent="0.25">
      <c r="A31" s="1" t="s">
        <v>114</v>
      </c>
      <c r="B31" s="1" t="str">
        <f>VLOOKUP(C31,colours!$A$4:$B$10,2,FALSE)</f>
        <v>#efea5a</v>
      </c>
      <c r="C31" s="1" t="s">
        <v>15</v>
      </c>
      <c r="D31" s="1">
        <v>2020</v>
      </c>
      <c r="E31" s="1" t="s">
        <v>115</v>
      </c>
      <c r="F31" s="1" t="s">
        <v>15</v>
      </c>
      <c r="G31" s="1">
        <v>2020</v>
      </c>
      <c r="H31" s="1" t="e">
        <v>#N/A</v>
      </c>
      <c r="I31" s="1" t="s">
        <v>114</v>
      </c>
      <c r="J31" s="1" t="s">
        <v>46</v>
      </c>
    </row>
    <row r="32" spans="1:10" x14ac:dyDescent="0.25">
      <c r="A32" s="1" t="s">
        <v>116</v>
      </c>
      <c r="B32" s="1" t="str">
        <f>VLOOKUP(C32,colours!$A$4:$B$10,2,FALSE)</f>
        <v>#efea5a</v>
      </c>
      <c r="C32" s="1" t="s">
        <v>15</v>
      </c>
      <c r="D32" s="1">
        <v>2020</v>
      </c>
      <c r="E32" s="1" t="s">
        <v>117</v>
      </c>
      <c r="F32" s="1" t="s">
        <v>15</v>
      </c>
      <c r="G32" s="1">
        <v>2020</v>
      </c>
      <c r="H32" s="1" t="e">
        <v>#N/A</v>
      </c>
      <c r="I32" s="1" t="s">
        <v>116</v>
      </c>
      <c r="J32" s="1" t="s">
        <v>46</v>
      </c>
    </row>
    <row r="33" spans="1:10" x14ac:dyDescent="0.25">
      <c r="A33" s="1" t="s">
        <v>118</v>
      </c>
      <c r="B33" s="1" t="str">
        <f>VLOOKUP(C33,colours!$A$4:$B$10,2,FALSE)</f>
        <v>#83e377</v>
      </c>
      <c r="C33" s="1" t="s">
        <v>7</v>
      </c>
      <c r="D33" s="1">
        <v>2020</v>
      </c>
      <c r="E33" s="1" t="s">
        <v>119</v>
      </c>
      <c r="F33" s="1" t="s">
        <v>7</v>
      </c>
      <c r="G33" s="1">
        <v>2020</v>
      </c>
      <c r="H33" s="1" t="e">
        <v>#N/A</v>
      </c>
      <c r="I33" s="1" t="s">
        <v>118</v>
      </c>
      <c r="J33" s="1" t="s">
        <v>46</v>
      </c>
    </row>
    <row r="34" spans="1:10" x14ac:dyDescent="0.25">
      <c r="A34" s="1" t="s">
        <v>120</v>
      </c>
      <c r="B34" s="1" t="str">
        <f>VLOOKUP(C34,colours!$A$4:$B$10,2,FALSE)</f>
        <v>#54478c</v>
      </c>
      <c r="C34" s="1" t="s">
        <v>4</v>
      </c>
      <c r="D34" s="1">
        <v>2020</v>
      </c>
      <c r="E34" s="1" t="s">
        <v>121</v>
      </c>
      <c r="F34" s="1" t="s">
        <v>4</v>
      </c>
      <c r="G34" s="1">
        <v>2020</v>
      </c>
      <c r="H34" s="1" t="e">
        <v>#N/A</v>
      </c>
      <c r="I34" s="1" t="s">
        <v>120</v>
      </c>
      <c r="J34" s="1" t="s">
        <v>46</v>
      </c>
    </row>
    <row r="35" spans="1:10" x14ac:dyDescent="0.25">
      <c r="A35" s="1" t="s">
        <v>122</v>
      </c>
      <c r="B35" s="1" t="str">
        <f>VLOOKUP(C35,colours!$A$4:$B$10,2,FALSE)</f>
        <v>#54478c</v>
      </c>
      <c r="C35" s="1" t="s">
        <v>4</v>
      </c>
      <c r="D35" s="1">
        <v>2020</v>
      </c>
      <c r="E35" s="1" t="s">
        <v>123</v>
      </c>
      <c r="F35" s="1" t="s">
        <v>4</v>
      </c>
      <c r="G35" s="1">
        <v>2020</v>
      </c>
      <c r="H35" s="1" t="e">
        <v>#N/A</v>
      </c>
      <c r="I35" s="1" t="s">
        <v>122</v>
      </c>
      <c r="J35" s="1" t="s">
        <v>46</v>
      </c>
    </row>
    <row r="36" spans="1:10" x14ac:dyDescent="0.25">
      <c r="A36" s="1" t="s">
        <v>124</v>
      </c>
      <c r="B36" s="1" t="str">
        <f>VLOOKUP(C36,colours!$A$4:$B$10,2,FALSE)</f>
        <v>#54478c</v>
      </c>
      <c r="C36" s="1" t="s">
        <v>4</v>
      </c>
      <c r="D36" s="1">
        <v>2020</v>
      </c>
      <c r="E36" s="1" t="s">
        <v>125</v>
      </c>
      <c r="F36" s="1" t="s">
        <v>4</v>
      </c>
      <c r="G36" s="1">
        <v>2020</v>
      </c>
      <c r="H36" s="1" t="e">
        <v>#N/A</v>
      </c>
      <c r="I36" s="1" t="s">
        <v>124</v>
      </c>
      <c r="J36" s="1" t="s">
        <v>46</v>
      </c>
    </row>
    <row r="37" spans="1:10" x14ac:dyDescent="0.25">
      <c r="A37" s="1" t="s">
        <v>126</v>
      </c>
      <c r="B37" s="1" t="str">
        <f>VLOOKUP(C37,colours!$A$4:$B$10,2,FALSE)</f>
        <v>#2c699a</v>
      </c>
      <c r="C37" s="1" t="s">
        <v>6</v>
      </c>
      <c r="D37" s="1">
        <v>2020</v>
      </c>
      <c r="E37" s="1" t="s">
        <v>127</v>
      </c>
      <c r="F37" s="1" t="s">
        <v>6</v>
      </c>
      <c r="G37" s="1">
        <v>2020</v>
      </c>
      <c r="H37" s="1" t="e">
        <v>#N/A</v>
      </c>
      <c r="I37" s="1" t="s">
        <v>126</v>
      </c>
      <c r="J37" s="1" t="s">
        <v>46</v>
      </c>
    </row>
    <row r="38" spans="1:10" x14ac:dyDescent="0.25">
      <c r="A38" s="1" t="s">
        <v>128</v>
      </c>
      <c r="B38" s="1" t="str">
        <f>VLOOKUP(C38,colours!$A$4:$B$10,2,FALSE)</f>
        <v>#54478c</v>
      </c>
      <c r="C38" s="1" t="s">
        <v>4</v>
      </c>
      <c r="D38" s="1">
        <v>2020</v>
      </c>
      <c r="E38" s="1" t="s">
        <v>129</v>
      </c>
      <c r="F38" s="1" t="s">
        <v>4</v>
      </c>
      <c r="G38" s="1">
        <v>2020</v>
      </c>
      <c r="H38" s="1" t="e">
        <v>#N/A</v>
      </c>
      <c r="I38" s="1" t="s">
        <v>128</v>
      </c>
      <c r="J38" s="1" t="s">
        <v>46</v>
      </c>
    </row>
    <row r="39" spans="1:10" x14ac:dyDescent="0.25">
      <c r="A39" s="1" t="s">
        <v>130</v>
      </c>
      <c r="B39" s="1" t="str">
        <f>VLOOKUP(C39,colours!$A$4:$B$10,2,FALSE)</f>
        <v>#54478c</v>
      </c>
      <c r="C39" s="1" t="s">
        <v>4</v>
      </c>
      <c r="D39" s="1">
        <v>2020</v>
      </c>
      <c r="E39" s="1" t="s">
        <v>131</v>
      </c>
      <c r="F39" s="1" t="s">
        <v>4</v>
      </c>
      <c r="G39" s="1">
        <v>2020</v>
      </c>
      <c r="H39" s="1" t="e">
        <v>#N/A</v>
      </c>
      <c r="I39" s="1" t="s">
        <v>130</v>
      </c>
      <c r="J39" s="1" t="s">
        <v>46</v>
      </c>
    </row>
    <row r="40" spans="1:10" x14ac:dyDescent="0.25">
      <c r="A40" s="1" t="s">
        <v>132</v>
      </c>
      <c r="B40" s="1" t="str">
        <f>VLOOKUP(C40,colours!$A$4:$B$10,2,FALSE)</f>
        <v>#54478c</v>
      </c>
      <c r="C40" s="1" t="s">
        <v>4</v>
      </c>
      <c r="D40" s="1">
        <v>2020</v>
      </c>
      <c r="E40" s="1" t="s">
        <v>133</v>
      </c>
      <c r="F40" s="1" t="s">
        <v>4</v>
      </c>
      <c r="G40" s="1">
        <v>2020</v>
      </c>
      <c r="H40" s="1" t="e">
        <v>#N/A</v>
      </c>
      <c r="I40" s="1" t="s">
        <v>132</v>
      </c>
      <c r="J40" s="1" t="s">
        <v>46</v>
      </c>
    </row>
    <row r="41" spans="1:10" x14ac:dyDescent="0.25">
      <c r="A41" s="1" t="s">
        <v>134</v>
      </c>
      <c r="B41" s="1" t="str">
        <f>VLOOKUP(C41,colours!$A$4:$B$10,2,FALSE)</f>
        <v>#54478c</v>
      </c>
      <c r="C41" s="1" t="s">
        <v>4</v>
      </c>
      <c r="D41" s="1">
        <v>2020</v>
      </c>
      <c r="E41" s="1" t="s">
        <v>135</v>
      </c>
      <c r="F41" s="1" t="s">
        <v>4</v>
      </c>
      <c r="G41" s="1">
        <v>2020</v>
      </c>
      <c r="H41" s="1" t="e">
        <v>#N/A</v>
      </c>
      <c r="I41" s="1" t="s">
        <v>134</v>
      </c>
      <c r="J41" s="1" t="s">
        <v>46</v>
      </c>
    </row>
    <row r="42" spans="1:10" x14ac:dyDescent="0.25">
      <c r="A42" s="1" t="s">
        <v>136</v>
      </c>
      <c r="B42" s="1" t="str">
        <f>VLOOKUP(C42,colours!$A$4:$B$10,2,FALSE)</f>
        <v>#54478c</v>
      </c>
      <c r="C42" s="1" t="s">
        <v>4</v>
      </c>
      <c r="D42" s="1">
        <v>2020</v>
      </c>
      <c r="E42" s="1" t="s">
        <v>137</v>
      </c>
      <c r="F42" s="1" t="s">
        <v>4</v>
      </c>
      <c r="G42" s="1">
        <v>2020</v>
      </c>
      <c r="H42" s="1" t="e">
        <v>#N/A</v>
      </c>
      <c r="I42" s="1" t="s">
        <v>136</v>
      </c>
      <c r="J42" s="1" t="s">
        <v>46</v>
      </c>
    </row>
    <row r="43" spans="1:10" x14ac:dyDescent="0.25">
      <c r="A43" s="1" t="s">
        <v>138</v>
      </c>
      <c r="B43" s="1" t="str">
        <f>VLOOKUP(C43,colours!$A$4:$B$10,2,FALSE)</f>
        <v>#2c699a</v>
      </c>
      <c r="C43" s="1" t="s">
        <v>6</v>
      </c>
      <c r="D43" s="1">
        <v>2020</v>
      </c>
      <c r="E43" s="1" t="s">
        <v>139</v>
      </c>
      <c r="F43" s="1" t="s">
        <v>6</v>
      </c>
      <c r="G43" s="1">
        <v>2020</v>
      </c>
      <c r="H43" s="1" t="e">
        <v>#N/A</v>
      </c>
      <c r="I43" s="1" t="s">
        <v>138</v>
      </c>
      <c r="J43" s="1" t="s">
        <v>46</v>
      </c>
    </row>
    <row r="44" spans="1:10" x14ac:dyDescent="0.25">
      <c r="A44" s="1" t="s">
        <v>140</v>
      </c>
      <c r="B44" s="1" t="str">
        <f>VLOOKUP(C44,colours!$A$4:$B$10,2,FALSE)</f>
        <v>#54478c</v>
      </c>
      <c r="C44" s="1" t="s">
        <v>4</v>
      </c>
      <c r="D44" s="1">
        <v>2020</v>
      </c>
      <c r="E44" s="1" t="s">
        <v>141</v>
      </c>
      <c r="F44" s="1" t="s">
        <v>4</v>
      </c>
      <c r="G44" s="1">
        <v>2020</v>
      </c>
      <c r="H44" s="1" t="e">
        <v>#N/A</v>
      </c>
      <c r="I44" s="1" t="s">
        <v>140</v>
      </c>
      <c r="J44" s="1" t="s">
        <v>46</v>
      </c>
    </row>
    <row r="45" spans="1:10" x14ac:dyDescent="0.25">
      <c r="A45" s="1" t="s">
        <v>142</v>
      </c>
      <c r="B45" s="1" t="str">
        <f>VLOOKUP(C45,colours!$A$4:$B$10,2,FALSE)</f>
        <v>#54478c</v>
      </c>
      <c r="C45" s="1" t="s">
        <v>4</v>
      </c>
      <c r="D45" s="1">
        <v>2021</v>
      </c>
      <c r="E45" s="1" t="s">
        <v>143</v>
      </c>
      <c r="F45" s="1" t="s">
        <v>4</v>
      </c>
      <c r="G45" s="1">
        <v>2021</v>
      </c>
      <c r="H45" s="1" t="e">
        <v>#N/A</v>
      </c>
      <c r="I45" s="1" t="s">
        <v>142</v>
      </c>
      <c r="J45" s="1" t="s">
        <v>46</v>
      </c>
    </row>
    <row r="46" spans="1:10" x14ac:dyDescent="0.25">
      <c r="A46" s="1" t="s">
        <v>144</v>
      </c>
      <c r="B46" s="1" t="str">
        <f>VLOOKUP(C46,colours!$A$4:$B$10,2,FALSE)</f>
        <v>#54478c</v>
      </c>
      <c r="C46" s="1" t="s">
        <v>4</v>
      </c>
      <c r="D46" s="1">
        <v>2021</v>
      </c>
      <c r="E46" s="1" t="s">
        <v>145</v>
      </c>
      <c r="F46" s="1" t="s">
        <v>4</v>
      </c>
      <c r="G46" s="1">
        <v>2021</v>
      </c>
      <c r="H46" s="1" t="e">
        <v>#N/A</v>
      </c>
      <c r="I46" s="1" t="s">
        <v>144</v>
      </c>
      <c r="J46" s="1" t="s">
        <v>46</v>
      </c>
    </row>
    <row r="47" spans="1:10" x14ac:dyDescent="0.25">
      <c r="A47" s="1" t="s">
        <v>146</v>
      </c>
      <c r="B47" s="1" t="str">
        <f>VLOOKUP(C47,colours!$A$4:$B$10,2,FALSE)</f>
        <v>#efea5a</v>
      </c>
      <c r="C47" s="1" t="s">
        <v>15</v>
      </c>
      <c r="D47" s="1">
        <v>2021</v>
      </c>
      <c r="E47" s="1" t="s">
        <v>147</v>
      </c>
      <c r="F47" s="1" t="s">
        <v>15</v>
      </c>
      <c r="G47" s="1">
        <v>2021</v>
      </c>
      <c r="H47" s="1" t="e">
        <v>#N/A</v>
      </c>
      <c r="I47" s="1" t="s">
        <v>146</v>
      </c>
      <c r="J47" s="1" t="s">
        <v>46</v>
      </c>
    </row>
    <row r="48" spans="1:10" x14ac:dyDescent="0.25">
      <c r="A48" s="1" t="s">
        <v>148</v>
      </c>
      <c r="B48" s="1" t="str">
        <f>VLOOKUP(C48,colours!$A$4:$B$10,2,FALSE)</f>
        <v>#efea5a</v>
      </c>
      <c r="C48" s="1" t="s">
        <v>15</v>
      </c>
      <c r="D48" s="1">
        <v>2021</v>
      </c>
      <c r="E48" s="1" t="s">
        <v>149</v>
      </c>
      <c r="F48" s="1" t="s">
        <v>15</v>
      </c>
      <c r="G48" s="1">
        <v>2021</v>
      </c>
      <c r="H48" s="1" t="e">
        <v>#N/A</v>
      </c>
      <c r="I48" s="1" t="s">
        <v>148</v>
      </c>
      <c r="J48" s="1" t="s">
        <v>46</v>
      </c>
    </row>
    <row r="49" spans="1:10" x14ac:dyDescent="0.25">
      <c r="A49" s="1" t="s">
        <v>150</v>
      </c>
      <c r="B49" s="1" t="str">
        <f>VLOOKUP(C49,colours!$A$4:$B$10,2,FALSE)</f>
        <v>#54478c</v>
      </c>
      <c r="C49" s="1" t="s">
        <v>4</v>
      </c>
      <c r="D49" s="1">
        <v>2021</v>
      </c>
      <c r="E49" s="1" t="s">
        <v>151</v>
      </c>
      <c r="F49" s="1" t="s">
        <v>4</v>
      </c>
      <c r="G49" s="1">
        <v>2021</v>
      </c>
      <c r="H49" s="1" t="e">
        <v>#N/A</v>
      </c>
      <c r="I49" s="1" t="s">
        <v>150</v>
      </c>
      <c r="J49" s="1" t="s">
        <v>46</v>
      </c>
    </row>
    <row r="50" spans="1:10" x14ac:dyDescent="0.25">
      <c r="A50" s="1" t="s">
        <v>152</v>
      </c>
      <c r="B50" s="1" t="str">
        <f>VLOOKUP(C50,colours!$A$4:$B$10,2,FALSE)</f>
        <v>#2c699a</v>
      </c>
      <c r="C50" s="1" t="s">
        <v>6</v>
      </c>
      <c r="D50" s="1">
        <v>2021</v>
      </c>
      <c r="E50" s="1" t="s">
        <v>153</v>
      </c>
      <c r="F50" s="1" t="s">
        <v>6</v>
      </c>
      <c r="G50" s="1">
        <v>2021</v>
      </c>
      <c r="H50" s="1" t="e">
        <v>#N/A</v>
      </c>
      <c r="I50" s="1" t="s">
        <v>152</v>
      </c>
      <c r="J50" s="1" t="s">
        <v>46</v>
      </c>
    </row>
    <row r="51" spans="1:10" x14ac:dyDescent="0.25">
      <c r="A51" s="1" t="s">
        <v>154</v>
      </c>
      <c r="B51" s="1" t="str">
        <f>VLOOKUP(C51,colours!$A$4:$B$10,2,FALSE)</f>
        <v>#54478c</v>
      </c>
      <c r="C51" s="1" t="s">
        <v>4</v>
      </c>
      <c r="D51" s="1">
        <v>2021</v>
      </c>
      <c r="E51" s="1" t="s">
        <v>155</v>
      </c>
      <c r="F51" s="1" t="s">
        <v>4</v>
      </c>
      <c r="G51" s="1">
        <v>2021</v>
      </c>
      <c r="H51" s="1" t="e">
        <v>#N/A</v>
      </c>
      <c r="I51" s="1" t="s">
        <v>154</v>
      </c>
      <c r="J51" s="1" t="s">
        <v>46</v>
      </c>
    </row>
    <row r="52" spans="1:10" x14ac:dyDescent="0.25">
      <c r="A52" s="1" t="s">
        <v>156</v>
      </c>
      <c r="B52" s="1" t="str">
        <f>VLOOKUP(C52,colours!$A$4:$B$10,2,FALSE)</f>
        <v>#2c699a</v>
      </c>
      <c r="C52" s="1" t="s">
        <v>6</v>
      </c>
      <c r="D52" s="1">
        <v>2020</v>
      </c>
      <c r="E52" s="1" t="s">
        <v>157</v>
      </c>
      <c r="F52" s="1" t="s">
        <v>6</v>
      </c>
      <c r="G52" s="1">
        <v>2020</v>
      </c>
      <c r="H52" s="1" t="e">
        <v>#N/A</v>
      </c>
      <c r="I52" s="1" t="s">
        <v>156</v>
      </c>
      <c r="J52" s="1" t="s">
        <v>46</v>
      </c>
    </row>
    <row r="53" spans="1:10" x14ac:dyDescent="0.25">
      <c r="A53" s="1" t="s">
        <v>158</v>
      </c>
      <c r="B53" s="1" t="str">
        <f>VLOOKUP(C53,colours!$A$4:$B$10,2,FALSE)</f>
        <v>#54478c</v>
      </c>
      <c r="C53" s="1" t="s">
        <v>4</v>
      </c>
      <c r="D53" s="1">
        <v>2021</v>
      </c>
      <c r="E53" s="1" t="s">
        <v>159</v>
      </c>
      <c r="F53" s="1" t="s">
        <v>4</v>
      </c>
      <c r="G53" s="1">
        <v>2021</v>
      </c>
      <c r="H53" s="1" t="e">
        <v>#N/A</v>
      </c>
      <c r="I53" s="1" t="s">
        <v>158</v>
      </c>
      <c r="J53" s="1" t="s">
        <v>46</v>
      </c>
    </row>
    <row r="54" spans="1:10" x14ac:dyDescent="0.25">
      <c r="A54" s="1" t="s">
        <v>160</v>
      </c>
      <c r="B54" s="1" t="str">
        <f>VLOOKUP(C54,colours!$A$4:$B$10,2,FALSE)</f>
        <v>#2c699a</v>
      </c>
      <c r="C54" s="1" t="s">
        <v>6</v>
      </c>
      <c r="D54" s="1">
        <v>2021</v>
      </c>
      <c r="E54" s="1" t="s">
        <v>161</v>
      </c>
      <c r="F54" s="1" t="s">
        <v>6</v>
      </c>
      <c r="G54" s="1">
        <v>2021</v>
      </c>
      <c r="H54" s="1" t="e">
        <v>#N/A</v>
      </c>
      <c r="I54" s="1" t="s">
        <v>160</v>
      </c>
      <c r="J54" s="1" t="s">
        <v>46</v>
      </c>
    </row>
    <row r="55" spans="1:10" x14ac:dyDescent="0.25">
      <c r="A55" s="1" t="s">
        <v>162</v>
      </c>
      <c r="B55" s="1" t="str">
        <f>VLOOKUP(C55,colours!$A$4:$B$10,2,FALSE)</f>
        <v>#54478c</v>
      </c>
      <c r="C55" s="1" t="s">
        <v>4</v>
      </c>
      <c r="D55" s="1">
        <v>2021</v>
      </c>
      <c r="E55" s="1" t="s">
        <v>163</v>
      </c>
      <c r="F55" s="1" t="s">
        <v>4</v>
      </c>
      <c r="G55" s="1">
        <v>2021</v>
      </c>
      <c r="H55" s="1" t="e">
        <v>#N/A</v>
      </c>
      <c r="I55" s="1" t="s">
        <v>162</v>
      </c>
      <c r="J55" s="1" t="s">
        <v>46</v>
      </c>
    </row>
    <row r="56" spans="1:10" x14ac:dyDescent="0.25">
      <c r="A56" s="4" t="s">
        <v>164</v>
      </c>
      <c r="B56" s="1" t="str">
        <f>VLOOKUP(C56,colours!$A$4:$B$10,2,FALSE)</f>
        <v>#2c699a</v>
      </c>
      <c r="C56" s="1" t="s">
        <v>6</v>
      </c>
      <c r="D56" s="4">
        <v>2021</v>
      </c>
      <c r="E56" s="4" t="s">
        <v>165</v>
      </c>
      <c r="F56" s="1" t="s">
        <v>6</v>
      </c>
      <c r="G56" s="4">
        <v>2021</v>
      </c>
      <c r="H56" s="4" t="e">
        <v>#N/A</v>
      </c>
      <c r="I56" s="4" t="s">
        <v>164</v>
      </c>
      <c r="J56" s="1" t="s">
        <v>46</v>
      </c>
    </row>
    <row r="57" spans="1:10" x14ac:dyDescent="0.25">
      <c r="A57" s="1" t="s">
        <v>166</v>
      </c>
      <c r="B57" s="1" t="str">
        <f>VLOOKUP(C57,colours!$A$4:$B$10,2,FALSE)</f>
        <v>#54478c</v>
      </c>
      <c r="C57" s="1" t="s">
        <v>4</v>
      </c>
      <c r="D57" s="1">
        <v>2021</v>
      </c>
      <c r="E57" s="1" t="s">
        <v>167</v>
      </c>
      <c r="F57" s="1" t="s">
        <v>4</v>
      </c>
      <c r="G57" s="1">
        <v>2021</v>
      </c>
      <c r="H57" s="1" t="e">
        <v>#N/A</v>
      </c>
      <c r="I57" s="1" t="s">
        <v>166</v>
      </c>
      <c r="J57" s="1" t="s">
        <v>46</v>
      </c>
    </row>
    <row r="58" spans="1:10" x14ac:dyDescent="0.25">
      <c r="A58" s="1" t="s">
        <v>168</v>
      </c>
      <c r="B58" s="1" t="str">
        <f>VLOOKUP(C58,colours!$A$4:$B$10,2,FALSE)</f>
        <v>#54478c</v>
      </c>
      <c r="C58" s="1" t="s">
        <v>4</v>
      </c>
      <c r="D58" s="1">
        <v>2021</v>
      </c>
      <c r="E58" s="1" t="s">
        <v>169</v>
      </c>
      <c r="F58" s="1" t="s">
        <v>4</v>
      </c>
      <c r="G58" s="1">
        <v>2021</v>
      </c>
      <c r="H58" s="1" t="e">
        <v>#N/A</v>
      </c>
      <c r="I58" s="1" t="s">
        <v>168</v>
      </c>
      <c r="J58" s="1" t="s">
        <v>46</v>
      </c>
    </row>
    <row r="59" spans="1:10" x14ac:dyDescent="0.25">
      <c r="A59" s="1" t="s">
        <v>170</v>
      </c>
      <c r="B59" s="1" t="str">
        <f>VLOOKUP(C59,colours!$A$4:$B$10,2,FALSE)</f>
        <v>#2c699a</v>
      </c>
      <c r="C59" s="1" t="s">
        <v>6</v>
      </c>
      <c r="D59" s="1">
        <v>2021</v>
      </c>
      <c r="E59" s="1" t="s">
        <v>171</v>
      </c>
      <c r="F59" s="1" t="s">
        <v>6</v>
      </c>
      <c r="G59" s="1">
        <v>2021</v>
      </c>
      <c r="H59" s="1" t="e">
        <v>#N/A</v>
      </c>
      <c r="I59" s="1" t="s">
        <v>170</v>
      </c>
      <c r="J59" s="1" t="s">
        <v>46</v>
      </c>
    </row>
    <row r="60" spans="1:10" x14ac:dyDescent="0.25">
      <c r="A60" s="1" t="s">
        <v>172</v>
      </c>
      <c r="B60" s="1" t="str">
        <f>VLOOKUP(C60,colours!$A$4:$B$10,2,FALSE)</f>
        <v>#54478c</v>
      </c>
      <c r="C60" s="1" t="s">
        <v>4</v>
      </c>
      <c r="D60" s="1">
        <v>2021</v>
      </c>
      <c r="E60" s="1" t="s">
        <v>173</v>
      </c>
      <c r="F60" s="1" t="s">
        <v>4</v>
      </c>
      <c r="G60" s="1">
        <v>2021</v>
      </c>
      <c r="H60" s="1" t="e">
        <v>#N/A</v>
      </c>
      <c r="I60" s="1" t="s">
        <v>172</v>
      </c>
      <c r="J60" s="1" t="s">
        <v>46</v>
      </c>
    </row>
    <row r="61" spans="1:10" x14ac:dyDescent="0.25">
      <c r="A61" s="1" t="s">
        <v>174</v>
      </c>
      <c r="B61" s="1" t="str">
        <f>VLOOKUP(C61,colours!$A$4:$B$10,2,FALSE)</f>
        <v>#f29e4c</v>
      </c>
      <c r="C61" s="1" t="s">
        <v>8</v>
      </c>
      <c r="D61" s="1">
        <v>2021</v>
      </c>
      <c r="E61" s="1" t="s">
        <v>175</v>
      </c>
      <c r="F61" s="1" t="s">
        <v>8</v>
      </c>
      <c r="G61" s="1">
        <v>2021</v>
      </c>
      <c r="H61" s="1" t="e">
        <v>#N/A</v>
      </c>
      <c r="I61" s="1" t="s">
        <v>174</v>
      </c>
      <c r="J61" s="1" t="s">
        <v>46</v>
      </c>
    </row>
    <row r="62" spans="1:10" x14ac:dyDescent="0.25">
      <c r="A62" s="1" t="s">
        <v>176</v>
      </c>
      <c r="B62" s="1" t="str">
        <f>VLOOKUP(C62,colours!$A$4:$B$10,2,FALSE)</f>
        <v>#54478c</v>
      </c>
      <c r="C62" s="1" t="s">
        <v>4</v>
      </c>
      <c r="D62" s="1">
        <v>2021</v>
      </c>
      <c r="E62" s="1" t="s">
        <v>177</v>
      </c>
      <c r="F62" s="1" t="s">
        <v>4</v>
      </c>
      <c r="G62" s="1">
        <v>2021</v>
      </c>
      <c r="H62" s="1" t="e">
        <v>#N/A</v>
      </c>
      <c r="I62" s="1" t="s">
        <v>176</v>
      </c>
      <c r="J62" s="1" t="s">
        <v>46</v>
      </c>
    </row>
    <row r="63" spans="1:10" x14ac:dyDescent="0.25">
      <c r="A63" s="1" t="s">
        <v>178</v>
      </c>
      <c r="B63" s="1" t="str">
        <f>VLOOKUP(C63,colours!$A$4:$B$10,2,FALSE)</f>
        <v>#2c699a</v>
      </c>
      <c r="C63" s="1" t="s">
        <v>6</v>
      </c>
      <c r="D63" s="1">
        <v>2021</v>
      </c>
      <c r="E63" s="1" t="s">
        <v>179</v>
      </c>
      <c r="F63" s="1" t="s">
        <v>6</v>
      </c>
      <c r="G63" s="1">
        <v>2021</v>
      </c>
      <c r="H63" s="1" t="e">
        <v>#N/A</v>
      </c>
      <c r="I63" s="1" t="s">
        <v>178</v>
      </c>
      <c r="J63" s="1" t="s">
        <v>46</v>
      </c>
    </row>
    <row r="64" spans="1:10" x14ac:dyDescent="0.25">
      <c r="A64" s="1" t="s">
        <v>180</v>
      </c>
      <c r="B64" s="1" t="str">
        <f>VLOOKUP(C64,colours!$A$4:$B$10,2,FALSE)</f>
        <v>#efea5a</v>
      </c>
      <c r="C64" s="1" t="s">
        <v>15</v>
      </c>
      <c r="D64" s="1">
        <v>2022</v>
      </c>
      <c r="E64" s="1" t="s">
        <v>181</v>
      </c>
      <c r="F64" s="1" t="s">
        <v>15</v>
      </c>
      <c r="G64" s="1">
        <v>2022</v>
      </c>
      <c r="H64" s="1" t="e">
        <v>#N/A</v>
      </c>
      <c r="I64" s="1" t="s">
        <v>180</v>
      </c>
      <c r="J64" s="1" t="s">
        <v>46</v>
      </c>
    </row>
    <row r="65" spans="1:10" x14ac:dyDescent="0.25">
      <c r="A65" s="1" t="s">
        <v>182</v>
      </c>
      <c r="B65" s="1" t="str">
        <f>VLOOKUP(C65,colours!$A$4:$B$10,2,FALSE)</f>
        <v>#54478c</v>
      </c>
      <c r="C65" s="1" t="s">
        <v>4</v>
      </c>
      <c r="D65" s="1">
        <v>2022</v>
      </c>
      <c r="E65" s="1" t="s">
        <v>183</v>
      </c>
      <c r="F65" s="1" t="s">
        <v>4</v>
      </c>
      <c r="G65" s="1">
        <v>2022</v>
      </c>
      <c r="H65" s="1" t="e">
        <v>#N/A</v>
      </c>
      <c r="I65" s="1" t="s">
        <v>182</v>
      </c>
      <c r="J65" s="1" t="s">
        <v>46</v>
      </c>
    </row>
    <row r="66" spans="1:10" x14ac:dyDescent="0.25">
      <c r="A66" s="1" t="s">
        <v>184</v>
      </c>
      <c r="B66" s="1" t="str">
        <f>VLOOKUP(C66,colours!$A$4:$B$10,2,FALSE)</f>
        <v>#2c699a</v>
      </c>
      <c r="C66" s="1" t="s">
        <v>6</v>
      </c>
      <c r="D66" s="1">
        <v>2022</v>
      </c>
      <c r="E66" s="1" t="s">
        <v>185</v>
      </c>
      <c r="F66" s="1" t="s">
        <v>6</v>
      </c>
      <c r="G66" s="1">
        <v>2022</v>
      </c>
      <c r="H66" s="1" t="e">
        <v>#N/A</v>
      </c>
      <c r="I66" s="1" t="s">
        <v>184</v>
      </c>
      <c r="J66" s="1" t="s">
        <v>46</v>
      </c>
    </row>
    <row r="67" spans="1:10" x14ac:dyDescent="0.25">
      <c r="A67" s="1" t="s">
        <v>186</v>
      </c>
      <c r="B67" s="1" t="str">
        <f>VLOOKUP(C67,colours!$A$4:$B$10,2,FALSE)</f>
        <v>#54478c</v>
      </c>
      <c r="C67" s="1" t="s">
        <v>4</v>
      </c>
      <c r="D67" s="1">
        <v>2022</v>
      </c>
      <c r="E67" s="1" t="s">
        <v>187</v>
      </c>
      <c r="F67" s="1" t="s">
        <v>4</v>
      </c>
      <c r="G67" s="1">
        <v>2022</v>
      </c>
      <c r="H67" s="1" t="e">
        <v>#N/A</v>
      </c>
      <c r="I67" s="1" t="s">
        <v>186</v>
      </c>
      <c r="J67" s="1" t="s">
        <v>46</v>
      </c>
    </row>
    <row r="68" spans="1:10" x14ac:dyDescent="0.25">
      <c r="A68" s="1" t="s">
        <v>188</v>
      </c>
      <c r="B68" s="1" t="str">
        <f>VLOOKUP(C68,colours!$A$4:$B$10,2,FALSE)</f>
        <v>#2c699a</v>
      </c>
      <c r="C68" s="1" t="s">
        <v>6</v>
      </c>
      <c r="D68" s="1">
        <v>2022</v>
      </c>
      <c r="E68" s="1" t="s">
        <v>189</v>
      </c>
      <c r="F68" s="1" t="s">
        <v>6</v>
      </c>
      <c r="G68" s="1">
        <v>2022</v>
      </c>
      <c r="H68" s="1" t="e">
        <v>#N/A</v>
      </c>
      <c r="I68" s="1" t="s">
        <v>188</v>
      </c>
      <c r="J68" s="1" t="s">
        <v>46</v>
      </c>
    </row>
    <row r="69" spans="1:10" x14ac:dyDescent="0.25">
      <c r="A69" s="1" t="s">
        <v>190</v>
      </c>
      <c r="B69" s="1" t="str">
        <f>VLOOKUP(C69,colours!$A$4:$B$10,2,FALSE)</f>
        <v>#efea5a</v>
      </c>
      <c r="C69" s="1" t="s">
        <v>15</v>
      </c>
      <c r="D69" s="1">
        <v>2022</v>
      </c>
      <c r="E69" s="1" t="s">
        <v>191</v>
      </c>
      <c r="F69" s="1" t="s">
        <v>15</v>
      </c>
      <c r="G69" s="1">
        <v>2022</v>
      </c>
      <c r="H69" s="1" t="e">
        <v>#N/A</v>
      </c>
      <c r="I69" s="1" t="s">
        <v>190</v>
      </c>
      <c r="J69" s="1" t="s">
        <v>46</v>
      </c>
    </row>
    <row r="70" spans="1:10" x14ac:dyDescent="0.25">
      <c r="A70" s="1" t="s">
        <v>192</v>
      </c>
      <c r="B70" s="1" t="str">
        <f>VLOOKUP(C70,colours!$A$4:$B$10,2,FALSE)</f>
        <v>#83e377</v>
      </c>
      <c r="C70" s="1" t="s">
        <v>7</v>
      </c>
      <c r="D70" s="1">
        <v>2022</v>
      </c>
      <c r="E70" s="1" t="s">
        <v>193</v>
      </c>
      <c r="F70" s="1" t="s">
        <v>7</v>
      </c>
      <c r="G70" s="1">
        <v>2022</v>
      </c>
      <c r="H70" s="1" t="e">
        <v>#N/A</v>
      </c>
      <c r="I70" s="1" t="s">
        <v>192</v>
      </c>
      <c r="J70" s="1" t="s">
        <v>46</v>
      </c>
    </row>
    <row r="71" spans="1:10" x14ac:dyDescent="0.25">
      <c r="A71" s="1" t="s">
        <v>194</v>
      </c>
      <c r="B71" s="1" t="str">
        <f>VLOOKUP(C71,colours!$A$4:$B$10,2,FALSE)</f>
        <v>#2c699a</v>
      </c>
      <c r="C71" s="1" t="s">
        <v>6</v>
      </c>
      <c r="D71" s="1">
        <v>2022</v>
      </c>
      <c r="E71" s="1" t="s">
        <v>195</v>
      </c>
      <c r="F71" s="1" t="s">
        <v>6</v>
      </c>
      <c r="G71" s="1">
        <v>2022</v>
      </c>
      <c r="H71" s="1" t="e">
        <v>#N/A</v>
      </c>
      <c r="I71" s="1" t="s">
        <v>194</v>
      </c>
      <c r="J71" s="1" t="s">
        <v>46</v>
      </c>
    </row>
    <row r="72" spans="1:10" x14ac:dyDescent="0.25">
      <c r="A72" s="1" t="s">
        <v>196</v>
      </c>
      <c r="B72" s="1" t="str">
        <f>VLOOKUP(C72,colours!$A$4:$B$10,2,FALSE)</f>
        <v>#efea5a</v>
      </c>
      <c r="C72" s="1" t="s">
        <v>15</v>
      </c>
      <c r="D72" s="1">
        <v>2022</v>
      </c>
      <c r="E72" s="1" t="s">
        <v>197</v>
      </c>
      <c r="F72" s="1" t="s">
        <v>15</v>
      </c>
      <c r="G72" s="1">
        <v>2022</v>
      </c>
      <c r="H72" s="1" t="e">
        <v>#N/A</v>
      </c>
      <c r="I72" s="1" t="s">
        <v>196</v>
      </c>
      <c r="J72" s="1" t="s">
        <v>46</v>
      </c>
    </row>
    <row r="73" spans="1:10" x14ac:dyDescent="0.25">
      <c r="A73" s="1" t="s">
        <v>198</v>
      </c>
      <c r="B73" s="1" t="str">
        <f>VLOOKUP(C73,colours!$A$4:$B$10,2,FALSE)</f>
        <v>#54478c</v>
      </c>
      <c r="C73" s="1" t="s">
        <v>4</v>
      </c>
      <c r="D73" s="1">
        <v>2022</v>
      </c>
      <c r="E73" s="1" t="s">
        <v>199</v>
      </c>
      <c r="F73" s="1" t="s">
        <v>4</v>
      </c>
      <c r="G73" s="1">
        <v>2022</v>
      </c>
      <c r="H73" s="1" t="e">
        <v>#N/A</v>
      </c>
      <c r="I73" s="1" t="s">
        <v>198</v>
      </c>
      <c r="J73" s="1" t="s">
        <v>46</v>
      </c>
    </row>
    <row r="74" spans="1:10" x14ac:dyDescent="0.25">
      <c r="A74" s="1" t="s">
        <v>200</v>
      </c>
      <c r="B74" s="1" t="str">
        <f>VLOOKUP(C74,colours!$A$4:$B$10,2,FALSE)</f>
        <v>#2c699a</v>
      </c>
      <c r="C74" s="1" t="s">
        <v>6</v>
      </c>
      <c r="D74" s="1">
        <v>2022</v>
      </c>
      <c r="E74" s="1" t="s">
        <v>201</v>
      </c>
      <c r="F74" s="1" t="s">
        <v>6</v>
      </c>
      <c r="G74" s="1">
        <v>2022</v>
      </c>
      <c r="H74" s="1" t="e">
        <v>#N/A</v>
      </c>
      <c r="I74" s="1" t="s">
        <v>200</v>
      </c>
      <c r="J74" s="1" t="s">
        <v>46</v>
      </c>
    </row>
    <row r="75" spans="1:10" x14ac:dyDescent="0.25">
      <c r="A75" s="1" t="s">
        <v>202</v>
      </c>
      <c r="B75" s="1" t="str">
        <f>VLOOKUP(C75,colours!$A$4:$B$10,2,FALSE)</f>
        <v>#54478c</v>
      </c>
      <c r="C75" s="1" t="s">
        <v>4</v>
      </c>
      <c r="D75" s="1">
        <v>2022</v>
      </c>
      <c r="E75" s="1" t="s">
        <v>203</v>
      </c>
      <c r="F75" s="1" t="s">
        <v>4</v>
      </c>
      <c r="G75" s="1">
        <v>2022</v>
      </c>
      <c r="H75" s="1" t="e">
        <v>#N/A</v>
      </c>
      <c r="I75" s="1" t="s">
        <v>202</v>
      </c>
      <c r="J75" s="1" t="s">
        <v>46</v>
      </c>
    </row>
    <row r="76" spans="1:10" x14ac:dyDescent="0.25">
      <c r="A76" s="1" t="s">
        <v>204</v>
      </c>
      <c r="B76" s="1" t="str">
        <f>VLOOKUP(C76,colours!$A$4:$B$10,2,FALSE)</f>
        <v>#2c699a</v>
      </c>
      <c r="C76" s="1" t="s">
        <v>6</v>
      </c>
      <c r="D76" s="1">
        <v>2022</v>
      </c>
      <c r="E76" s="1" t="s">
        <v>205</v>
      </c>
      <c r="F76" s="1" t="s">
        <v>6</v>
      </c>
      <c r="G76" s="1">
        <v>2022</v>
      </c>
      <c r="H76" s="1" t="e">
        <v>#N/A</v>
      </c>
      <c r="I76" s="1" t="s">
        <v>204</v>
      </c>
      <c r="J76" s="1" t="s">
        <v>46</v>
      </c>
    </row>
    <row r="77" spans="1:10" x14ac:dyDescent="0.25">
      <c r="A77" s="1" t="s">
        <v>206</v>
      </c>
      <c r="B77" s="1" t="str">
        <f>VLOOKUP(C77,colours!$A$4:$B$10,2,FALSE)</f>
        <v>#0db39e</v>
      </c>
      <c r="C77" s="1" t="s">
        <v>5</v>
      </c>
      <c r="D77" s="1">
        <v>2022</v>
      </c>
      <c r="E77" s="1" t="s">
        <v>207</v>
      </c>
      <c r="F77" s="1" t="s">
        <v>5</v>
      </c>
      <c r="G77" s="1">
        <v>2022</v>
      </c>
      <c r="H77" s="1" t="e">
        <v>#N/A</v>
      </c>
      <c r="I77" s="1" t="s">
        <v>206</v>
      </c>
      <c r="J77" s="1" t="s">
        <v>46</v>
      </c>
    </row>
    <row r="78" spans="1:10" x14ac:dyDescent="0.25">
      <c r="A78" s="1" t="s">
        <v>208</v>
      </c>
      <c r="B78" s="1" t="str">
        <f>VLOOKUP(C78,colours!$A$4:$B$10,2,FALSE)</f>
        <v>#54478c</v>
      </c>
      <c r="C78" s="1" t="s">
        <v>4</v>
      </c>
      <c r="D78" s="1">
        <v>2022</v>
      </c>
      <c r="E78" s="1" t="s">
        <v>209</v>
      </c>
      <c r="F78" s="1" t="s">
        <v>4</v>
      </c>
      <c r="G78" s="1">
        <v>2022</v>
      </c>
      <c r="H78" s="1" t="e">
        <v>#N/A</v>
      </c>
      <c r="I78" s="1" t="s">
        <v>208</v>
      </c>
      <c r="J78" s="1" t="s">
        <v>46</v>
      </c>
    </row>
    <row r="79" spans="1:10" x14ac:dyDescent="0.25">
      <c r="A79" s="1" t="s">
        <v>210</v>
      </c>
      <c r="B79" s="1" t="str">
        <f>VLOOKUP(C79,colours!$A$4:$B$10,2,FALSE)</f>
        <v>#54478c</v>
      </c>
      <c r="C79" s="1" t="s">
        <v>4</v>
      </c>
      <c r="D79" s="1">
        <v>2022</v>
      </c>
      <c r="E79" s="1" t="s">
        <v>211</v>
      </c>
      <c r="F79" s="1" t="s">
        <v>4</v>
      </c>
      <c r="G79" s="1">
        <v>2022</v>
      </c>
      <c r="H79" s="1" t="e">
        <v>#N/A</v>
      </c>
      <c r="I79" s="1" t="s">
        <v>210</v>
      </c>
      <c r="J79" s="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2203D-94B9-4E73-A380-78BB505DE62F}">
  <dimension ref="A1:B79"/>
  <sheetViews>
    <sheetView tabSelected="1" workbookViewId="0">
      <selection activeCell="B1" sqref="B1:B1048576"/>
    </sheetView>
  </sheetViews>
  <sheetFormatPr defaultRowHeight="15" x14ac:dyDescent="0.25"/>
  <cols>
    <col min="1" max="1" width="7.7109375" bestFit="1" customWidth="1"/>
    <col min="2" max="2" width="11.140625" bestFit="1" customWidth="1"/>
  </cols>
  <sheetData>
    <row r="1" spans="1:2" x14ac:dyDescent="0.25">
      <c r="A1" s="1" t="s">
        <v>0</v>
      </c>
      <c r="B1" t="s">
        <v>233</v>
      </c>
    </row>
    <row r="2" spans="1:2" x14ac:dyDescent="0.25">
      <c r="A2" s="1" t="s">
        <v>52</v>
      </c>
      <c r="B2" t="s">
        <v>234</v>
      </c>
    </row>
    <row r="3" spans="1:2" x14ac:dyDescent="0.25">
      <c r="A3" s="1" t="s">
        <v>54</v>
      </c>
      <c r="B3" t="s">
        <v>234</v>
      </c>
    </row>
    <row r="4" spans="1:2" x14ac:dyDescent="0.25">
      <c r="A4" s="1" t="s">
        <v>56</v>
      </c>
      <c r="B4" t="s">
        <v>235</v>
      </c>
    </row>
    <row r="5" spans="1:2" x14ac:dyDescent="0.25">
      <c r="A5" s="1" t="s">
        <v>58</v>
      </c>
      <c r="B5" t="s">
        <v>234</v>
      </c>
    </row>
    <row r="6" spans="1:2" x14ac:dyDescent="0.25">
      <c r="A6" s="1" t="s">
        <v>60</v>
      </c>
      <c r="B6" t="s">
        <v>234</v>
      </c>
    </row>
    <row r="7" spans="1:2" x14ac:dyDescent="0.25">
      <c r="A7" s="4" t="s">
        <v>63</v>
      </c>
      <c r="B7" t="s">
        <v>234</v>
      </c>
    </row>
    <row r="8" spans="1:2" x14ac:dyDescent="0.25">
      <c r="A8" s="1" t="s">
        <v>65</v>
      </c>
      <c r="B8" t="s">
        <v>234</v>
      </c>
    </row>
    <row r="9" spans="1:2" x14ac:dyDescent="0.25">
      <c r="A9" s="1" t="s">
        <v>68</v>
      </c>
      <c r="B9" t="s">
        <v>234</v>
      </c>
    </row>
    <row r="10" spans="1:2" x14ac:dyDescent="0.25">
      <c r="A10" s="1" t="s">
        <v>70</v>
      </c>
      <c r="B10" t="s">
        <v>234</v>
      </c>
    </row>
    <row r="11" spans="1:2" x14ac:dyDescent="0.25">
      <c r="A11" s="1" t="s">
        <v>72</v>
      </c>
      <c r="B11" t="s">
        <v>234</v>
      </c>
    </row>
    <row r="12" spans="1:2" x14ac:dyDescent="0.25">
      <c r="A12" s="1" t="s">
        <v>74</v>
      </c>
      <c r="B12" t="s">
        <v>234</v>
      </c>
    </row>
    <row r="13" spans="1:2" x14ac:dyDescent="0.25">
      <c r="A13" s="1" t="s">
        <v>76</v>
      </c>
      <c r="B13" t="s">
        <v>234</v>
      </c>
    </row>
    <row r="14" spans="1:2" x14ac:dyDescent="0.25">
      <c r="A14" s="1" t="s">
        <v>78</v>
      </c>
      <c r="B14" t="s">
        <v>234</v>
      </c>
    </row>
    <row r="15" spans="1:2" x14ac:dyDescent="0.25">
      <c r="A15" s="4" t="s">
        <v>80</v>
      </c>
      <c r="B15" t="s">
        <v>234</v>
      </c>
    </row>
    <row r="16" spans="1:2" x14ac:dyDescent="0.25">
      <c r="A16" s="1" t="s">
        <v>82</v>
      </c>
      <c r="B16" t="s">
        <v>234</v>
      </c>
    </row>
    <row r="17" spans="1:2" x14ac:dyDescent="0.25">
      <c r="A17" s="1" t="s">
        <v>84</v>
      </c>
      <c r="B17" t="s">
        <v>236</v>
      </c>
    </row>
    <row r="18" spans="1:2" x14ac:dyDescent="0.25">
      <c r="A18" s="1" t="s">
        <v>86</v>
      </c>
      <c r="B18" t="s">
        <v>234</v>
      </c>
    </row>
    <row r="19" spans="1:2" x14ac:dyDescent="0.25">
      <c r="A19" s="1" t="s">
        <v>89</v>
      </c>
      <c r="B19" t="s">
        <v>234</v>
      </c>
    </row>
    <row r="20" spans="1:2" x14ac:dyDescent="0.25">
      <c r="A20" s="1" t="s">
        <v>92</v>
      </c>
      <c r="B20" t="s">
        <v>235</v>
      </c>
    </row>
    <row r="21" spans="1:2" x14ac:dyDescent="0.25">
      <c r="A21" s="1" t="s">
        <v>94</v>
      </c>
      <c r="B21" t="s">
        <v>235</v>
      </c>
    </row>
    <row r="22" spans="1:2" x14ac:dyDescent="0.25">
      <c r="A22" s="1" t="s">
        <v>96</v>
      </c>
      <c r="B22" t="s">
        <v>235</v>
      </c>
    </row>
    <row r="23" spans="1:2" x14ac:dyDescent="0.25">
      <c r="A23" s="1" t="s">
        <v>98</v>
      </c>
      <c r="B23" t="s">
        <v>235</v>
      </c>
    </row>
    <row r="24" spans="1:2" x14ac:dyDescent="0.25">
      <c r="A24" s="1" t="s">
        <v>100</v>
      </c>
      <c r="B24" t="s">
        <v>235</v>
      </c>
    </row>
    <row r="25" spans="1:2" x14ac:dyDescent="0.25">
      <c r="A25" s="1" t="s">
        <v>102</v>
      </c>
      <c r="B25" t="s">
        <v>237</v>
      </c>
    </row>
    <row r="26" spans="1:2" x14ac:dyDescent="0.25">
      <c r="A26" s="1" t="s">
        <v>104</v>
      </c>
      <c r="B26" t="s">
        <v>235</v>
      </c>
    </row>
    <row r="27" spans="1:2" x14ac:dyDescent="0.25">
      <c r="A27" s="1" t="s">
        <v>106</v>
      </c>
      <c r="B27" t="s">
        <v>235</v>
      </c>
    </row>
    <row r="28" spans="1:2" x14ac:dyDescent="0.25">
      <c r="A28" s="1" t="s">
        <v>108</v>
      </c>
      <c r="B28" t="s">
        <v>235</v>
      </c>
    </row>
    <row r="29" spans="1:2" x14ac:dyDescent="0.25">
      <c r="A29" s="1" t="s">
        <v>110</v>
      </c>
      <c r="B29" t="s">
        <v>235</v>
      </c>
    </row>
    <row r="30" spans="1:2" x14ac:dyDescent="0.25">
      <c r="A30" s="1" t="s">
        <v>112</v>
      </c>
      <c r="B30" t="s">
        <v>235</v>
      </c>
    </row>
    <row r="31" spans="1:2" x14ac:dyDescent="0.25">
      <c r="A31" s="1" t="s">
        <v>114</v>
      </c>
      <c r="B31" t="s">
        <v>235</v>
      </c>
    </row>
    <row r="32" spans="1:2" x14ac:dyDescent="0.25">
      <c r="A32" s="1" t="s">
        <v>116</v>
      </c>
      <c r="B32" t="s">
        <v>235</v>
      </c>
    </row>
    <row r="33" spans="1:2" x14ac:dyDescent="0.25">
      <c r="A33" s="1" t="s">
        <v>118</v>
      </c>
      <c r="B33" t="s">
        <v>235</v>
      </c>
    </row>
    <row r="34" spans="1:2" x14ac:dyDescent="0.25">
      <c r="A34" s="1" t="s">
        <v>120</v>
      </c>
      <c r="B34" t="s">
        <v>235</v>
      </c>
    </row>
    <row r="35" spans="1:2" x14ac:dyDescent="0.25">
      <c r="A35" s="1" t="s">
        <v>122</v>
      </c>
      <c r="B35" t="s">
        <v>235</v>
      </c>
    </row>
    <row r="36" spans="1:2" x14ac:dyDescent="0.25">
      <c r="A36" s="1" t="s">
        <v>124</v>
      </c>
      <c r="B36" t="s">
        <v>235</v>
      </c>
    </row>
    <row r="37" spans="1:2" x14ac:dyDescent="0.25">
      <c r="A37" s="1" t="s">
        <v>126</v>
      </c>
      <c r="B37" t="s">
        <v>235</v>
      </c>
    </row>
    <row r="38" spans="1:2" x14ac:dyDescent="0.25">
      <c r="A38" s="1" t="s">
        <v>128</v>
      </c>
      <c r="B38" t="s">
        <v>235</v>
      </c>
    </row>
    <row r="39" spans="1:2" x14ac:dyDescent="0.25">
      <c r="A39" s="1" t="s">
        <v>130</v>
      </c>
      <c r="B39" t="s">
        <v>235</v>
      </c>
    </row>
    <row r="40" spans="1:2" x14ac:dyDescent="0.25">
      <c r="A40" s="1" t="s">
        <v>132</v>
      </c>
      <c r="B40" t="s">
        <v>235</v>
      </c>
    </row>
    <row r="41" spans="1:2" x14ac:dyDescent="0.25">
      <c r="A41" s="1" t="s">
        <v>134</v>
      </c>
      <c r="B41" t="s">
        <v>235</v>
      </c>
    </row>
    <row r="42" spans="1:2" x14ac:dyDescent="0.25">
      <c r="A42" s="1" t="s">
        <v>136</v>
      </c>
      <c r="B42" t="s">
        <v>235</v>
      </c>
    </row>
    <row r="43" spans="1:2" x14ac:dyDescent="0.25">
      <c r="A43" s="1" t="s">
        <v>138</v>
      </c>
      <c r="B43" t="s">
        <v>235</v>
      </c>
    </row>
    <row r="44" spans="1:2" x14ac:dyDescent="0.25">
      <c r="A44" s="1" t="s">
        <v>140</v>
      </c>
      <c r="B44" t="s">
        <v>235</v>
      </c>
    </row>
    <row r="45" spans="1:2" x14ac:dyDescent="0.25">
      <c r="A45" s="1" t="s">
        <v>142</v>
      </c>
      <c r="B45" t="s">
        <v>235</v>
      </c>
    </row>
    <row r="46" spans="1:2" x14ac:dyDescent="0.25">
      <c r="A46" s="1" t="s">
        <v>144</v>
      </c>
      <c r="B46" t="s">
        <v>235</v>
      </c>
    </row>
    <row r="47" spans="1:2" x14ac:dyDescent="0.25">
      <c r="A47" s="1" t="s">
        <v>146</v>
      </c>
      <c r="B47" t="s">
        <v>235</v>
      </c>
    </row>
    <row r="48" spans="1:2" x14ac:dyDescent="0.25">
      <c r="A48" s="1" t="s">
        <v>148</v>
      </c>
      <c r="B48" t="s">
        <v>235</v>
      </c>
    </row>
    <row r="49" spans="1:2" x14ac:dyDescent="0.25">
      <c r="A49" s="1" t="s">
        <v>150</v>
      </c>
      <c r="B49" t="s">
        <v>235</v>
      </c>
    </row>
    <row r="50" spans="1:2" x14ac:dyDescent="0.25">
      <c r="A50" s="1" t="s">
        <v>152</v>
      </c>
      <c r="B50" t="s">
        <v>235</v>
      </c>
    </row>
    <row r="51" spans="1:2" x14ac:dyDescent="0.25">
      <c r="A51" s="1" t="s">
        <v>154</v>
      </c>
      <c r="B51" t="s">
        <v>235</v>
      </c>
    </row>
    <row r="52" spans="1:2" x14ac:dyDescent="0.25">
      <c r="A52" s="1" t="s">
        <v>156</v>
      </c>
      <c r="B52" t="s">
        <v>235</v>
      </c>
    </row>
    <row r="53" spans="1:2" x14ac:dyDescent="0.25">
      <c r="A53" s="1" t="s">
        <v>158</v>
      </c>
      <c r="B53" t="s">
        <v>235</v>
      </c>
    </row>
    <row r="54" spans="1:2" x14ac:dyDescent="0.25">
      <c r="A54" s="1" t="s">
        <v>160</v>
      </c>
      <c r="B54" t="s">
        <v>235</v>
      </c>
    </row>
    <row r="55" spans="1:2" x14ac:dyDescent="0.25">
      <c r="A55" s="1" t="s">
        <v>162</v>
      </c>
      <c r="B55" t="s">
        <v>235</v>
      </c>
    </row>
    <row r="56" spans="1:2" x14ac:dyDescent="0.25">
      <c r="A56" s="4" t="s">
        <v>164</v>
      </c>
      <c r="B56" t="s">
        <v>235</v>
      </c>
    </row>
    <row r="57" spans="1:2" x14ac:dyDescent="0.25">
      <c r="A57" s="1" t="s">
        <v>166</v>
      </c>
      <c r="B57" t="s">
        <v>235</v>
      </c>
    </row>
    <row r="58" spans="1:2" x14ac:dyDescent="0.25">
      <c r="A58" s="1" t="s">
        <v>168</v>
      </c>
      <c r="B58" t="s">
        <v>235</v>
      </c>
    </row>
    <row r="59" spans="1:2" x14ac:dyDescent="0.25">
      <c r="A59" s="1" t="s">
        <v>170</v>
      </c>
      <c r="B59" t="s">
        <v>235</v>
      </c>
    </row>
    <row r="60" spans="1:2" x14ac:dyDescent="0.25">
      <c r="A60" s="1" t="s">
        <v>172</v>
      </c>
      <c r="B60" t="s">
        <v>235</v>
      </c>
    </row>
    <row r="61" spans="1:2" x14ac:dyDescent="0.25">
      <c r="A61" s="1" t="s">
        <v>174</v>
      </c>
      <c r="B61" t="s">
        <v>235</v>
      </c>
    </row>
    <row r="62" spans="1:2" x14ac:dyDescent="0.25">
      <c r="A62" s="1" t="s">
        <v>176</v>
      </c>
      <c r="B62" t="s">
        <v>235</v>
      </c>
    </row>
    <row r="63" spans="1:2" x14ac:dyDescent="0.25">
      <c r="A63" s="1" t="s">
        <v>178</v>
      </c>
      <c r="B63" t="s">
        <v>235</v>
      </c>
    </row>
    <row r="64" spans="1:2" x14ac:dyDescent="0.25">
      <c r="A64" s="1" t="s">
        <v>180</v>
      </c>
      <c r="B64" t="s">
        <v>235</v>
      </c>
    </row>
    <row r="65" spans="1:2" x14ac:dyDescent="0.25">
      <c r="A65" s="1" t="s">
        <v>182</v>
      </c>
      <c r="B65" t="s">
        <v>235</v>
      </c>
    </row>
    <row r="66" spans="1:2" x14ac:dyDescent="0.25">
      <c r="A66" s="1" t="s">
        <v>184</v>
      </c>
      <c r="B66" t="s">
        <v>235</v>
      </c>
    </row>
    <row r="67" spans="1:2" x14ac:dyDescent="0.25">
      <c r="A67" s="1" t="s">
        <v>186</v>
      </c>
      <c r="B67" t="s">
        <v>235</v>
      </c>
    </row>
    <row r="68" spans="1:2" x14ac:dyDescent="0.25">
      <c r="A68" s="1" t="s">
        <v>188</v>
      </c>
      <c r="B68" t="s">
        <v>235</v>
      </c>
    </row>
    <row r="69" spans="1:2" x14ac:dyDescent="0.25">
      <c r="A69" s="1" t="s">
        <v>190</v>
      </c>
      <c r="B69" t="s">
        <v>235</v>
      </c>
    </row>
    <row r="70" spans="1:2" x14ac:dyDescent="0.25">
      <c r="A70" s="1" t="s">
        <v>192</v>
      </c>
      <c r="B70" t="s">
        <v>235</v>
      </c>
    </row>
    <row r="71" spans="1:2" x14ac:dyDescent="0.25">
      <c r="A71" s="1" t="s">
        <v>194</v>
      </c>
      <c r="B71" t="s">
        <v>235</v>
      </c>
    </row>
    <row r="72" spans="1:2" x14ac:dyDescent="0.25">
      <c r="A72" s="1" t="s">
        <v>196</v>
      </c>
      <c r="B72" t="s">
        <v>238</v>
      </c>
    </row>
    <row r="73" spans="1:2" x14ac:dyDescent="0.25">
      <c r="A73" s="1" t="s">
        <v>198</v>
      </c>
      <c r="B73" t="s">
        <v>235</v>
      </c>
    </row>
    <row r="74" spans="1:2" x14ac:dyDescent="0.25">
      <c r="A74" s="1" t="s">
        <v>200</v>
      </c>
      <c r="B74" t="s">
        <v>235</v>
      </c>
    </row>
    <row r="75" spans="1:2" x14ac:dyDescent="0.25">
      <c r="A75" s="1" t="s">
        <v>202</v>
      </c>
      <c r="B75" t="s">
        <v>235</v>
      </c>
    </row>
    <row r="76" spans="1:2" x14ac:dyDescent="0.25">
      <c r="A76" s="1" t="s">
        <v>204</v>
      </c>
      <c r="B76" t="s">
        <v>235</v>
      </c>
    </row>
    <row r="77" spans="1:2" x14ac:dyDescent="0.25">
      <c r="A77" s="1" t="s">
        <v>206</v>
      </c>
      <c r="B77" t="s">
        <v>235</v>
      </c>
    </row>
    <row r="78" spans="1:2" x14ac:dyDescent="0.25">
      <c r="A78" s="1" t="s">
        <v>208</v>
      </c>
      <c r="B78" t="s">
        <v>237</v>
      </c>
    </row>
    <row r="79" spans="1:2" x14ac:dyDescent="0.25">
      <c r="A79" s="1" t="s">
        <v>210</v>
      </c>
      <c r="B79" t="s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E34F-C56A-4A74-B7AB-07E17AB54119}">
  <dimension ref="A3:O84"/>
  <sheetViews>
    <sheetView workbookViewId="0">
      <selection activeCell="M23" sqref="M23"/>
    </sheetView>
  </sheetViews>
  <sheetFormatPr defaultRowHeight="15" x14ac:dyDescent="0.25"/>
  <cols>
    <col min="1" max="1" width="13.42578125" bestFit="1" customWidth="1"/>
    <col min="2" max="2" width="40.5703125" bestFit="1" customWidth="1"/>
    <col min="3" max="3" width="33.28515625" bestFit="1" customWidth="1"/>
    <col min="4" max="4" width="19" bestFit="1" customWidth="1"/>
    <col min="5" max="5" width="3.85546875" bestFit="1" customWidth="1"/>
    <col min="6" max="6" width="7.28515625" bestFit="1" customWidth="1"/>
    <col min="7" max="7" width="11.28515625" bestFit="1" customWidth="1"/>
    <col min="13" max="13" width="40.28515625" bestFit="1" customWidth="1"/>
    <col min="14" max="14" width="33.140625" bestFit="1" customWidth="1"/>
    <col min="15" max="15" width="19" bestFit="1" customWidth="1"/>
    <col min="16" max="16" width="8.140625" bestFit="1" customWidth="1"/>
  </cols>
  <sheetData>
    <row r="3" spans="1:15" x14ac:dyDescent="0.25">
      <c r="A3" s="2" t="s">
        <v>228</v>
      </c>
      <c r="B3" s="2" t="s">
        <v>31</v>
      </c>
    </row>
    <row r="4" spans="1:15" x14ac:dyDescent="0.25">
      <c r="A4" s="2" t="s">
        <v>27</v>
      </c>
      <c r="B4" t="s">
        <v>227</v>
      </c>
      <c r="C4" t="s">
        <v>225</v>
      </c>
      <c r="D4" t="s">
        <v>226</v>
      </c>
      <c r="E4" t="s">
        <v>46</v>
      </c>
      <c r="F4" t="s">
        <v>28</v>
      </c>
      <c r="G4" t="s">
        <v>29</v>
      </c>
    </row>
    <row r="5" spans="1:15" x14ac:dyDescent="0.25">
      <c r="A5" s="3" t="s">
        <v>52</v>
      </c>
      <c r="B5">
        <v>-1</v>
      </c>
      <c r="C5">
        <v>-1</v>
      </c>
      <c r="D5">
        <v>-1</v>
      </c>
      <c r="E5">
        <v>1</v>
      </c>
      <c r="F5">
        <v>-1</v>
      </c>
      <c r="G5">
        <v>1</v>
      </c>
    </row>
    <row r="6" spans="1:15" x14ac:dyDescent="0.25">
      <c r="A6" s="3" t="s">
        <v>54</v>
      </c>
      <c r="B6">
        <v>-1</v>
      </c>
      <c r="C6">
        <v>-1</v>
      </c>
      <c r="D6">
        <v>-1</v>
      </c>
      <c r="E6">
        <v>1</v>
      </c>
      <c r="F6">
        <v>-1</v>
      </c>
      <c r="G6">
        <v>1</v>
      </c>
    </row>
    <row r="7" spans="1:15" x14ac:dyDescent="0.25">
      <c r="A7" s="3" t="s">
        <v>56</v>
      </c>
      <c r="B7">
        <v>-1</v>
      </c>
      <c r="C7">
        <v>-1</v>
      </c>
      <c r="D7">
        <v>-1</v>
      </c>
      <c r="E7">
        <v>1</v>
      </c>
      <c r="F7">
        <v>-1</v>
      </c>
      <c r="G7">
        <v>1</v>
      </c>
    </row>
    <row r="8" spans="1:15" x14ac:dyDescent="0.25">
      <c r="A8" s="3" t="s">
        <v>58</v>
      </c>
      <c r="B8">
        <v>-1</v>
      </c>
      <c r="C8">
        <v>-1</v>
      </c>
      <c r="D8">
        <v>-1</v>
      </c>
      <c r="E8">
        <v>1</v>
      </c>
      <c r="F8">
        <v>-1</v>
      </c>
      <c r="G8">
        <v>1</v>
      </c>
    </row>
    <row r="9" spans="1:15" x14ac:dyDescent="0.25">
      <c r="A9" s="3" t="s">
        <v>60</v>
      </c>
      <c r="B9">
        <v>-1</v>
      </c>
      <c r="C9">
        <v>-1</v>
      </c>
      <c r="D9">
        <v>1</v>
      </c>
      <c r="E9">
        <v>-1</v>
      </c>
      <c r="F9">
        <v>-1</v>
      </c>
      <c r="G9">
        <v>1</v>
      </c>
    </row>
    <row r="10" spans="1:15" x14ac:dyDescent="0.25">
      <c r="A10" s="3" t="s">
        <v>63</v>
      </c>
      <c r="B10">
        <v>-1</v>
      </c>
      <c r="C10">
        <v>-1</v>
      </c>
      <c r="D10">
        <v>-1</v>
      </c>
      <c r="E10">
        <v>1</v>
      </c>
      <c r="F10">
        <v>-1</v>
      </c>
      <c r="G10">
        <v>1</v>
      </c>
    </row>
    <row r="11" spans="1:15" x14ac:dyDescent="0.25">
      <c r="A11" s="3" t="s">
        <v>65</v>
      </c>
      <c r="B11">
        <v>-1</v>
      </c>
      <c r="C11">
        <v>1</v>
      </c>
      <c r="D11">
        <v>-1</v>
      </c>
      <c r="E11">
        <v>-1</v>
      </c>
      <c r="F11">
        <v>-1</v>
      </c>
      <c r="G11">
        <v>1</v>
      </c>
    </row>
    <row r="12" spans="1:15" x14ac:dyDescent="0.25">
      <c r="A12" s="3" t="s">
        <v>68</v>
      </c>
      <c r="B12">
        <v>-1</v>
      </c>
      <c r="C12">
        <v>1</v>
      </c>
      <c r="D12">
        <v>-1</v>
      </c>
      <c r="E12">
        <v>-1</v>
      </c>
      <c r="F12">
        <v>-1</v>
      </c>
      <c r="G12">
        <v>1</v>
      </c>
    </row>
    <row r="13" spans="1:15" x14ac:dyDescent="0.25">
      <c r="A13" s="3" t="s">
        <v>70</v>
      </c>
      <c r="B13">
        <v>-1</v>
      </c>
      <c r="C13">
        <v>-1</v>
      </c>
      <c r="D13">
        <v>-1</v>
      </c>
      <c r="E13">
        <v>1</v>
      </c>
      <c r="F13">
        <v>-1</v>
      </c>
      <c r="G13">
        <v>1</v>
      </c>
    </row>
    <row r="14" spans="1:15" x14ac:dyDescent="0.25">
      <c r="A14" s="3" t="s">
        <v>72</v>
      </c>
      <c r="B14">
        <v>-1</v>
      </c>
      <c r="C14">
        <v>-1</v>
      </c>
      <c r="D14">
        <v>-1</v>
      </c>
      <c r="E14">
        <v>1</v>
      </c>
      <c r="F14">
        <v>-1</v>
      </c>
      <c r="G14">
        <v>1</v>
      </c>
    </row>
    <row r="15" spans="1:15" x14ac:dyDescent="0.25">
      <c r="A15" s="3" t="s">
        <v>74</v>
      </c>
      <c r="B15">
        <v>-1</v>
      </c>
      <c r="C15">
        <v>-1</v>
      </c>
      <c r="D15">
        <v>-1</v>
      </c>
      <c r="E15">
        <v>1</v>
      </c>
      <c r="F15">
        <v>-1</v>
      </c>
      <c r="G15">
        <v>1</v>
      </c>
    </row>
    <row r="16" spans="1:15" x14ac:dyDescent="0.25">
      <c r="A16" s="3" t="s">
        <v>76</v>
      </c>
      <c r="B16">
        <v>-1</v>
      </c>
      <c r="C16">
        <v>-1</v>
      </c>
      <c r="D16">
        <v>-1</v>
      </c>
      <c r="E16">
        <v>1</v>
      </c>
      <c r="F16">
        <v>-1</v>
      </c>
      <c r="G16">
        <v>1</v>
      </c>
      <c r="L16" t="s">
        <v>32</v>
      </c>
      <c r="M16">
        <v>2</v>
      </c>
      <c r="N16">
        <v>2</v>
      </c>
      <c r="O16">
        <v>2</v>
      </c>
    </row>
    <row r="17" spans="1:15" x14ac:dyDescent="0.25">
      <c r="A17" s="3" t="s">
        <v>78</v>
      </c>
      <c r="B17">
        <v>-1</v>
      </c>
      <c r="C17">
        <v>-1</v>
      </c>
      <c r="D17">
        <v>-1</v>
      </c>
      <c r="E17">
        <v>1</v>
      </c>
      <c r="F17">
        <v>-1</v>
      </c>
      <c r="G17">
        <v>1</v>
      </c>
      <c r="L17" t="s">
        <v>33</v>
      </c>
      <c r="M17" t="s">
        <v>227</v>
      </c>
      <c r="N17" t="s">
        <v>225</v>
      </c>
      <c r="O17" t="s">
        <v>226</v>
      </c>
    </row>
    <row r="18" spans="1:15" x14ac:dyDescent="0.25">
      <c r="A18" s="3" t="s">
        <v>80</v>
      </c>
      <c r="B18">
        <v>-1</v>
      </c>
      <c r="C18">
        <v>-1</v>
      </c>
      <c r="D18">
        <v>-1</v>
      </c>
      <c r="E18">
        <v>1</v>
      </c>
      <c r="F18">
        <v>-1</v>
      </c>
      <c r="G18">
        <v>1</v>
      </c>
      <c r="L18" t="s">
        <v>34</v>
      </c>
      <c r="M18" s="5" t="s">
        <v>229</v>
      </c>
      <c r="N18" s="5" t="s">
        <v>230</v>
      </c>
      <c r="O18" s="5" t="s">
        <v>231</v>
      </c>
    </row>
    <row r="19" spans="1:15" x14ac:dyDescent="0.25">
      <c r="A19" s="3" t="s">
        <v>82</v>
      </c>
      <c r="B19">
        <v>-1</v>
      </c>
      <c r="C19">
        <v>-1</v>
      </c>
      <c r="D19">
        <v>-1</v>
      </c>
      <c r="E19">
        <v>1</v>
      </c>
      <c r="F19">
        <v>-1</v>
      </c>
      <c r="G19">
        <v>1</v>
      </c>
    </row>
    <row r="20" spans="1:15" x14ac:dyDescent="0.25">
      <c r="A20" s="3" t="s">
        <v>84</v>
      </c>
      <c r="B20">
        <v>-1</v>
      </c>
      <c r="C20">
        <v>-1</v>
      </c>
      <c r="D20">
        <v>-1</v>
      </c>
      <c r="E20">
        <v>1</v>
      </c>
      <c r="F20">
        <v>-1</v>
      </c>
      <c r="G20">
        <v>1</v>
      </c>
    </row>
    <row r="21" spans="1:15" x14ac:dyDescent="0.25">
      <c r="A21" s="3" t="s">
        <v>86</v>
      </c>
      <c r="B21">
        <v>-1</v>
      </c>
      <c r="C21">
        <v>-1</v>
      </c>
      <c r="D21">
        <v>-1</v>
      </c>
      <c r="E21">
        <v>1</v>
      </c>
      <c r="F21">
        <v>-1</v>
      </c>
      <c r="G21">
        <v>1</v>
      </c>
    </row>
    <row r="22" spans="1:15" x14ac:dyDescent="0.25">
      <c r="A22" s="3" t="s">
        <v>89</v>
      </c>
      <c r="B22">
        <v>1</v>
      </c>
      <c r="C22">
        <v>-1</v>
      </c>
      <c r="D22">
        <v>-1</v>
      </c>
      <c r="E22">
        <v>-1</v>
      </c>
      <c r="F22">
        <v>-1</v>
      </c>
      <c r="G22">
        <v>1</v>
      </c>
    </row>
    <row r="23" spans="1:15" x14ac:dyDescent="0.25">
      <c r="A23" s="3" t="s">
        <v>92</v>
      </c>
      <c r="B23">
        <v>-1</v>
      </c>
      <c r="C23">
        <v>-1</v>
      </c>
      <c r="D23">
        <v>-1</v>
      </c>
      <c r="E23">
        <v>1</v>
      </c>
      <c r="F23">
        <v>-1</v>
      </c>
      <c r="G23">
        <v>1</v>
      </c>
    </row>
    <row r="24" spans="1:15" x14ac:dyDescent="0.25">
      <c r="A24" s="3" t="s">
        <v>94</v>
      </c>
      <c r="B24">
        <v>-1</v>
      </c>
      <c r="C24">
        <v>-1</v>
      </c>
      <c r="D24">
        <v>-1</v>
      </c>
      <c r="E24">
        <v>1</v>
      </c>
      <c r="F24">
        <v>-1</v>
      </c>
      <c r="G24">
        <v>1</v>
      </c>
    </row>
    <row r="25" spans="1:15" x14ac:dyDescent="0.25">
      <c r="A25" s="3" t="s">
        <v>96</v>
      </c>
      <c r="B25">
        <v>-1</v>
      </c>
      <c r="C25">
        <v>-1</v>
      </c>
      <c r="D25">
        <v>-1</v>
      </c>
      <c r="E25">
        <v>1</v>
      </c>
      <c r="F25">
        <v>-1</v>
      </c>
      <c r="G25">
        <v>1</v>
      </c>
    </row>
    <row r="26" spans="1:15" x14ac:dyDescent="0.25">
      <c r="A26" s="3" t="s">
        <v>98</v>
      </c>
      <c r="B26">
        <v>-1</v>
      </c>
      <c r="C26">
        <v>-1</v>
      </c>
      <c r="D26">
        <v>-1</v>
      </c>
      <c r="E26">
        <v>1</v>
      </c>
      <c r="F26">
        <v>-1</v>
      </c>
      <c r="G26">
        <v>1</v>
      </c>
    </row>
    <row r="27" spans="1:15" x14ac:dyDescent="0.25">
      <c r="A27" s="3" t="s">
        <v>100</v>
      </c>
      <c r="B27">
        <v>-1</v>
      </c>
      <c r="C27">
        <v>-1</v>
      </c>
      <c r="D27">
        <v>-1</v>
      </c>
      <c r="E27">
        <v>1</v>
      </c>
      <c r="F27">
        <v>-1</v>
      </c>
      <c r="G27">
        <v>1</v>
      </c>
    </row>
    <row r="28" spans="1:15" x14ac:dyDescent="0.25">
      <c r="A28" s="3" t="s">
        <v>102</v>
      </c>
      <c r="B28">
        <v>-1</v>
      </c>
      <c r="C28">
        <v>-1</v>
      </c>
      <c r="D28">
        <v>-1</v>
      </c>
      <c r="E28">
        <v>1</v>
      </c>
      <c r="F28">
        <v>-1</v>
      </c>
      <c r="G28">
        <v>1</v>
      </c>
    </row>
    <row r="29" spans="1:15" x14ac:dyDescent="0.25">
      <c r="A29" s="3" t="s">
        <v>104</v>
      </c>
      <c r="B29">
        <v>-1</v>
      </c>
      <c r="C29">
        <v>-1</v>
      </c>
      <c r="D29">
        <v>-1</v>
      </c>
      <c r="E29">
        <v>1</v>
      </c>
      <c r="F29">
        <v>-1</v>
      </c>
      <c r="G29">
        <v>1</v>
      </c>
    </row>
    <row r="30" spans="1:15" x14ac:dyDescent="0.25">
      <c r="A30" s="3" t="s">
        <v>106</v>
      </c>
      <c r="B30">
        <v>-1</v>
      </c>
      <c r="C30">
        <v>-1</v>
      </c>
      <c r="D30">
        <v>-1</v>
      </c>
      <c r="E30">
        <v>1</v>
      </c>
      <c r="F30">
        <v>-1</v>
      </c>
      <c r="G30">
        <v>1</v>
      </c>
    </row>
    <row r="31" spans="1:15" x14ac:dyDescent="0.25">
      <c r="A31" s="3" t="s">
        <v>108</v>
      </c>
      <c r="B31">
        <v>-1</v>
      </c>
      <c r="C31">
        <v>-1</v>
      </c>
      <c r="D31">
        <v>-1</v>
      </c>
      <c r="E31">
        <v>1</v>
      </c>
      <c r="F31">
        <v>-1</v>
      </c>
      <c r="G31">
        <v>1</v>
      </c>
    </row>
    <row r="32" spans="1:15" x14ac:dyDescent="0.25">
      <c r="A32" s="3" t="s">
        <v>110</v>
      </c>
      <c r="B32">
        <v>-1</v>
      </c>
      <c r="C32">
        <v>-1</v>
      </c>
      <c r="D32">
        <v>-1</v>
      </c>
      <c r="E32">
        <v>1</v>
      </c>
      <c r="F32">
        <v>-1</v>
      </c>
      <c r="G32">
        <v>1</v>
      </c>
    </row>
    <row r="33" spans="1:7" x14ac:dyDescent="0.25">
      <c r="A33" s="3" t="s">
        <v>112</v>
      </c>
      <c r="B33">
        <v>-1</v>
      </c>
      <c r="C33">
        <v>-1</v>
      </c>
      <c r="D33">
        <v>-1</v>
      </c>
      <c r="E33">
        <v>1</v>
      </c>
      <c r="F33">
        <v>-1</v>
      </c>
      <c r="G33">
        <v>1</v>
      </c>
    </row>
    <row r="34" spans="1:7" x14ac:dyDescent="0.25">
      <c r="A34" s="3" t="s">
        <v>114</v>
      </c>
      <c r="B34">
        <v>-1</v>
      </c>
      <c r="C34">
        <v>-1</v>
      </c>
      <c r="D34">
        <v>-1</v>
      </c>
      <c r="E34">
        <v>1</v>
      </c>
      <c r="F34">
        <v>-1</v>
      </c>
      <c r="G34">
        <v>1</v>
      </c>
    </row>
    <row r="35" spans="1:7" x14ac:dyDescent="0.25">
      <c r="A35" s="3" t="s">
        <v>116</v>
      </c>
      <c r="B35">
        <v>-1</v>
      </c>
      <c r="C35">
        <v>-1</v>
      </c>
      <c r="D35">
        <v>-1</v>
      </c>
      <c r="E35">
        <v>1</v>
      </c>
      <c r="F35">
        <v>-1</v>
      </c>
      <c r="G35">
        <v>1</v>
      </c>
    </row>
    <row r="36" spans="1:7" x14ac:dyDescent="0.25">
      <c r="A36" s="3" t="s">
        <v>118</v>
      </c>
      <c r="B36">
        <v>-1</v>
      </c>
      <c r="C36">
        <v>-1</v>
      </c>
      <c r="D36">
        <v>-1</v>
      </c>
      <c r="E36">
        <v>1</v>
      </c>
      <c r="F36">
        <v>-1</v>
      </c>
      <c r="G36">
        <v>1</v>
      </c>
    </row>
    <row r="37" spans="1:7" x14ac:dyDescent="0.25">
      <c r="A37" s="3" t="s">
        <v>120</v>
      </c>
      <c r="B37">
        <v>-1</v>
      </c>
      <c r="C37">
        <v>-1</v>
      </c>
      <c r="D37">
        <v>-1</v>
      </c>
      <c r="E37">
        <v>1</v>
      </c>
      <c r="F37">
        <v>-1</v>
      </c>
      <c r="G37">
        <v>1</v>
      </c>
    </row>
    <row r="38" spans="1:7" x14ac:dyDescent="0.25">
      <c r="A38" s="3" t="s">
        <v>122</v>
      </c>
      <c r="B38">
        <v>-1</v>
      </c>
      <c r="C38">
        <v>-1</v>
      </c>
      <c r="D38">
        <v>-1</v>
      </c>
      <c r="E38">
        <v>1</v>
      </c>
      <c r="F38">
        <v>-1</v>
      </c>
      <c r="G38">
        <v>1</v>
      </c>
    </row>
    <row r="39" spans="1:7" x14ac:dyDescent="0.25">
      <c r="A39" s="3" t="s">
        <v>124</v>
      </c>
      <c r="B39">
        <v>-1</v>
      </c>
      <c r="C39">
        <v>-1</v>
      </c>
      <c r="D39">
        <v>-1</v>
      </c>
      <c r="E39">
        <v>1</v>
      </c>
      <c r="F39">
        <v>-1</v>
      </c>
      <c r="G39">
        <v>1</v>
      </c>
    </row>
    <row r="40" spans="1:7" x14ac:dyDescent="0.25">
      <c r="A40" s="3" t="s">
        <v>126</v>
      </c>
      <c r="B40">
        <v>-1</v>
      </c>
      <c r="C40">
        <v>-1</v>
      </c>
      <c r="D40">
        <v>-1</v>
      </c>
      <c r="E40">
        <v>1</v>
      </c>
      <c r="F40">
        <v>-1</v>
      </c>
      <c r="G40">
        <v>1</v>
      </c>
    </row>
    <row r="41" spans="1:7" x14ac:dyDescent="0.25">
      <c r="A41" s="3" t="s">
        <v>128</v>
      </c>
      <c r="B41">
        <v>-1</v>
      </c>
      <c r="C41">
        <v>-1</v>
      </c>
      <c r="D41">
        <v>-1</v>
      </c>
      <c r="E41">
        <v>1</v>
      </c>
      <c r="F41">
        <v>-1</v>
      </c>
      <c r="G41">
        <v>1</v>
      </c>
    </row>
    <row r="42" spans="1:7" x14ac:dyDescent="0.25">
      <c r="A42" s="3" t="s">
        <v>130</v>
      </c>
      <c r="B42">
        <v>-1</v>
      </c>
      <c r="C42">
        <v>-1</v>
      </c>
      <c r="D42">
        <v>-1</v>
      </c>
      <c r="E42">
        <v>1</v>
      </c>
      <c r="F42">
        <v>-1</v>
      </c>
      <c r="G42">
        <v>1</v>
      </c>
    </row>
    <row r="43" spans="1:7" x14ac:dyDescent="0.25">
      <c r="A43" s="3" t="s">
        <v>132</v>
      </c>
      <c r="B43">
        <v>-1</v>
      </c>
      <c r="C43">
        <v>-1</v>
      </c>
      <c r="D43">
        <v>-1</v>
      </c>
      <c r="E43">
        <v>1</v>
      </c>
      <c r="F43">
        <v>-1</v>
      </c>
      <c r="G43">
        <v>1</v>
      </c>
    </row>
    <row r="44" spans="1:7" x14ac:dyDescent="0.25">
      <c r="A44" s="3" t="s">
        <v>134</v>
      </c>
      <c r="B44">
        <v>-1</v>
      </c>
      <c r="C44">
        <v>-1</v>
      </c>
      <c r="D44">
        <v>-1</v>
      </c>
      <c r="E44">
        <v>1</v>
      </c>
      <c r="F44">
        <v>-1</v>
      </c>
      <c r="G44">
        <v>1</v>
      </c>
    </row>
    <row r="45" spans="1:7" x14ac:dyDescent="0.25">
      <c r="A45" s="3" t="s">
        <v>136</v>
      </c>
      <c r="B45">
        <v>-1</v>
      </c>
      <c r="C45">
        <v>-1</v>
      </c>
      <c r="D45">
        <v>-1</v>
      </c>
      <c r="E45">
        <v>1</v>
      </c>
      <c r="F45">
        <v>-1</v>
      </c>
      <c r="G45">
        <v>1</v>
      </c>
    </row>
    <row r="46" spans="1:7" x14ac:dyDescent="0.25">
      <c r="A46" s="3" t="s">
        <v>138</v>
      </c>
      <c r="B46">
        <v>-1</v>
      </c>
      <c r="C46">
        <v>-1</v>
      </c>
      <c r="D46">
        <v>-1</v>
      </c>
      <c r="E46">
        <v>1</v>
      </c>
      <c r="F46">
        <v>-1</v>
      </c>
      <c r="G46">
        <v>1</v>
      </c>
    </row>
    <row r="47" spans="1:7" x14ac:dyDescent="0.25">
      <c r="A47" s="3" t="s">
        <v>140</v>
      </c>
      <c r="B47">
        <v>-1</v>
      </c>
      <c r="C47">
        <v>-1</v>
      </c>
      <c r="D47">
        <v>-1</v>
      </c>
      <c r="E47">
        <v>1</v>
      </c>
      <c r="F47">
        <v>-1</v>
      </c>
      <c r="G47">
        <v>1</v>
      </c>
    </row>
    <row r="48" spans="1:7" x14ac:dyDescent="0.25">
      <c r="A48" s="3" t="s">
        <v>142</v>
      </c>
      <c r="B48">
        <v>-1</v>
      </c>
      <c r="C48">
        <v>-1</v>
      </c>
      <c r="D48">
        <v>-1</v>
      </c>
      <c r="E48">
        <v>1</v>
      </c>
      <c r="F48">
        <v>-1</v>
      </c>
      <c r="G48">
        <v>1</v>
      </c>
    </row>
    <row r="49" spans="1:7" x14ac:dyDescent="0.25">
      <c r="A49" s="3" t="s">
        <v>144</v>
      </c>
      <c r="B49">
        <v>-1</v>
      </c>
      <c r="C49">
        <v>-1</v>
      </c>
      <c r="D49">
        <v>-1</v>
      </c>
      <c r="E49">
        <v>1</v>
      </c>
      <c r="F49">
        <v>-1</v>
      </c>
      <c r="G49">
        <v>1</v>
      </c>
    </row>
    <row r="50" spans="1:7" x14ac:dyDescent="0.25">
      <c r="A50" s="3" t="s">
        <v>146</v>
      </c>
      <c r="B50">
        <v>-1</v>
      </c>
      <c r="C50">
        <v>-1</v>
      </c>
      <c r="D50">
        <v>-1</v>
      </c>
      <c r="E50">
        <v>1</v>
      </c>
      <c r="F50">
        <v>-1</v>
      </c>
      <c r="G50">
        <v>1</v>
      </c>
    </row>
    <row r="51" spans="1:7" x14ac:dyDescent="0.25">
      <c r="A51" s="3" t="s">
        <v>148</v>
      </c>
      <c r="B51">
        <v>-1</v>
      </c>
      <c r="C51">
        <v>-1</v>
      </c>
      <c r="D51">
        <v>-1</v>
      </c>
      <c r="E51">
        <v>1</v>
      </c>
      <c r="F51">
        <v>-1</v>
      </c>
      <c r="G51">
        <v>1</v>
      </c>
    </row>
    <row r="52" spans="1:7" x14ac:dyDescent="0.25">
      <c r="A52" s="3" t="s">
        <v>150</v>
      </c>
      <c r="B52">
        <v>-1</v>
      </c>
      <c r="C52">
        <v>-1</v>
      </c>
      <c r="D52">
        <v>-1</v>
      </c>
      <c r="E52">
        <v>1</v>
      </c>
      <c r="F52">
        <v>-1</v>
      </c>
      <c r="G52">
        <v>1</v>
      </c>
    </row>
    <row r="53" spans="1:7" x14ac:dyDescent="0.25">
      <c r="A53" s="3" t="s">
        <v>152</v>
      </c>
      <c r="B53">
        <v>-1</v>
      </c>
      <c r="C53">
        <v>-1</v>
      </c>
      <c r="D53">
        <v>-1</v>
      </c>
      <c r="E53">
        <v>1</v>
      </c>
      <c r="F53">
        <v>-1</v>
      </c>
      <c r="G53">
        <v>1</v>
      </c>
    </row>
    <row r="54" spans="1:7" x14ac:dyDescent="0.25">
      <c r="A54" s="3" t="s">
        <v>154</v>
      </c>
      <c r="B54">
        <v>-1</v>
      </c>
      <c r="C54">
        <v>-1</v>
      </c>
      <c r="D54">
        <v>-1</v>
      </c>
      <c r="E54">
        <v>1</v>
      </c>
      <c r="F54">
        <v>-1</v>
      </c>
      <c r="G54">
        <v>1</v>
      </c>
    </row>
    <row r="55" spans="1:7" x14ac:dyDescent="0.25">
      <c r="A55" s="3" t="s">
        <v>156</v>
      </c>
      <c r="B55">
        <v>-1</v>
      </c>
      <c r="C55">
        <v>-1</v>
      </c>
      <c r="D55">
        <v>-1</v>
      </c>
      <c r="E55">
        <v>1</v>
      </c>
      <c r="F55">
        <v>-1</v>
      </c>
      <c r="G55">
        <v>1</v>
      </c>
    </row>
    <row r="56" spans="1:7" x14ac:dyDescent="0.25">
      <c r="A56" s="3" t="s">
        <v>158</v>
      </c>
      <c r="B56">
        <v>-1</v>
      </c>
      <c r="C56">
        <v>-1</v>
      </c>
      <c r="D56">
        <v>-1</v>
      </c>
      <c r="E56">
        <v>1</v>
      </c>
      <c r="F56">
        <v>-1</v>
      </c>
      <c r="G56">
        <v>1</v>
      </c>
    </row>
    <row r="57" spans="1:7" x14ac:dyDescent="0.25">
      <c r="A57" s="3" t="s">
        <v>160</v>
      </c>
      <c r="B57">
        <v>-1</v>
      </c>
      <c r="C57">
        <v>-1</v>
      </c>
      <c r="D57">
        <v>-1</v>
      </c>
      <c r="E57">
        <v>1</v>
      </c>
      <c r="F57">
        <v>-1</v>
      </c>
      <c r="G57">
        <v>1</v>
      </c>
    </row>
    <row r="58" spans="1:7" x14ac:dyDescent="0.25">
      <c r="A58" s="3" t="s">
        <v>162</v>
      </c>
      <c r="B58">
        <v>-1</v>
      </c>
      <c r="C58">
        <v>-1</v>
      </c>
      <c r="D58">
        <v>-1</v>
      </c>
      <c r="E58">
        <v>1</v>
      </c>
      <c r="F58">
        <v>-1</v>
      </c>
      <c r="G58">
        <v>1</v>
      </c>
    </row>
    <row r="59" spans="1:7" x14ac:dyDescent="0.25">
      <c r="A59" s="3" t="s">
        <v>164</v>
      </c>
      <c r="B59">
        <v>-1</v>
      </c>
      <c r="C59">
        <v>-1</v>
      </c>
      <c r="D59">
        <v>-1</v>
      </c>
      <c r="E59">
        <v>1</v>
      </c>
      <c r="F59">
        <v>-1</v>
      </c>
      <c r="G59">
        <v>1</v>
      </c>
    </row>
    <row r="60" spans="1:7" x14ac:dyDescent="0.25">
      <c r="A60" s="3" t="s">
        <v>166</v>
      </c>
      <c r="B60">
        <v>-1</v>
      </c>
      <c r="C60">
        <v>-1</v>
      </c>
      <c r="D60">
        <v>-1</v>
      </c>
      <c r="E60">
        <v>1</v>
      </c>
      <c r="F60">
        <v>-1</v>
      </c>
      <c r="G60">
        <v>1</v>
      </c>
    </row>
    <row r="61" spans="1:7" x14ac:dyDescent="0.25">
      <c r="A61" s="3" t="s">
        <v>168</v>
      </c>
      <c r="B61">
        <v>-1</v>
      </c>
      <c r="C61">
        <v>-1</v>
      </c>
      <c r="D61">
        <v>-1</v>
      </c>
      <c r="E61">
        <v>1</v>
      </c>
      <c r="F61">
        <v>-1</v>
      </c>
      <c r="G61">
        <v>1</v>
      </c>
    </row>
    <row r="62" spans="1:7" x14ac:dyDescent="0.25">
      <c r="A62" s="3" t="s">
        <v>170</v>
      </c>
      <c r="B62">
        <v>-1</v>
      </c>
      <c r="C62">
        <v>-1</v>
      </c>
      <c r="D62">
        <v>-1</v>
      </c>
      <c r="E62">
        <v>1</v>
      </c>
      <c r="F62">
        <v>-1</v>
      </c>
      <c r="G62">
        <v>1</v>
      </c>
    </row>
    <row r="63" spans="1:7" x14ac:dyDescent="0.25">
      <c r="A63" s="3" t="s">
        <v>172</v>
      </c>
      <c r="B63">
        <v>-1</v>
      </c>
      <c r="C63">
        <v>-1</v>
      </c>
      <c r="D63">
        <v>-1</v>
      </c>
      <c r="E63">
        <v>1</v>
      </c>
      <c r="F63">
        <v>-1</v>
      </c>
      <c r="G63">
        <v>1</v>
      </c>
    </row>
    <row r="64" spans="1:7" x14ac:dyDescent="0.25">
      <c r="A64" s="3" t="s">
        <v>174</v>
      </c>
      <c r="B64">
        <v>-1</v>
      </c>
      <c r="C64">
        <v>-1</v>
      </c>
      <c r="D64">
        <v>-1</v>
      </c>
      <c r="E64">
        <v>1</v>
      </c>
      <c r="F64">
        <v>-1</v>
      </c>
      <c r="G64">
        <v>1</v>
      </c>
    </row>
    <row r="65" spans="1:7" x14ac:dyDescent="0.25">
      <c r="A65" s="3" t="s">
        <v>176</v>
      </c>
      <c r="B65">
        <v>-1</v>
      </c>
      <c r="C65">
        <v>-1</v>
      </c>
      <c r="D65">
        <v>-1</v>
      </c>
      <c r="E65">
        <v>1</v>
      </c>
      <c r="F65">
        <v>-1</v>
      </c>
      <c r="G65">
        <v>1</v>
      </c>
    </row>
    <row r="66" spans="1:7" x14ac:dyDescent="0.25">
      <c r="A66" s="3" t="s">
        <v>178</v>
      </c>
      <c r="B66">
        <v>-1</v>
      </c>
      <c r="C66">
        <v>-1</v>
      </c>
      <c r="D66">
        <v>-1</v>
      </c>
      <c r="E66">
        <v>1</v>
      </c>
      <c r="F66">
        <v>-1</v>
      </c>
      <c r="G66">
        <v>1</v>
      </c>
    </row>
    <row r="67" spans="1:7" x14ac:dyDescent="0.25">
      <c r="A67" s="3" t="s">
        <v>180</v>
      </c>
      <c r="B67">
        <v>-1</v>
      </c>
      <c r="C67">
        <v>-1</v>
      </c>
      <c r="D67">
        <v>-1</v>
      </c>
      <c r="E67">
        <v>1</v>
      </c>
      <c r="F67">
        <v>-1</v>
      </c>
      <c r="G67">
        <v>1</v>
      </c>
    </row>
    <row r="68" spans="1:7" x14ac:dyDescent="0.25">
      <c r="A68" s="3" t="s">
        <v>182</v>
      </c>
      <c r="B68">
        <v>-1</v>
      </c>
      <c r="C68">
        <v>-1</v>
      </c>
      <c r="D68">
        <v>-1</v>
      </c>
      <c r="E68">
        <v>1</v>
      </c>
      <c r="F68">
        <v>-1</v>
      </c>
      <c r="G68">
        <v>1</v>
      </c>
    </row>
    <row r="69" spans="1:7" x14ac:dyDescent="0.25">
      <c r="A69" s="3" t="s">
        <v>184</v>
      </c>
      <c r="B69">
        <v>-1</v>
      </c>
      <c r="C69">
        <v>-1</v>
      </c>
      <c r="D69">
        <v>-1</v>
      </c>
      <c r="E69">
        <v>1</v>
      </c>
      <c r="F69">
        <v>-1</v>
      </c>
      <c r="G69">
        <v>1</v>
      </c>
    </row>
    <row r="70" spans="1:7" x14ac:dyDescent="0.25">
      <c r="A70" s="3" t="s">
        <v>186</v>
      </c>
      <c r="B70">
        <v>-1</v>
      </c>
      <c r="C70">
        <v>-1</v>
      </c>
      <c r="D70">
        <v>-1</v>
      </c>
      <c r="E70">
        <v>1</v>
      </c>
      <c r="F70">
        <v>-1</v>
      </c>
      <c r="G70">
        <v>1</v>
      </c>
    </row>
    <row r="71" spans="1:7" x14ac:dyDescent="0.25">
      <c r="A71" s="3" t="s">
        <v>188</v>
      </c>
      <c r="B71">
        <v>-1</v>
      </c>
      <c r="C71">
        <v>-1</v>
      </c>
      <c r="D71">
        <v>-1</v>
      </c>
      <c r="E71">
        <v>1</v>
      </c>
      <c r="F71">
        <v>-1</v>
      </c>
      <c r="G71">
        <v>1</v>
      </c>
    </row>
    <row r="72" spans="1:7" x14ac:dyDescent="0.25">
      <c r="A72" s="3" t="s">
        <v>190</v>
      </c>
      <c r="B72">
        <v>-1</v>
      </c>
      <c r="C72">
        <v>-1</v>
      </c>
      <c r="D72">
        <v>-1</v>
      </c>
      <c r="E72">
        <v>1</v>
      </c>
      <c r="F72">
        <v>-1</v>
      </c>
      <c r="G72">
        <v>1</v>
      </c>
    </row>
    <row r="73" spans="1:7" x14ac:dyDescent="0.25">
      <c r="A73" s="3" t="s">
        <v>192</v>
      </c>
      <c r="B73">
        <v>-1</v>
      </c>
      <c r="C73">
        <v>-1</v>
      </c>
      <c r="D73">
        <v>-1</v>
      </c>
      <c r="E73">
        <v>1</v>
      </c>
      <c r="F73">
        <v>-1</v>
      </c>
      <c r="G73">
        <v>1</v>
      </c>
    </row>
    <row r="74" spans="1:7" x14ac:dyDescent="0.25">
      <c r="A74" s="3" t="s">
        <v>194</v>
      </c>
      <c r="B74">
        <v>-1</v>
      </c>
      <c r="C74">
        <v>-1</v>
      </c>
      <c r="D74">
        <v>-1</v>
      </c>
      <c r="E74">
        <v>1</v>
      </c>
      <c r="F74">
        <v>-1</v>
      </c>
      <c r="G74">
        <v>1</v>
      </c>
    </row>
    <row r="75" spans="1:7" x14ac:dyDescent="0.25">
      <c r="A75" s="3" t="s">
        <v>196</v>
      </c>
      <c r="B75">
        <v>-1</v>
      </c>
      <c r="C75">
        <v>-1</v>
      </c>
      <c r="D75">
        <v>-1</v>
      </c>
      <c r="E75">
        <v>1</v>
      </c>
      <c r="F75">
        <v>-1</v>
      </c>
      <c r="G75">
        <v>1</v>
      </c>
    </row>
    <row r="76" spans="1:7" x14ac:dyDescent="0.25">
      <c r="A76" s="3" t="s">
        <v>198</v>
      </c>
      <c r="B76">
        <v>-1</v>
      </c>
      <c r="C76">
        <v>-1</v>
      </c>
      <c r="D76">
        <v>-1</v>
      </c>
      <c r="E76">
        <v>1</v>
      </c>
      <c r="F76">
        <v>-1</v>
      </c>
      <c r="G76">
        <v>1</v>
      </c>
    </row>
    <row r="77" spans="1:7" x14ac:dyDescent="0.25">
      <c r="A77" s="3" t="s">
        <v>200</v>
      </c>
      <c r="B77">
        <v>-1</v>
      </c>
      <c r="C77">
        <v>-1</v>
      </c>
      <c r="D77">
        <v>-1</v>
      </c>
      <c r="E77">
        <v>1</v>
      </c>
      <c r="F77">
        <v>-1</v>
      </c>
      <c r="G77">
        <v>1</v>
      </c>
    </row>
    <row r="78" spans="1:7" x14ac:dyDescent="0.25">
      <c r="A78" s="3" t="s">
        <v>202</v>
      </c>
      <c r="B78">
        <v>-1</v>
      </c>
      <c r="C78">
        <v>-1</v>
      </c>
      <c r="D78">
        <v>-1</v>
      </c>
      <c r="E78">
        <v>1</v>
      </c>
      <c r="F78">
        <v>-1</v>
      </c>
      <c r="G78">
        <v>1</v>
      </c>
    </row>
    <row r="79" spans="1:7" x14ac:dyDescent="0.25">
      <c r="A79" s="3" t="s">
        <v>204</v>
      </c>
      <c r="B79">
        <v>-1</v>
      </c>
      <c r="C79">
        <v>-1</v>
      </c>
      <c r="D79">
        <v>-1</v>
      </c>
      <c r="E79">
        <v>1</v>
      </c>
      <c r="F79">
        <v>-1</v>
      </c>
      <c r="G79">
        <v>1</v>
      </c>
    </row>
    <row r="80" spans="1:7" x14ac:dyDescent="0.25">
      <c r="A80" s="3" t="s">
        <v>206</v>
      </c>
      <c r="B80">
        <v>-1</v>
      </c>
      <c r="C80">
        <v>-1</v>
      </c>
      <c r="D80">
        <v>-1</v>
      </c>
      <c r="E80">
        <v>1</v>
      </c>
      <c r="F80">
        <v>-1</v>
      </c>
      <c r="G80">
        <v>1</v>
      </c>
    </row>
    <row r="81" spans="1:7" x14ac:dyDescent="0.25">
      <c r="A81" s="3" t="s">
        <v>208</v>
      </c>
      <c r="B81">
        <v>-1</v>
      </c>
      <c r="C81">
        <v>-1</v>
      </c>
      <c r="D81">
        <v>-1</v>
      </c>
      <c r="E81">
        <v>1</v>
      </c>
      <c r="F81">
        <v>-1</v>
      </c>
      <c r="G81">
        <v>1</v>
      </c>
    </row>
    <row r="82" spans="1:7" x14ac:dyDescent="0.25">
      <c r="A82" s="3" t="s">
        <v>210</v>
      </c>
      <c r="B82">
        <v>-1</v>
      </c>
      <c r="C82">
        <v>-1</v>
      </c>
      <c r="D82">
        <v>-1</v>
      </c>
      <c r="E82">
        <v>1</v>
      </c>
      <c r="F82">
        <v>-1</v>
      </c>
      <c r="G82">
        <v>1</v>
      </c>
    </row>
    <row r="83" spans="1:7" x14ac:dyDescent="0.25">
      <c r="A83" s="3" t="s">
        <v>28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</row>
    <row r="84" spans="1:7" x14ac:dyDescent="0.25">
      <c r="A84" s="3" t="s">
        <v>29</v>
      </c>
      <c r="B84">
        <v>1</v>
      </c>
      <c r="C84">
        <v>2</v>
      </c>
      <c r="D84">
        <v>1</v>
      </c>
      <c r="E84">
        <v>74</v>
      </c>
      <c r="F84">
        <v>-1</v>
      </c>
      <c r="G84">
        <v>78</v>
      </c>
    </row>
  </sheetData>
  <hyperlinks>
    <hyperlink ref="M18" r:id="rId2" tooltip="#cc79a7 color" display="https://www.color-hex.com/color/cc79a7" xr:uid="{723A4B9B-2D7F-4CE6-A048-EF3D32AB1519}"/>
    <hyperlink ref="N18" r:id="rId3" tooltip="#0072b2 color" display="https://www.color-hex.com/color/0072b2" xr:uid="{B166C8A8-A724-4724-9CC0-9C2094423DEE}"/>
    <hyperlink ref="O18" r:id="rId4" tooltip="#009e73 color" display="https://www.color-hex.com/color/009e73" xr:uid="{3EF2771C-C15B-4A41-A8C6-B022C6CEAA8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5593-BF81-4664-B1F0-C622E9DA82E7}">
  <dimension ref="A1:Q34"/>
  <sheetViews>
    <sheetView workbookViewId="0">
      <selection activeCell="W35" sqref="W35"/>
    </sheetView>
  </sheetViews>
  <sheetFormatPr defaultRowHeight="15" x14ac:dyDescent="0.25"/>
  <cols>
    <col min="1" max="1" width="16.5703125" bestFit="1" customWidth="1"/>
    <col min="2" max="2" width="16.85546875" bestFit="1" customWidth="1"/>
    <col min="3" max="3" width="12.28515625" bestFit="1" customWidth="1"/>
    <col min="4" max="4" width="5.85546875" bestFit="1" customWidth="1"/>
    <col min="5" max="5" width="5.28515625" bestFit="1" customWidth="1"/>
    <col min="6" max="6" width="14.42578125" bestFit="1" customWidth="1"/>
    <col min="7" max="7" width="6.140625" bestFit="1" customWidth="1"/>
    <col min="8" max="8" width="5.85546875" bestFit="1" customWidth="1"/>
    <col min="9" max="11" width="8.85546875" bestFit="1" customWidth="1"/>
    <col min="12" max="12" width="7.85546875" bestFit="1" customWidth="1"/>
    <col min="13" max="13" width="11.28515625" bestFit="1" customWidth="1"/>
  </cols>
  <sheetData>
    <row r="1" spans="1:13" x14ac:dyDescent="0.25">
      <c r="A1" s="2" t="s">
        <v>30</v>
      </c>
      <c r="B1" s="2" t="s">
        <v>31</v>
      </c>
    </row>
    <row r="2" spans="1:13" x14ac:dyDescent="0.25">
      <c r="A2" s="2" t="s">
        <v>27</v>
      </c>
      <c r="B2" t="s">
        <v>12</v>
      </c>
      <c r="C2" t="s">
        <v>222</v>
      </c>
      <c r="D2" t="s">
        <v>219</v>
      </c>
      <c r="E2" t="s">
        <v>217</v>
      </c>
      <c r="F2" t="s">
        <v>11</v>
      </c>
      <c r="G2" t="s">
        <v>218</v>
      </c>
      <c r="H2" t="s">
        <v>10</v>
      </c>
      <c r="I2" t="s">
        <v>13</v>
      </c>
      <c r="J2" t="s">
        <v>221</v>
      </c>
      <c r="K2" t="s">
        <v>14</v>
      </c>
      <c r="L2" t="s">
        <v>220</v>
      </c>
      <c r="M2" t="s">
        <v>29</v>
      </c>
    </row>
    <row r="3" spans="1:13" x14ac:dyDescent="0.25">
      <c r="A3" s="3" t="s">
        <v>56</v>
      </c>
      <c r="B3">
        <v>-1</v>
      </c>
      <c r="C3">
        <v>-1</v>
      </c>
      <c r="D3">
        <v>-1</v>
      </c>
      <c r="E3">
        <v>1</v>
      </c>
      <c r="F3">
        <v>1</v>
      </c>
      <c r="G3">
        <v>-1</v>
      </c>
      <c r="H3">
        <v>-1</v>
      </c>
      <c r="I3">
        <v>-1</v>
      </c>
      <c r="J3">
        <v>1</v>
      </c>
      <c r="K3">
        <v>-1</v>
      </c>
      <c r="L3">
        <v>-1</v>
      </c>
      <c r="M3">
        <v>3</v>
      </c>
    </row>
    <row r="4" spans="1:13" x14ac:dyDescent="0.25">
      <c r="A4" s="3" t="s">
        <v>60</v>
      </c>
      <c r="B4">
        <v>-1</v>
      </c>
      <c r="C4">
        <v>1</v>
      </c>
      <c r="D4">
        <v>-1</v>
      </c>
      <c r="E4">
        <v>-1</v>
      </c>
      <c r="F4">
        <v>-1</v>
      </c>
      <c r="G4">
        <v>-1</v>
      </c>
      <c r="H4">
        <v>-1</v>
      </c>
      <c r="I4">
        <v>1</v>
      </c>
      <c r="J4">
        <v>1</v>
      </c>
      <c r="K4">
        <v>-1</v>
      </c>
      <c r="L4">
        <v>-1</v>
      </c>
      <c r="M4">
        <v>3</v>
      </c>
    </row>
    <row r="5" spans="1:13" x14ac:dyDescent="0.25">
      <c r="A5" s="3" t="s">
        <v>65</v>
      </c>
      <c r="B5">
        <v>-1</v>
      </c>
      <c r="C5">
        <v>-1</v>
      </c>
      <c r="D5">
        <v>-1</v>
      </c>
      <c r="E5">
        <v>-1</v>
      </c>
      <c r="F5">
        <v>-1</v>
      </c>
      <c r="G5">
        <v>1</v>
      </c>
      <c r="H5">
        <v>-1</v>
      </c>
      <c r="I5">
        <v>-1</v>
      </c>
      <c r="J5">
        <v>-1</v>
      </c>
      <c r="K5">
        <v>-1</v>
      </c>
      <c r="L5">
        <v>-1</v>
      </c>
      <c r="M5">
        <v>1</v>
      </c>
    </row>
    <row r="6" spans="1:13" x14ac:dyDescent="0.25">
      <c r="A6" s="3" t="s">
        <v>72</v>
      </c>
      <c r="B6">
        <v>1</v>
      </c>
      <c r="C6">
        <v>-1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1</v>
      </c>
    </row>
    <row r="7" spans="1:13" x14ac:dyDescent="0.25">
      <c r="A7" s="3" t="s">
        <v>74</v>
      </c>
      <c r="B7">
        <v>-1</v>
      </c>
      <c r="C7">
        <v>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1</v>
      </c>
    </row>
    <row r="8" spans="1:13" x14ac:dyDescent="0.25">
      <c r="A8" s="3" t="s">
        <v>80</v>
      </c>
      <c r="B8">
        <v>1</v>
      </c>
      <c r="C8">
        <v>-1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1</v>
      </c>
    </row>
    <row r="9" spans="1:13" x14ac:dyDescent="0.25">
      <c r="A9" s="3" t="s">
        <v>84</v>
      </c>
      <c r="B9">
        <v>1</v>
      </c>
      <c r="C9">
        <v>-1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1</v>
      </c>
      <c r="K9">
        <v>-1</v>
      </c>
      <c r="L9">
        <v>-1</v>
      </c>
      <c r="M9">
        <v>2</v>
      </c>
    </row>
    <row r="10" spans="1:13" x14ac:dyDescent="0.25">
      <c r="A10" s="3" t="s">
        <v>86</v>
      </c>
      <c r="B10">
        <v>-1</v>
      </c>
      <c r="C10">
        <v>-1</v>
      </c>
      <c r="D10">
        <v>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1</v>
      </c>
    </row>
    <row r="11" spans="1:13" x14ac:dyDescent="0.25">
      <c r="A11" s="3" t="s">
        <v>89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1</v>
      </c>
      <c r="I11">
        <v>-1</v>
      </c>
      <c r="J11">
        <v>-1</v>
      </c>
      <c r="K11">
        <v>-1</v>
      </c>
      <c r="L11">
        <v>-1</v>
      </c>
      <c r="M11">
        <v>1</v>
      </c>
    </row>
    <row r="12" spans="1:13" x14ac:dyDescent="0.25">
      <c r="A12" s="3" t="s">
        <v>94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1</v>
      </c>
      <c r="K12">
        <v>1</v>
      </c>
      <c r="L12">
        <v>-1</v>
      </c>
      <c r="M12">
        <v>2</v>
      </c>
    </row>
    <row r="13" spans="1:13" x14ac:dyDescent="0.25">
      <c r="A13" s="3" t="s">
        <v>98</v>
      </c>
      <c r="B13">
        <v>-1</v>
      </c>
      <c r="C13">
        <v>-1</v>
      </c>
      <c r="D13">
        <v>-1</v>
      </c>
      <c r="E13">
        <v>-1</v>
      </c>
      <c r="F13">
        <v>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1</v>
      </c>
    </row>
    <row r="14" spans="1:13" x14ac:dyDescent="0.25">
      <c r="A14" s="3" t="s">
        <v>106</v>
      </c>
      <c r="B14">
        <v>-1</v>
      </c>
      <c r="C14">
        <v>-1</v>
      </c>
      <c r="D14">
        <v>-1</v>
      </c>
      <c r="E14">
        <v>-1</v>
      </c>
      <c r="F14">
        <v>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1</v>
      </c>
    </row>
    <row r="15" spans="1:13" x14ac:dyDescent="0.25">
      <c r="A15" s="3" t="s">
        <v>112</v>
      </c>
      <c r="B15">
        <v>-1</v>
      </c>
      <c r="C15">
        <v>-1</v>
      </c>
      <c r="D15">
        <v>-1</v>
      </c>
      <c r="E15">
        <v>-1</v>
      </c>
      <c r="F15">
        <v>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1</v>
      </c>
    </row>
    <row r="16" spans="1:13" x14ac:dyDescent="0.25">
      <c r="A16" s="3" t="s">
        <v>114</v>
      </c>
      <c r="B16">
        <v>-1</v>
      </c>
      <c r="C16">
        <v>-1</v>
      </c>
      <c r="D16">
        <v>-1</v>
      </c>
      <c r="E16">
        <v>-1</v>
      </c>
      <c r="F16">
        <v>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1</v>
      </c>
    </row>
    <row r="17" spans="1:17" x14ac:dyDescent="0.25">
      <c r="A17" s="3" t="s">
        <v>140</v>
      </c>
      <c r="B17">
        <v>-1</v>
      </c>
      <c r="C17">
        <v>-1</v>
      </c>
      <c r="D17">
        <v>-1</v>
      </c>
      <c r="E17">
        <v>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1</v>
      </c>
    </row>
    <row r="18" spans="1:17" x14ac:dyDescent="0.25">
      <c r="A18" s="3" t="s">
        <v>144</v>
      </c>
      <c r="B18">
        <v>-1</v>
      </c>
      <c r="C18">
        <v>-1</v>
      </c>
      <c r="D18">
        <v>-1</v>
      </c>
      <c r="E18">
        <v>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1</v>
      </c>
    </row>
    <row r="19" spans="1:17" x14ac:dyDescent="0.25">
      <c r="A19" s="3" t="s">
        <v>176</v>
      </c>
      <c r="B19">
        <v>-1</v>
      </c>
      <c r="C19">
        <v>-1</v>
      </c>
      <c r="D19">
        <v>-1</v>
      </c>
      <c r="E19">
        <v>-1</v>
      </c>
      <c r="F19">
        <v>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1</v>
      </c>
    </row>
    <row r="20" spans="1:17" x14ac:dyDescent="0.25">
      <c r="A20" s="3" t="s">
        <v>184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1</v>
      </c>
      <c r="M20">
        <v>1</v>
      </c>
    </row>
    <row r="21" spans="1:17" x14ac:dyDescent="0.25">
      <c r="A21" s="3" t="s">
        <v>206</v>
      </c>
      <c r="B21">
        <v>-1</v>
      </c>
      <c r="C21">
        <v>-1</v>
      </c>
      <c r="D21">
        <v>-1</v>
      </c>
      <c r="E21">
        <v>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1</v>
      </c>
    </row>
    <row r="22" spans="1:17" x14ac:dyDescent="0.25">
      <c r="A22" s="3" t="s">
        <v>208</v>
      </c>
      <c r="B22">
        <v>-1</v>
      </c>
      <c r="C22">
        <v>1</v>
      </c>
      <c r="D22">
        <v>-1</v>
      </c>
      <c r="E22">
        <v>-1</v>
      </c>
      <c r="F22">
        <v>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2</v>
      </c>
    </row>
    <row r="23" spans="1:17" x14ac:dyDescent="0.25">
      <c r="A23" s="3" t="s">
        <v>210</v>
      </c>
      <c r="B23">
        <v>-1</v>
      </c>
      <c r="C23">
        <v>-1</v>
      </c>
      <c r="D23">
        <v>1</v>
      </c>
      <c r="E23">
        <v>-1</v>
      </c>
      <c r="F23">
        <v>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2</v>
      </c>
    </row>
    <row r="24" spans="1:17" x14ac:dyDescent="0.25">
      <c r="A24" s="3" t="s">
        <v>29</v>
      </c>
      <c r="B24">
        <v>3</v>
      </c>
      <c r="C24">
        <v>3</v>
      </c>
      <c r="D24">
        <v>2</v>
      </c>
      <c r="E24">
        <v>4</v>
      </c>
      <c r="F24">
        <v>8</v>
      </c>
      <c r="G24">
        <v>1</v>
      </c>
      <c r="H24">
        <v>1</v>
      </c>
      <c r="I24">
        <v>1</v>
      </c>
      <c r="J24">
        <v>4</v>
      </c>
      <c r="K24">
        <v>1</v>
      </c>
      <c r="L24">
        <v>1</v>
      </c>
      <c r="M24">
        <v>29</v>
      </c>
    </row>
    <row r="32" spans="1:17" x14ac:dyDescent="0.25">
      <c r="F32" t="s">
        <v>32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6:17" x14ac:dyDescent="0.25">
      <c r="F33" t="s">
        <v>33</v>
      </c>
      <c r="G33" t="s">
        <v>12</v>
      </c>
      <c r="H33" t="s">
        <v>222</v>
      </c>
      <c r="I33" t="s">
        <v>219</v>
      </c>
      <c r="J33" t="s">
        <v>217</v>
      </c>
      <c r="K33" t="s">
        <v>11</v>
      </c>
      <c r="L33" t="s">
        <v>218</v>
      </c>
      <c r="M33" t="s">
        <v>10</v>
      </c>
      <c r="N33" t="s">
        <v>13</v>
      </c>
      <c r="O33" t="s">
        <v>221</v>
      </c>
      <c r="P33" t="s">
        <v>14</v>
      </c>
      <c r="Q33" t="s">
        <v>220</v>
      </c>
    </row>
    <row r="34" spans="6:17" x14ac:dyDescent="0.25">
      <c r="F34" t="s">
        <v>34</v>
      </c>
      <c r="G34" t="s">
        <v>232</v>
      </c>
      <c r="H34" t="s">
        <v>232</v>
      </c>
      <c r="I34" t="s">
        <v>232</v>
      </c>
      <c r="J34" t="s">
        <v>232</v>
      </c>
      <c r="K34" t="s">
        <v>232</v>
      </c>
      <c r="L34" t="s">
        <v>232</v>
      </c>
      <c r="M34" t="s">
        <v>232</v>
      </c>
      <c r="N34" t="s">
        <v>232</v>
      </c>
      <c r="O34" t="s">
        <v>232</v>
      </c>
      <c r="P34" t="s">
        <v>232</v>
      </c>
      <c r="Q34" t="s">
        <v>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F4BA-BE4A-435B-BB8B-68DCD198E974}">
  <dimension ref="A1:L22"/>
  <sheetViews>
    <sheetView workbookViewId="0">
      <selection activeCell="H27" sqref="H27"/>
    </sheetView>
  </sheetViews>
  <sheetFormatPr defaultRowHeight="15" x14ac:dyDescent="0.25"/>
  <sheetData>
    <row r="1" spans="1:12" x14ac:dyDescent="0.25">
      <c r="A1" t="s">
        <v>27</v>
      </c>
      <c r="B1" t="s">
        <v>12</v>
      </c>
      <c r="C1" t="s">
        <v>222</v>
      </c>
      <c r="D1" t="s">
        <v>219</v>
      </c>
      <c r="E1" t="s">
        <v>217</v>
      </c>
      <c r="F1" t="s">
        <v>11</v>
      </c>
      <c r="G1" t="s">
        <v>218</v>
      </c>
      <c r="H1" t="s">
        <v>10</v>
      </c>
      <c r="I1" t="s">
        <v>13</v>
      </c>
      <c r="J1" t="s">
        <v>221</v>
      </c>
      <c r="K1" t="s">
        <v>14</v>
      </c>
      <c r="L1" t="s">
        <v>220</v>
      </c>
    </row>
    <row r="2" spans="1:12" x14ac:dyDescent="0.25">
      <c r="A2" t="s">
        <v>56</v>
      </c>
      <c r="B2">
        <v>0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</row>
    <row r="3" spans="1:12" x14ac:dyDescent="0.25">
      <c r="A3" t="s">
        <v>60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</row>
    <row r="4" spans="1:12" x14ac:dyDescent="0.25">
      <c r="A4" t="s">
        <v>65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72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74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80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84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</row>
    <row r="9" spans="1:12" x14ac:dyDescent="0.25">
      <c r="A9" t="s">
        <v>86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t="s">
        <v>89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t="s">
        <v>94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</row>
    <row r="12" spans="1:12" x14ac:dyDescent="0.25">
      <c r="A12" t="s">
        <v>98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t="s">
        <v>112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t="s">
        <v>114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140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144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176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</row>
    <row r="20" spans="1:12" x14ac:dyDescent="0.25">
      <c r="A20" t="s">
        <v>206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t="s">
        <v>208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t="s">
        <v>210</v>
      </c>
      <c r="B22">
        <v>0</v>
      </c>
      <c r="C22">
        <v>0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3505-B8D4-4F0E-AC32-CEBF695B2C88}">
  <dimension ref="A3:Q20"/>
  <sheetViews>
    <sheetView workbookViewId="0">
      <selection activeCell="I26" sqref="I26"/>
    </sheetView>
  </sheetViews>
  <sheetFormatPr defaultRowHeight="15" x14ac:dyDescent="0.25"/>
  <cols>
    <col min="6" max="6" width="15.85546875" bestFit="1" customWidth="1"/>
  </cols>
  <sheetData>
    <row r="3" spans="1:15" x14ac:dyDescent="0.25">
      <c r="A3" t="s">
        <v>212</v>
      </c>
    </row>
    <row r="4" spans="1:15" x14ac:dyDescent="0.25">
      <c r="A4" t="s">
        <v>4</v>
      </c>
      <c r="B4" t="s">
        <v>16</v>
      </c>
    </row>
    <row r="5" spans="1:15" x14ac:dyDescent="0.25">
      <c r="A5" t="s">
        <v>6</v>
      </c>
      <c r="B5" t="s">
        <v>17</v>
      </c>
      <c r="F5" t="s">
        <v>23</v>
      </c>
      <c r="G5" t="s">
        <v>1</v>
      </c>
    </row>
    <row r="6" spans="1:15" x14ac:dyDescent="0.25">
      <c r="A6" t="s">
        <v>5</v>
      </c>
      <c r="B6" t="s">
        <v>18</v>
      </c>
      <c r="F6" t="s">
        <v>24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5" x14ac:dyDescent="0.25">
      <c r="A7" t="s">
        <v>7</v>
      </c>
      <c r="B7" t="s">
        <v>19</v>
      </c>
      <c r="F7" t="s">
        <v>25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</row>
    <row r="8" spans="1:15" x14ac:dyDescent="0.25">
      <c r="A8" t="s">
        <v>15</v>
      </c>
      <c r="B8" t="s">
        <v>20</v>
      </c>
      <c r="F8" t="s">
        <v>26</v>
      </c>
      <c r="G8" t="s">
        <v>4</v>
      </c>
      <c r="H8" t="s">
        <v>6</v>
      </c>
      <c r="I8" t="s">
        <v>5</v>
      </c>
      <c r="J8" t="s">
        <v>7</v>
      </c>
      <c r="K8" t="s">
        <v>15</v>
      </c>
      <c r="L8" t="s">
        <v>8</v>
      </c>
      <c r="M8" t="s">
        <v>88</v>
      </c>
    </row>
    <row r="9" spans="1:15" x14ac:dyDescent="0.25">
      <c r="A9" t="s">
        <v>8</v>
      </c>
      <c r="B9" t="s">
        <v>21</v>
      </c>
    </row>
    <row r="10" spans="1:15" x14ac:dyDescent="0.25">
      <c r="A10" t="s">
        <v>88</v>
      </c>
      <c r="B10" t="s">
        <v>22</v>
      </c>
      <c r="F10" t="s">
        <v>216</v>
      </c>
    </row>
    <row r="11" spans="1:15" x14ac:dyDescent="0.25">
      <c r="F11" t="s">
        <v>32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</row>
    <row r="12" spans="1:15" x14ac:dyDescent="0.25">
      <c r="F12" t="s">
        <v>33</v>
      </c>
      <c r="G12" t="s">
        <v>214</v>
      </c>
      <c r="H12" t="s">
        <v>44</v>
      </c>
      <c r="I12" t="s">
        <v>45</v>
      </c>
      <c r="J12" t="s">
        <v>47</v>
      </c>
      <c r="K12" t="s">
        <v>215</v>
      </c>
      <c r="L12" t="s">
        <v>213</v>
      </c>
      <c r="M12" t="s">
        <v>48</v>
      </c>
      <c r="N12" t="s">
        <v>49</v>
      </c>
      <c r="O12" t="s">
        <v>9</v>
      </c>
    </row>
    <row r="13" spans="1:15" x14ac:dyDescent="0.25"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39</v>
      </c>
      <c r="L13" t="s">
        <v>40</v>
      </c>
      <c r="M13" t="s">
        <v>42</v>
      </c>
      <c r="N13" t="s">
        <v>50</v>
      </c>
      <c r="O13" t="s">
        <v>43</v>
      </c>
    </row>
    <row r="17" spans="6:17" x14ac:dyDescent="0.25">
      <c r="F17" t="s">
        <v>216</v>
      </c>
    </row>
    <row r="18" spans="6:17" x14ac:dyDescent="0.25">
      <c r="F18" t="s">
        <v>32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6:17" x14ac:dyDescent="0.25">
      <c r="F19" t="s">
        <v>33</v>
      </c>
      <c r="G19" t="s">
        <v>12</v>
      </c>
      <c r="H19" t="s">
        <v>222</v>
      </c>
      <c r="I19" t="s">
        <v>219</v>
      </c>
      <c r="J19" t="s">
        <v>217</v>
      </c>
      <c r="K19" t="s">
        <v>11</v>
      </c>
      <c r="L19" t="s">
        <v>218</v>
      </c>
      <c r="M19" t="s">
        <v>10</v>
      </c>
      <c r="N19" t="s">
        <v>13</v>
      </c>
      <c r="O19" t="s">
        <v>221</v>
      </c>
      <c r="P19" t="s">
        <v>14</v>
      </c>
      <c r="Q19" t="s">
        <v>220</v>
      </c>
    </row>
    <row r="20" spans="6:17" x14ac:dyDescent="0.25"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t="s">
        <v>43</v>
      </c>
      <c r="P20" t="s">
        <v>223</v>
      </c>
      <c r="Q20" t="s">
        <v>224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9CBBAA-4C49-4211-BC59-0ED1164E905E}"/>
</file>

<file path=customXml/itemProps2.xml><?xml version="1.0" encoding="utf-8"?>
<ds:datastoreItem xmlns:ds="http://schemas.openxmlformats.org/officeDocument/2006/customXml" ds:itemID="{7E86A49C-36FA-4959-A4BF-754F5EDE56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7B2BA9-7CA7-492E-8430-0783F8993D1D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labels</vt:lpstr>
      <vt:lpstr>AMR</vt:lpstr>
      <vt:lpstr>plasmids_pivot_table</vt:lpstr>
      <vt:lpstr>plasmids_binary_table</vt:lpstr>
      <vt:lpstr>colours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2025-08-18T12:14:46Z</dcterms:created>
  <dcterms:modified xsi:type="dcterms:W3CDTF">2026-02-13T05:28:11Z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</Properties>
</file>