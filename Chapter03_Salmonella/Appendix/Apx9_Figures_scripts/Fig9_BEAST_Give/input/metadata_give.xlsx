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BEAST/BEAST_fig/input/"/>
    </mc:Choice>
  </mc:AlternateContent>
  <xr:revisionPtr revIDLastSave="30" documentId="8_{7E8593F9-970C-4A30-BB7C-840517482B09}" xr6:coauthVersionLast="47" xr6:coauthVersionMax="47" xr10:uidLastSave="{047FF9C9-1C31-4AAD-9CDB-FECB92DD19B9}"/>
  <bookViews>
    <workbookView xWindow="-24930" yWindow="4950" windowWidth="21600" windowHeight="13635" xr2:uid="{0BD46103-760E-4BBA-902C-0CD576D0E498}"/>
  </bookViews>
  <sheets>
    <sheet name="metadata" sheetId="1" r:id="rId1"/>
    <sheet name="Sheet2" sheetId="6" r:id="rId2"/>
    <sheet name="ST654" sheetId="4" r:id="rId3"/>
    <sheet name="pivot_table_plasmid" sheetId="3" r:id="rId4"/>
    <sheet name="mob_typer" sheetId="2" r:id="rId5"/>
  </sheets>
  <definedNames>
    <definedName name="_xlnm._FilterDatabase" localSheetId="0" hidden="1">metadata!$G$1:$G$79</definedName>
    <definedName name="_xlnm._FilterDatabase" localSheetId="2" hidden="1">'ST654'!$G$1:$G$59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2" i="1"/>
</calcChain>
</file>

<file path=xl/sharedStrings.xml><?xml version="1.0" encoding="utf-8"?>
<sst xmlns="http://schemas.openxmlformats.org/spreadsheetml/2006/main" count="1124" uniqueCount="374">
  <si>
    <t>ID</t>
  </si>
  <si>
    <t>ESR number</t>
  </si>
  <si>
    <t>date</t>
  </si>
  <si>
    <t>Source</t>
  </si>
  <si>
    <t>Year</t>
  </si>
  <si>
    <t>Serovar</t>
  </si>
  <si>
    <t>ST</t>
  </si>
  <si>
    <t>Genotype</t>
  </si>
  <si>
    <t>Phenotype</t>
  </si>
  <si>
    <t>SGV002</t>
  </si>
  <si>
    <t>ERL051890</t>
  </si>
  <si>
    <t>Human clinical</t>
  </si>
  <si>
    <t>Give</t>
  </si>
  <si>
    <t>ST516</t>
  </si>
  <si>
    <t>ND</t>
  </si>
  <si>
    <t>SULF; STX</t>
  </si>
  <si>
    <t>SGV003</t>
  </si>
  <si>
    <t>ERL054204</t>
  </si>
  <si>
    <t>SGV004</t>
  </si>
  <si>
    <t>ERL052963</t>
  </si>
  <si>
    <t>Bovine</t>
  </si>
  <si>
    <t>ST654</t>
  </si>
  <si>
    <t>SGV005</t>
  </si>
  <si>
    <t>ERL061223</t>
  </si>
  <si>
    <t>SGV006</t>
  </si>
  <si>
    <t>ERL062795</t>
  </si>
  <si>
    <t>blaTEM-1;mph(A)</t>
  </si>
  <si>
    <t>AMP</t>
  </si>
  <si>
    <t>SGV007</t>
  </si>
  <si>
    <t>ERL063762</t>
  </si>
  <si>
    <t>gyrA_S83Y</t>
  </si>
  <si>
    <t>NAC</t>
  </si>
  <si>
    <t>SGV008</t>
  </si>
  <si>
    <t>ERL063415</t>
  </si>
  <si>
    <t>sul2;aph(3'')-Ib;tet(A);aph(6)-Id</t>
  </si>
  <si>
    <t>NAC; S; TET</t>
  </si>
  <si>
    <t>SGV009</t>
  </si>
  <si>
    <t>ERL063916</t>
  </si>
  <si>
    <t>tet(A);aph(3'')-Ib;sul2;aph(6)-Id</t>
  </si>
  <si>
    <t>SULF; S; TET</t>
  </si>
  <si>
    <t>SGV010</t>
  </si>
  <si>
    <t>ERL064256</t>
  </si>
  <si>
    <t>SGV011</t>
  </si>
  <si>
    <t>ERL072255</t>
  </si>
  <si>
    <t>SGV012</t>
  </si>
  <si>
    <t>ERL073170</t>
  </si>
  <si>
    <t>SGV013</t>
  </si>
  <si>
    <t>ERL084104</t>
  </si>
  <si>
    <t>SGV014</t>
  </si>
  <si>
    <t>ERL092174</t>
  </si>
  <si>
    <t>SGV016</t>
  </si>
  <si>
    <t>ERL10349</t>
  </si>
  <si>
    <t>SGV017</t>
  </si>
  <si>
    <t>ERL11652</t>
  </si>
  <si>
    <t>SGV018</t>
  </si>
  <si>
    <t>H12ESR01010</t>
  </si>
  <si>
    <t>ST2227</t>
  </si>
  <si>
    <t>SGV019</t>
  </si>
  <si>
    <t>H12ESR03447</t>
  </si>
  <si>
    <t>Poultry</t>
  </si>
  <si>
    <t>SGV020</t>
  </si>
  <si>
    <t>17ER0716</t>
  </si>
  <si>
    <t>gyrA_S83Y;aadA2;lnu(F);tet(A);blaTEM-1;qnrS1</t>
  </si>
  <si>
    <t>AMP; NAC; S; TET; PER</t>
  </si>
  <si>
    <t>SGV021</t>
  </si>
  <si>
    <t>19ER1365</t>
  </si>
  <si>
    <t>Bovine - Faeces</t>
  </si>
  <si>
    <t>SGV022</t>
  </si>
  <si>
    <t>19ER3158</t>
  </si>
  <si>
    <t>SGV023</t>
  </si>
  <si>
    <t>19ER1126</t>
  </si>
  <si>
    <t>SGV025</t>
  </si>
  <si>
    <t>19ER3075</t>
  </si>
  <si>
    <t>SGV026</t>
  </si>
  <si>
    <t>19ER3366</t>
  </si>
  <si>
    <t>SGV027</t>
  </si>
  <si>
    <t>19ER3536</t>
  </si>
  <si>
    <t>Calf</t>
  </si>
  <si>
    <t>STunknown</t>
  </si>
  <si>
    <t>SGV028</t>
  </si>
  <si>
    <t>19ER4151</t>
  </si>
  <si>
    <t>SGV029</t>
  </si>
  <si>
    <t>19ER4196</t>
  </si>
  <si>
    <t>SGV030</t>
  </si>
  <si>
    <t>20ER1407</t>
  </si>
  <si>
    <t>SGV031</t>
  </si>
  <si>
    <t>20ER3761</t>
  </si>
  <si>
    <t>SGV032</t>
  </si>
  <si>
    <t>20ER3645</t>
  </si>
  <si>
    <t>SGV033</t>
  </si>
  <si>
    <t>20ER1753</t>
  </si>
  <si>
    <t>SGV034</t>
  </si>
  <si>
    <t>20ER3712</t>
  </si>
  <si>
    <t>SGV035</t>
  </si>
  <si>
    <t>20ER1420</t>
  </si>
  <si>
    <t>Feline</t>
  </si>
  <si>
    <t>SGV036</t>
  </si>
  <si>
    <t>20ER1421</t>
  </si>
  <si>
    <t>SGV037</t>
  </si>
  <si>
    <t>20ER1410</t>
  </si>
  <si>
    <t>SGV038</t>
  </si>
  <si>
    <t>20ER1480</t>
  </si>
  <si>
    <t>SGV039</t>
  </si>
  <si>
    <t>20ER1496</t>
  </si>
  <si>
    <t>Canine</t>
  </si>
  <si>
    <t>SGV040</t>
  </si>
  <si>
    <t>20ER1716</t>
  </si>
  <si>
    <t>SGV041</t>
  </si>
  <si>
    <t>20ER2181</t>
  </si>
  <si>
    <t>SGV042</t>
  </si>
  <si>
    <t>20ER2814</t>
  </si>
  <si>
    <t>SGV043</t>
  </si>
  <si>
    <t>20ER2830</t>
  </si>
  <si>
    <t>SGV044</t>
  </si>
  <si>
    <t>20ER3227</t>
  </si>
  <si>
    <t>SGV045</t>
  </si>
  <si>
    <t>20ER3567</t>
  </si>
  <si>
    <t>SGV046</t>
  </si>
  <si>
    <t>20ER4113</t>
  </si>
  <si>
    <t>SGV047</t>
  </si>
  <si>
    <t>21ER3675</t>
  </si>
  <si>
    <t>SGV048</t>
  </si>
  <si>
    <t>21ER0924</t>
  </si>
  <si>
    <t>SGV049</t>
  </si>
  <si>
    <t>21ER0433</t>
  </si>
  <si>
    <t>SGV050</t>
  </si>
  <si>
    <t>21ER1931</t>
  </si>
  <si>
    <t>SGV051</t>
  </si>
  <si>
    <t>21ER1304</t>
  </si>
  <si>
    <t>SGV052</t>
  </si>
  <si>
    <t>21ER1303</t>
  </si>
  <si>
    <t>SGV053</t>
  </si>
  <si>
    <t>21ER1463</t>
  </si>
  <si>
    <t>SGV054</t>
  </si>
  <si>
    <t>20ER2039</t>
  </si>
  <si>
    <t>SGV055</t>
  </si>
  <si>
    <t>21ER2278</t>
  </si>
  <si>
    <t>SGV056</t>
  </si>
  <si>
    <t>21ER2724</t>
  </si>
  <si>
    <t>SGV057</t>
  </si>
  <si>
    <t>21ER2726</t>
  </si>
  <si>
    <t>SGV058</t>
  </si>
  <si>
    <t>21ER2811</t>
  </si>
  <si>
    <t>Canine - faeces</t>
  </si>
  <si>
    <t>CTX; NAC; PER</t>
  </si>
  <si>
    <t>SGV059</t>
  </si>
  <si>
    <t>21ER3097</t>
  </si>
  <si>
    <t>SGV060</t>
  </si>
  <si>
    <t>21ER3588</t>
  </si>
  <si>
    <t>SGV061</t>
  </si>
  <si>
    <t>21ER3740</t>
  </si>
  <si>
    <t>SGV062</t>
  </si>
  <si>
    <t>21ER3795</t>
  </si>
  <si>
    <t>SGV063</t>
  </si>
  <si>
    <t>21ER3991</t>
  </si>
  <si>
    <t>Ovine</t>
  </si>
  <si>
    <t>SGV064</t>
  </si>
  <si>
    <t>21ER4053</t>
  </si>
  <si>
    <t>SGV065</t>
  </si>
  <si>
    <t>21ER4133</t>
  </si>
  <si>
    <t>SGV066</t>
  </si>
  <si>
    <t>22ER0601</t>
  </si>
  <si>
    <t>SGV067</t>
  </si>
  <si>
    <t>22ER0604</t>
  </si>
  <si>
    <t>SGV068</t>
  </si>
  <si>
    <t>22ER1132</t>
  </si>
  <si>
    <t>SGV069</t>
  </si>
  <si>
    <t>22ER1624</t>
  </si>
  <si>
    <t>SGV070</t>
  </si>
  <si>
    <t>22ER1654</t>
  </si>
  <si>
    <t>SGV071</t>
  </si>
  <si>
    <t>22ER1714</t>
  </si>
  <si>
    <t>SGV072</t>
  </si>
  <si>
    <t>22ER2190</t>
  </si>
  <si>
    <t>SGV073</t>
  </si>
  <si>
    <t>22ER2261</t>
  </si>
  <si>
    <t>SGV074</t>
  </si>
  <si>
    <t>22ER2332</t>
  </si>
  <si>
    <t>ST684</t>
  </si>
  <si>
    <t>SGV075</t>
  </si>
  <si>
    <t>22ER2511</t>
  </si>
  <si>
    <t>Calves</t>
  </si>
  <si>
    <t>SGV077</t>
  </si>
  <si>
    <t>22ER3063</t>
  </si>
  <si>
    <t>SGV078</t>
  </si>
  <si>
    <t>22ER3142</t>
  </si>
  <si>
    <t>SGV079</t>
  </si>
  <si>
    <t>22ER3456</t>
  </si>
  <si>
    <t>SGV080</t>
  </si>
  <si>
    <t>22ER4065</t>
  </si>
  <si>
    <t>Equine</t>
  </si>
  <si>
    <t>SGV081</t>
  </si>
  <si>
    <t>22ER3966</t>
  </si>
  <si>
    <t>SGV082</t>
  </si>
  <si>
    <t>22ER4425</t>
  </si>
  <si>
    <t>sample_id</t>
  </si>
  <si>
    <t>size</t>
  </si>
  <si>
    <t>label</t>
  </si>
  <si>
    <t>gc</t>
  </si>
  <si>
    <t>rep_type(s)</t>
  </si>
  <si>
    <t>relaxase_type(s)</t>
  </si>
  <si>
    <t>relaxase_type_accession(s)</t>
  </si>
  <si>
    <t>predicted_mobility</t>
  </si>
  <si>
    <t>predicted_host_range_overall_name</t>
  </si>
  <si>
    <t>SGV004_contig_3</t>
  </si>
  <si>
    <t>SGV004_86929</t>
  </si>
  <si>
    <t>SGV004_ST654_p2</t>
  </si>
  <si>
    <t>IncI-gamma/K1</t>
  </si>
  <si>
    <t>MOBP</t>
  </si>
  <si>
    <t>NC_019097</t>
  </si>
  <si>
    <t>conjugative</t>
  </si>
  <si>
    <t>Enterobacterales</t>
  </si>
  <si>
    <t>Enterobacteriaceae</t>
  </si>
  <si>
    <t>SGV004_contig_4</t>
  </si>
  <si>
    <t>SGV004_58058</t>
  </si>
  <si>
    <t>SGV004_ST654_p3</t>
  </si>
  <si>
    <t>IncI2</t>
  </si>
  <si>
    <t>NC_022520_00030</t>
  </si>
  <si>
    <t>-</t>
  </si>
  <si>
    <t>mobilizable</t>
  </si>
  <si>
    <t>SGV006_contig_4</t>
  </si>
  <si>
    <t>SGV006_147078</t>
  </si>
  <si>
    <t>SGV006_ST516_p2</t>
  </si>
  <si>
    <t>MOBF</t>
  </si>
  <si>
    <t>NC_017627_00068</t>
  </si>
  <si>
    <t>MOBQ</t>
  </si>
  <si>
    <t>SGV008_contig_2</t>
  </si>
  <si>
    <t>SGV008_11016</t>
  </si>
  <si>
    <t>SGV008_ST516</t>
  </si>
  <si>
    <t>IncQ1</t>
  </si>
  <si>
    <t>CP022499</t>
  </si>
  <si>
    <t>Pseudomonadota</t>
  </si>
  <si>
    <t>SGV011_contig_2</t>
  </si>
  <si>
    <t>SGV011_9339</t>
  </si>
  <si>
    <t>SGV011_ST516</t>
  </si>
  <si>
    <t>Col156</t>
  </si>
  <si>
    <t>NC_013719_00001</t>
  </si>
  <si>
    <t>SGV012_contig_2</t>
  </si>
  <si>
    <t>SGV012_92601</t>
  </si>
  <si>
    <t>SGV012_ST516</t>
  </si>
  <si>
    <t>NC_019125_00139</t>
  </si>
  <si>
    <t>SGV016_contig_3</t>
  </si>
  <si>
    <t>SGV016_3376</t>
  </si>
  <si>
    <t>SGV016_ST516</t>
  </si>
  <si>
    <t>NC_011093_00004</t>
  </si>
  <si>
    <t>SGV018_contig_4</t>
  </si>
  <si>
    <t>SGV018_5292</t>
  </si>
  <si>
    <t>SGV018_ST2227_p2</t>
  </si>
  <si>
    <t>NC_019783_00003</t>
  </si>
  <si>
    <t>SGV019_contig_2</t>
  </si>
  <si>
    <t>SGV019_87080</t>
  </si>
  <si>
    <t>SGV019_ST516</t>
  </si>
  <si>
    <t>MOBF,MOBP</t>
  </si>
  <si>
    <t>NC_007208_00043,NC_021819_00066</t>
  </si>
  <si>
    <t>SGV020_contig_2</t>
  </si>
  <si>
    <t>SGV020_30868</t>
  </si>
  <si>
    <t>SGV020_ST516</t>
  </si>
  <si>
    <t>IncX1</t>
  </si>
  <si>
    <t>non-mobilizable</t>
  </si>
  <si>
    <t>SGV025_contig_2</t>
  </si>
  <si>
    <t>SGV025_87876</t>
  </si>
  <si>
    <t>SGV025_ST654</t>
  </si>
  <si>
    <t>SGC029_contig_12</t>
  </si>
  <si>
    <t>SGC029_37221</t>
  </si>
  <si>
    <t>SGV029_ST654_p2</t>
  </si>
  <si>
    <t>SGV032_contig_2</t>
  </si>
  <si>
    <t>SGV032_87875</t>
  </si>
  <si>
    <t>SGV032_ST654</t>
  </si>
  <si>
    <t>SGV033_contig_2</t>
  </si>
  <si>
    <t>SGV033_88406</t>
  </si>
  <si>
    <t>SGV033_ST654</t>
  </si>
  <si>
    <t>SGV046_contig_2</t>
  </si>
  <si>
    <t>SGV046_55749</t>
  </si>
  <si>
    <t>SGV046_ST654</t>
  </si>
  <si>
    <t>SGV048_contig_2</t>
  </si>
  <si>
    <t>SGV048_55953</t>
  </si>
  <si>
    <t>SGV048_ST654</t>
  </si>
  <si>
    <t>SGV064_contig_2</t>
  </si>
  <si>
    <t>SGV064_91648</t>
  </si>
  <si>
    <t>SGV064_ST654</t>
  </si>
  <si>
    <t>SGV080_contig_2</t>
  </si>
  <si>
    <t>SGV080_58071</t>
  </si>
  <si>
    <t>SGV080_ST654</t>
  </si>
  <si>
    <t>MOBP,MOBP</t>
  </si>
  <si>
    <t>NC_022520_00030,CP039587_00013</t>
  </si>
  <si>
    <t>SGV081_contig_23</t>
  </si>
  <si>
    <t>SGV081_92612</t>
  </si>
  <si>
    <t>SGV081_STunknown_p1</t>
  </si>
  <si>
    <t>SGV081_contig_27</t>
  </si>
  <si>
    <t>SGV081_87335</t>
  </si>
  <si>
    <t>SGV081_STunknown_p2</t>
  </si>
  <si>
    <t>SGV082_contig_21</t>
  </si>
  <si>
    <t>SGV082_91836</t>
  </si>
  <si>
    <t>SGV082_STunknown_p2</t>
  </si>
  <si>
    <t>SGV082_contig_20</t>
  </si>
  <si>
    <t>SGV082_87075</t>
  </si>
  <si>
    <t>SGV082_STunknown_p1</t>
  </si>
  <si>
    <t>IncF</t>
  </si>
  <si>
    <t>Inc_families</t>
  </si>
  <si>
    <t>IncI</t>
  </si>
  <si>
    <t>IncX</t>
  </si>
  <si>
    <t>IncQ</t>
  </si>
  <si>
    <t>Row Labels</t>
  </si>
  <si>
    <t>Human</t>
  </si>
  <si>
    <t>SGV004|2005.64109589041</t>
  </si>
  <si>
    <t>SGV021|2019.22739726027</t>
  </si>
  <si>
    <t>SGV022|2019.62191780822</t>
  </si>
  <si>
    <t>SGV023|2019.17534246575</t>
  </si>
  <si>
    <t>SGV025|2019.60821917808</t>
  </si>
  <si>
    <t>SGV026|2019.65205479452</t>
  </si>
  <si>
    <t>SGV028|2019.76164383562</t>
  </si>
  <si>
    <t>SGV029|2019.76712328767</t>
  </si>
  <si>
    <t>SGV030|2020.36885245902</t>
  </si>
  <si>
    <t>SGV031|2020.85792349727</t>
  </si>
  <si>
    <t>SGV032|2020.84153005464</t>
  </si>
  <si>
    <t>SGV033|2020.45901639344</t>
  </si>
  <si>
    <t>SGV034|2020.8606557377</t>
  </si>
  <si>
    <t>SGV035|2020.2868852459</t>
  </si>
  <si>
    <t>SGV036|2020.27049180328</t>
  </si>
  <si>
    <t>SGV037|2020.33879781421</t>
  </si>
  <si>
    <t>SGV038|2020.38797814208</t>
  </si>
  <si>
    <t>SGV039|2020.08743169399</t>
  </si>
  <si>
    <t>SGV040|2020.43715846995</t>
  </si>
  <si>
    <t>SGV041|2020.5737704918</t>
  </si>
  <si>
    <t>SGV042|2020.66393442623</t>
  </si>
  <si>
    <t>SGV043|2020.68306010929</t>
  </si>
  <si>
    <t>SGV044|2020.73224043716</t>
  </si>
  <si>
    <t>SGV045|2020.82786885246</t>
  </si>
  <si>
    <t>SGV046|2020.95081967213</t>
  </si>
  <si>
    <t>SGV047|2021.76438356164</t>
  </si>
  <si>
    <t>SGV048|2021.20547945205</t>
  </si>
  <si>
    <t>SGV049|2021.09589041096</t>
  </si>
  <si>
    <t>SGV050|2021.41369863014</t>
  </si>
  <si>
    <t>SGV051|2021.27671232877</t>
  </si>
  <si>
    <t>SGV052|2021.27945205479</t>
  </si>
  <si>
    <t>SGV053|2021.31780821918</t>
  </si>
  <si>
    <t>SGV054|2020.53825136612</t>
  </si>
  <si>
    <t>SGV055|2021.49315068493</t>
  </si>
  <si>
    <t>SGV056|2021.58356164384</t>
  </si>
  <si>
    <t>SGV057|2021.57534246575</t>
  </si>
  <si>
    <t>SGV058|2021.61369863014</t>
  </si>
  <si>
    <t>SGV059|2021.64383561644</t>
  </si>
  <si>
    <t>SGV060|2021.74246575342</t>
  </si>
  <si>
    <t>SGV061|2021.76712328767</t>
  </si>
  <si>
    <t>SGV062|2021.78356164384</t>
  </si>
  <si>
    <t>SGV063|2021.83287671233</t>
  </si>
  <si>
    <t>SGV064|2021.84383561644</t>
  </si>
  <si>
    <t>SGV065|2021.8602739726</t>
  </si>
  <si>
    <t>SGV066|2022.10410958904</t>
  </si>
  <si>
    <t>SGV067|2022.1095890411</t>
  </si>
  <si>
    <t>SGV068|2022.18904109589</t>
  </si>
  <si>
    <t>SGV069|2022.31780821918</t>
  </si>
  <si>
    <t>SGV070|2022.31780821918</t>
  </si>
  <si>
    <t>SGV071|2022.33424657534</t>
  </si>
  <si>
    <t>SGV072|2022.47123287671</t>
  </si>
  <si>
    <t>SGV073|2022.48493150685</t>
  </si>
  <si>
    <t>SGV075|2022.55342465753</t>
  </si>
  <si>
    <t>SGV077|2022.6602739726</t>
  </si>
  <si>
    <t>SGV078|2022.68219178082</t>
  </si>
  <si>
    <t>SGV079|2022.7397260274</t>
  </si>
  <si>
    <t>SGV080|2022.87123287671</t>
  </si>
  <si>
    <t>Clades</t>
  </si>
  <si>
    <t>A</t>
  </si>
  <si>
    <t>B</t>
  </si>
  <si>
    <t>C</t>
  </si>
  <si>
    <t>D</t>
  </si>
  <si>
    <t>(blank)</t>
  </si>
  <si>
    <t>Grand Total</t>
  </si>
  <si>
    <t>red</t>
  </si>
  <si>
    <t>pink</t>
  </si>
  <si>
    <t>blue</t>
  </si>
  <si>
    <t>orange</t>
  </si>
  <si>
    <t>dark 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</si>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</sst>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6091.54470046296" createdVersion="8" refreshedVersion="8" minRefreshableVersion="3" recordCount="58" xr:uid="{D420C5E3-B2D1-4DA7-97A0-0D4862DEC3F0}">
  <cacheSource type="worksheet">
    <worksheetSource ref="E1:E1048576" sheet="ST654"/>
  </cacheSource>
  <cacheFields count="1">
    <cacheField name="Source" numFmtId="0">
      <sharedItems containsBlank="1" count="7">
        <s v="Bovine"/>
        <s v="Human"/>
        <s v="Feline"/>
        <s v="Canine"/>
        <s v="Ovine"/>
        <s v="Equi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1"/>
  </r>
  <r>
    <x v="0"/>
  </r>
  <r>
    <x v="3"/>
  </r>
  <r>
    <x v="0"/>
  </r>
  <r>
    <x v="3"/>
  </r>
  <r>
    <x v="0"/>
  </r>
  <r>
    <x v="3"/>
  </r>
  <r>
    <x v="0"/>
  </r>
  <r>
    <x v="3"/>
  </r>
  <r>
    <x v="0"/>
  </r>
  <r>
    <x v="0"/>
  </r>
  <r>
    <x v="3"/>
  </r>
  <r>
    <x v="0"/>
  </r>
  <r>
    <x v="4"/>
  </r>
  <r>
    <x v="0"/>
  </r>
  <r>
    <x v="3"/>
  </r>
  <r>
    <x v="1"/>
  </r>
  <r>
    <x v="0"/>
  </r>
  <r>
    <x v="3"/>
  </r>
  <r>
    <x v="0"/>
  </r>
  <r>
    <x v="3"/>
  </r>
  <r>
    <x v="1"/>
  </r>
  <r>
    <x v="2"/>
  </r>
  <r>
    <x v="3"/>
  </r>
  <r>
    <x v="0"/>
  </r>
  <r>
    <x v="3"/>
  </r>
  <r>
    <x v="0"/>
  </r>
  <r>
    <x v="3"/>
  </r>
  <r>
    <x v="5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F218B-F3E5-4E47-A8FB-837A51545A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" firstHeaderRow="1" firstDataRow="1" firstDataCol="1"/>
  <pivotFields count="1">
    <pivotField axis="axisRow" showAll="0">
      <items count="8">
        <item x="0"/>
        <item x="3"/>
        <item x="5"/>
        <item x="2"/>
        <item x="1"/>
        <item x="4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74C7-8F48-4318-8500-012E4CF1EC21}">
  <dimension ref="A1:M79"/>
  <sheetViews>
    <sheetView tabSelected="1" workbookViewId="0">
      <selection activeCell="B4" sqref="B4:G4"/>
    </sheetView>
  </sheetViews>
  <sheetFormatPr defaultRowHeight="15" x14ac:dyDescent="0.25"/>
  <cols>
    <col min="1" max="1" width="7.42578125" bestFit="1" customWidth="1"/>
    <col min="2" max="2" width="12.42578125" bestFit="1" customWidth="1"/>
    <col min="3" max="3" width="10.42578125" style="1" bestFit="1" customWidth="1"/>
    <col min="4" max="4" width="14.7109375" bestFit="1" customWidth="1"/>
    <col min="5" max="5" width="5" bestFit="1" customWidth="1"/>
    <col min="6" max="6" width="7.5703125" bestFit="1" customWidth="1"/>
    <col min="7" max="7" width="11.140625" bestFit="1" customWidth="1"/>
    <col min="8" max="8" width="42.28515625" bestFit="1" customWidth="1"/>
    <col min="9" max="9" width="20.140625" bestFit="1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297</v>
      </c>
      <c r="K1" t="s">
        <v>299</v>
      </c>
      <c r="L1" t="s">
        <v>301</v>
      </c>
      <c r="M1" t="s">
        <v>300</v>
      </c>
    </row>
    <row r="2" spans="1:13" x14ac:dyDescent="0.25">
      <c r="A2" t="s">
        <v>9</v>
      </c>
      <c r="B2" t="s">
        <v>10</v>
      </c>
      <c r="C2" s="1">
        <v>38496</v>
      </c>
      <c r="D2" t="s">
        <v>11</v>
      </c>
      <c r="E2">
        <v>2005</v>
      </c>
      <c r="F2" t="s">
        <v>12</v>
      </c>
      <c r="G2" t="s">
        <v>13</v>
      </c>
      <c r="H2" s="2" t="s">
        <v>14</v>
      </c>
      <c r="I2" s="2" t="s">
        <v>15</v>
      </c>
      <c r="J2" t="e">
        <f>VLOOKUP(A2,pivot_table_plasmid!$A$1:$F$20,2,FALSE)</f>
        <v>#N/A</v>
      </c>
      <c r="K2" t="e">
        <f>VLOOKUP(A2,pivot_table_plasmid!$A$1:$F$20,3,FALSE)</f>
        <v>#N/A</v>
      </c>
      <c r="L2" t="e">
        <f>VLOOKUP(A2,pivot_table_plasmid!$A$1:$F$20,4,FALSE)</f>
        <v>#N/A</v>
      </c>
      <c r="M2" t="e">
        <f>VLOOKUP(A2,pivot_table_plasmid!$A$1:$F$20,5,FALSE)</f>
        <v>#N/A</v>
      </c>
    </row>
    <row r="3" spans="1:13" x14ac:dyDescent="0.25">
      <c r="A3" t="s">
        <v>16</v>
      </c>
      <c r="B3" t="s">
        <v>17</v>
      </c>
      <c r="C3" s="1">
        <v>38664</v>
      </c>
      <c r="D3" t="s">
        <v>11</v>
      </c>
      <c r="E3">
        <v>2005</v>
      </c>
      <c r="F3" t="s">
        <v>12</v>
      </c>
      <c r="G3" t="s">
        <v>13</v>
      </c>
      <c r="H3" t="s">
        <v>14</v>
      </c>
      <c r="I3" t="s">
        <v>14</v>
      </c>
      <c r="J3" t="e">
        <f>VLOOKUP(A3,pivot_table_plasmid!$A$1:$F$20,2,FALSE)</f>
        <v>#N/A</v>
      </c>
      <c r="K3" t="e">
        <f>VLOOKUP(A3,pivot_table_plasmid!$A$1:$F$20,3,FALSE)</f>
        <v>#N/A</v>
      </c>
      <c r="L3" t="e">
        <f>VLOOKUP(A3,pivot_table_plasmid!$A$1:$F$20,4,FALSE)</f>
        <v>#N/A</v>
      </c>
      <c r="M3" t="e">
        <f>VLOOKUP(A3,pivot_table_plasmid!$A$1:$F$20,5,FALSE)</f>
        <v>#N/A</v>
      </c>
    </row>
    <row r="4" spans="1:13" x14ac:dyDescent="0.25">
      <c r="A4" t="s">
        <v>18</v>
      </c>
      <c r="B4" t="s">
        <v>19</v>
      </c>
      <c r="C4" s="1">
        <v>38587</v>
      </c>
      <c r="D4" t="s">
        <v>20</v>
      </c>
      <c r="E4">
        <v>2005</v>
      </c>
      <c r="F4" t="s">
        <v>12</v>
      </c>
      <c r="G4" t="s">
        <v>21</v>
      </c>
      <c r="H4" t="s">
        <v>14</v>
      </c>
      <c r="I4" t="s">
        <v>14</v>
      </c>
      <c r="J4">
        <f>VLOOKUP(A4,pivot_table_plasmid!$A$1:$F$20,2,FALSE)</f>
        <v>0</v>
      </c>
      <c r="K4">
        <f>VLOOKUP(A4,pivot_table_plasmid!$A$1:$F$20,3,FALSE)</f>
        <v>2</v>
      </c>
      <c r="L4">
        <f>VLOOKUP(A4,pivot_table_plasmid!$A$1:$F$20,4,FALSE)</f>
        <v>0</v>
      </c>
      <c r="M4">
        <f>VLOOKUP(A4,pivot_table_plasmid!$A$1:$F$20,5,FALSE)</f>
        <v>0</v>
      </c>
    </row>
    <row r="5" spans="1:13" x14ac:dyDescent="0.25">
      <c r="A5" t="s">
        <v>22</v>
      </c>
      <c r="B5" t="s">
        <v>23</v>
      </c>
      <c r="C5" s="1">
        <v>38800</v>
      </c>
      <c r="D5" t="s">
        <v>11</v>
      </c>
      <c r="E5">
        <v>2006</v>
      </c>
      <c r="F5" t="s">
        <v>12</v>
      </c>
      <c r="G5" t="s">
        <v>13</v>
      </c>
      <c r="H5" t="s">
        <v>14</v>
      </c>
      <c r="I5" t="s">
        <v>14</v>
      </c>
      <c r="J5" t="e">
        <f>VLOOKUP(A5,pivot_table_plasmid!$A$1:$F$20,2,FALSE)</f>
        <v>#N/A</v>
      </c>
      <c r="K5" t="e">
        <f>VLOOKUP(A5,pivot_table_plasmid!$A$1:$F$20,3,FALSE)</f>
        <v>#N/A</v>
      </c>
      <c r="L5" t="e">
        <f>VLOOKUP(A5,pivot_table_plasmid!$A$1:$F$20,4,FALSE)</f>
        <v>#N/A</v>
      </c>
      <c r="M5" t="e">
        <f>VLOOKUP(A5,pivot_table_plasmid!$A$1:$F$20,5,FALSE)</f>
        <v>#N/A</v>
      </c>
    </row>
    <row r="6" spans="1:13" x14ac:dyDescent="0.25">
      <c r="A6" t="s">
        <v>24</v>
      </c>
      <c r="B6" t="s">
        <v>25</v>
      </c>
      <c r="C6" s="1">
        <v>38921</v>
      </c>
      <c r="D6" t="s">
        <v>11</v>
      </c>
      <c r="E6">
        <v>2006</v>
      </c>
      <c r="F6" t="s">
        <v>12</v>
      </c>
      <c r="G6" t="s">
        <v>13</v>
      </c>
      <c r="H6" t="s">
        <v>26</v>
      </c>
      <c r="I6" t="s">
        <v>27</v>
      </c>
      <c r="J6">
        <f>VLOOKUP(A6,pivot_table_plasmid!$A$1:$F$20,2,FALSE)</f>
        <v>1</v>
      </c>
      <c r="K6">
        <f>VLOOKUP(A6,pivot_table_plasmid!$A$1:$F$20,3,FALSE)</f>
        <v>0</v>
      </c>
      <c r="L6">
        <f>VLOOKUP(A6,pivot_table_plasmid!$A$1:$F$20,4,FALSE)</f>
        <v>0</v>
      </c>
      <c r="M6">
        <f>VLOOKUP(A6,pivot_table_plasmid!$A$1:$F$20,5,FALSE)</f>
        <v>0</v>
      </c>
    </row>
    <row r="7" spans="1:13" x14ac:dyDescent="0.25">
      <c r="A7" t="s">
        <v>28</v>
      </c>
      <c r="B7" t="s">
        <v>29</v>
      </c>
      <c r="C7" s="1">
        <v>38980</v>
      </c>
      <c r="D7" t="s">
        <v>11</v>
      </c>
      <c r="E7">
        <v>2006</v>
      </c>
      <c r="F7" t="s">
        <v>12</v>
      </c>
      <c r="G7" t="s">
        <v>13</v>
      </c>
      <c r="H7" t="s">
        <v>30</v>
      </c>
      <c r="I7" t="s">
        <v>31</v>
      </c>
      <c r="J7" t="e">
        <f>VLOOKUP(A7,pivot_table_plasmid!$A$1:$F$20,2,FALSE)</f>
        <v>#N/A</v>
      </c>
      <c r="K7" t="e">
        <f>VLOOKUP(A7,pivot_table_plasmid!$A$1:$F$20,3,FALSE)</f>
        <v>#N/A</v>
      </c>
      <c r="L7" t="e">
        <f>VLOOKUP(A7,pivot_table_plasmid!$A$1:$F$20,4,FALSE)</f>
        <v>#N/A</v>
      </c>
      <c r="M7" t="e">
        <f>VLOOKUP(A7,pivot_table_plasmid!$A$1:$F$20,5,FALSE)</f>
        <v>#N/A</v>
      </c>
    </row>
    <row r="8" spans="1:13" x14ac:dyDescent="0.25">
      <c r="A8" t="s">
        <v>32</v>
      </c>
      <c r="B8" t="s">
        <v>33</v>
      </c>
      <c r="C8" s="1">
        <v>38958</v>
      </c>
      <c r="D8" t="s">
        <v>11</v>
      </c>
      <c r="E8">
        <v>2006</v>
      </c>
      <c r="F8" t="s">
        <v>12</v>
      </c>
      <c r="G8" t="s">
        <v>13</v>
      </c>
      <c r="H8" t="s">
        <v>34</v>
      </c>
      <c r="I8" t="s">
        <v>35</v>
      </c>
      <c r="J8">
        <f>VLOOKUP(A8,pivot_table_plasmid!$A$1:$F$20,2,FALSE)</f>
        <v>0</v>
      </c>
      <c r="K8">
        <f>VLOOKUP(A8,pivot_table_plasmid!$A$1:$F$20,3,FALSE)</f>
        <v>0</v>
      </c>
      <c r="L8">
        <f>VLOOKUP(A8,pivot_table_plasmid!$A$1:$F$20,4,FALSE)</f>
        <v>1</v>
      </c>
      <c r="M8">
        <f>VLOOKUP(A8,pivot_table_plasmid!$A$1:$F$20,5,FALSE)</f>
        <v>0</v>
      </c>
    </row>
    <row r="9" spans="1:13" x14ac:dyDescent="0.25">
      <c r="A9" t="s">
        <v>36</v>
      </c>
      <c r="B9" t="s">
        <v>37</v>
      </c>
      <c r="C9" s="1">
        <v>38996</v>
      </c>
      <c r="D9" t="s">
        <v>11</v>
      </c>
      <c r="E9">
        <v>2006</v>
      </c>
      <c r="F9" t="s">
        <v>12</v>
      </c>
      <c r="G9" t="s">
        <v>13</v>
      </c>
      <c r="H9" t="s">
        <v>38</v>
      </c>
      <c r="I9" t="s">
        <v>39</v>
      </c>
      <c r="J9" t="e">
        <f>VLOOKUP(A9,pivot_table_plasmid!$A$1:$F$20,2,FALSE)</f>
        <v>#N/A</v>
      </c>
      <c r="K9" t="e">
        <f>VLOOKUP(A9,pivot_table_plasmid!$A$1:$F$20,3,FALSE)</f>
        <v>#N/A</v>
      </c>
      <c r="L9" t="e">
        <f>VLOOKUP(A9,pivot_table_plasmid!$A$1:$F$20,4,FALSE)</f>
        <v>#N/A</v>
      </c>
      <c r="M9" t="e">
        <f>VLOOKUP(A9,pivot_table_plasmid!$A$1:$F$20,5,FALSE)</f>
        <v>#N/A</v>
      </c>
    </row>
    <row r="10" spans="1:13" x14ac:dyDescent="0.25">
      <c r="A10" t="s">
        <v>40</v>
      </c>
      <c r="B10" t="s">
        <v>41</v>
      </c>
      <c r="C10" s="1">
        <v>39027</v>
      </c>
      <c r="D10" t="s">
        <v>11</v>
      </c>
      <c r="E10">
        <v>2006</v>
      </c>
      <c r="F10" t="s">
        <v>12</v>
      </c>
      <c r="G10" t="s">
        <v>13</v>
      </c>
      <c r="H10" t="s">
        <v>14</v>
      </c>
      <c r="I10" t="s">
        <v>14</v>
      </c>
      <c r="J10" t="e">
        <f>VLOOKUP(A10,pivot_table_plasmid!$A$1:$F$20,2,FALSE)</f>
        <v>#N/A</v>
      </c>
      <c r="K10" t="e">
        <f>VLOOKUP(A10,pivot_table_plasmid!$A$1:$F$20,3,FALSE)</f>
        <v>#N/A</v>
      </c>
      <c r="L10" t="e">
        <f>VLOOKUP(A10,pivot_table_plasmid!$A$1:$F$20,4,FALSE)</f>
        <v>#N/A</v>
      </c>
      <c r="M10" t="e">
        <f>VLOOKUP(A10,pivot_table_plasmid!$A$1:$F$20,5,FALSE)</f>
        <v>#N/A</v>
      </c>
    </row>
    <row r="11" spans="1:13" x14ac:dyDescent="0.25">
      <c r="A11" t="s">
        <v>42</v>
      </c>
      <c r="B11" t="s">
        <v>43</v>
      </c>
      <c r="C11" s="1">
        <v>39289</v>
      </c>
      <c r="D11" t="s">
        <v>11</v>
      </c>
      <c r="E11">
        <v>2007</v>
      </c>
      <c r="F11" t="s">
        <v>12</v>
      </c>
      <c r="G11" t="s">
        <v>13</v>
      </c>
      <c r="H11" t="s">
        <v>14</v>
      </c>
      <c r="I11" t="s">
        <v>14</v>
      </c>
      <c r="J11">
        <f>VLOOKUP(A11,pivot_table_plasmid!$A$1:$F$20,2,FALSE)</f>
        <v>0</v>
      </c>
      <c r="K11">
        <f>VLOOKUP(A11,pivot_table_plasmid!$A$1:$F$20,3,FALSE)</f>
        <v>0</v>
      </c>
      <c r="L11">
        <f>VLOOKUP(A11,pivot_table_plasmid!$A$1:$F$20,4,FALSE)</f>
        <v>0</v>
      </c>
      <c r="M11">
        <f>VLOOKUP(A11,pivot_table_plasmid!$A$1:$F$20,5,FALSE)</f>
        <v>0</v>
      </c>
    </row>
    <row r="12" spans="1:13" x14ac:dyDescent="0.25">
      <c r="A12" t="s">
        <v>44</v>
      </c>
      <c r="B12" t="s">
        <v>45</v>
      </c>
      <c r="C12" s="1">
        <v>39357</v>
      </c>
      <c r="D12" t="s">
        <v>11</v>
      </c>
      <c r="E12">
        <v>2007</v>
      </c>
      <c r="F12" t="s">
        <v>12</v>
      </c>
      <c r="G12" t="s">
        <v>13</v>
      </c>
      <c r="H12" t="s">
        <v>14</v>
      </c>
      <c r="I12" t="s">
        <v>14</v>
      </c>
      <c r="J12">
        <f>VLOOKUP(A12,pivot_table_plasmid!$A$1:$F$20,2,FALSE)</f>
        <v>1</v>
      </c>
      <c r="K12">
        <f>VLOOKUP(A12,pivot_table_plasmid!$A$1:$F$20,3,FALSE)</f>
        <v>0</v>
      </c>
      <c r="L12">
        <f>VLOOKUP(A12,pivot_table_plasmid!$A$1:$F$20,4,FALSE)</f>
        <v>0</v>
      </c>
      <c r="M12">
        <f>VLOOKUP(A12,pivot_table_plasmid!$A$1:$F$20,5,FALSE)</f>
        <v>0</v>
      </c>
    </row>
    <row r="13" spans="1:13" x14ac:dyDescent="0.25">
      <c r="A13" t="s">
        <v>46</v>
      </c>
      <c r="B13" t="s">
        <v>47</v>
      </c>
      <c r="C13" s="1">
        <v>39755</v>
      </c>
      <c r="D13" t="s">
        <v>11</v>
      </c>
      <c r="E13">
        <v>2008</v>
      </c>
      <c r="F13" t="s">
        <v>12</v>
      </c>
      <c r="G13" t="s">
        <v>13</v>
      </c>
      <c r="H13" t="s">
        <v>14</v>
      </c>
      <c r="I13" t="s">
        <v>14</v>
      </c>
      <c r="J13" t="e">
        <f>VLOOKUP(A13,pivot_table_plasmid!$A$1:$F$20,2,FALSE)</f>
        <v>#N/A</v>
      </c>
      <c r="K13" t="e">
        <f>VLOOKUP(A13,pivot_table_plasmid!$A$1:$F$20,3,FALSE)</f>
        <v>#N/A</v>
      </c>
      <c r="L13" t="e">
        <f>VLOOKUP(A13,pivot_table_plasmid!$A$1:$F$20,4,FALSE)</f>
        <v>#N/A</v>
      </c>
      <c r="M13" t="e">
        <f>VLOOKUP(A13,pivot_table_plasmid!$A$1:$F$20,5,FALSE)</f>
        <v>#N/A</v>
      </c>
    </row>
    <row r="14" spans="1:13" x14ac:dyDescent="0.25">
      <c r="A14" t="s">
        <v>48</v>
      </c>
      <c r="B14" t="s">
        <v>49</v>
      </c>
      <c r="C14" s="1">
        <v>40005</v>
      </c>
      <c r="D14" t="s">
        <v>11</v>
      </c>
      <c r="E14">
        <v>2009</v>
      </c>
      <c r="F14" t="s">
        <v>12</v>
      </c>
      <c r="G14" t="s">
        <v>13</v>
      </c>
      <c r="H14" t="s">
        <v>30</v>
      </c>
      <c r="I14" t="s">
        <v>31</v>
      </c>
      <c r="J14" t="e">
        <f>VLOOKUP(A14,pivot_table_plasmid!$A$1:$F$20,2,FALSE)</f>
        <v>#N/A</v>
      </c>
      <c r="K14" t="e">
        <f>VLOOKUP(A14,pivot_table_plasmid!$A$1:$F$20,3,FALSE)</f>
        <v>#N/A</v>
      </c>
      <c r="L14" t="e">
        <f>VLOOKUP(A14,pivot_table_plasmid!$A$1:$F$20,4,FALSE)</f>
        <v>#N/A</v>
      </c>
      <c r="M14" t="e">
        <f>VLOOKUP(A14,pivot_table_plasmid!$A$1:$F$20,5,FALSE)</f>
        <v>#N/A</v>
      </c>
    </row>
    <row r="15" spans="1:13" x14ac:dyDescent="0.25">
      <c r="A15" t="s">
        <v>50</v>
      </c>
      <c r="B15" t="s">
        <v>51</v>
      </c>
      <c r="C15" s="1">
        <v>0</v>
      </c>
      <c r="D15" t="s">
        <v>11</v>
      </c>
      <c r="E15">
        <v>2010</v>
      </c>
      <c r="F15" t="s">
        <v>12</v>
      </c>
      <c r="G15" t="s">
        <v>13</v>
      </c>
      <c r="H15" s="2" t="s">
        <v>14</v>
      </c>
      <c r="I15" s="2" t="s">
        <v>39</v>
      </c>
      <c r="J15">
        <f>VLOOKUP(A15,pivot_table_plasmid!$A$1:$F$20,2,FALSE)</f>
        <v>0</v>
      </c>
      <c r="K15">
        <f>VLOOKUP(A15,pivot_table_plasmid!$A$1:$F$20,3,FALSE)</f>
        <v>0</v>
      </c>
      <c r="L15">
        <f>VLOOKUP(A15,pivot_table_plasmid!$A$1:$F$20,4,FALSE)</f>
        <v>0</v>
      </c>
      <c r="M15">
        <f>VLOOKUP(A15,pivot_table_plasmid!$A$1:$F$20,5,FALSE)</f>
        <v>0</v>
      </c>
    </row>
    <row r="16" spans="1:13" x14ac:dyDescent="0.25">
      <c r="A16" t="s">
        <v>52</v>
      </c>
      <c r="B16" t="s">
        <v>53</v>
      </c>
      <c r="C16" s="1">
        <v>40594</v>
      </c>
      <c r="D16" t="s">
        <v>11</v>
      </c>
      <c r="E16">
        <v>2011</v>
      </c>
      <c r="F16" t="s">
        <v>12</v>
      </c>
      <c r="G16" t="s">
        <v>13</v>
      </c>
      <c r="H16" t="s">
        <v>14</v>
      </c>
      <c r="I16" t="s">
        <v>14</v>
      </c>
      <c r="J16" t="e">
        <f>VLOOKUP(A16,pivot_table_plasmid!$A$1:$F$20,2,FALSE)</f>
        <v>#N/A</v>
      </c>
      <c r="K16" t="e">
        <f>VLOOKUP(A16,pivot_table_plasmid!$A$1:$F$20,3,FALSE)</f>
        <v>#N/A</v>
      </c>
      <c r="L16" t="e">
        <f>VLOOKUP(A16,pivot_table_plasmid!$A$1:$F$20,4,FALSE)</f>
        <v>#N/A</v>
      </c>
      <c r="M16" t="e">
        <f>VLOOKUP(A16,pivot_table_plasmid!$A$1:$F$20,5,FALSE)</f>
        <v>#N/A</v>
      </c>
    </row>
    <row r="17" spans="1:13" x14ac:dyDescent="0.25">
      <c r="A17" t="s">
        <v>54</v>
      </c>
      <c r="B17" t="s">
        <v>55</v>
      </c>
      <c r="C17" s="1">
        <v>41122</v>
      </c>
      <c r="D17" t="s">
        <v>11</v>
      </c>
      <c r="E17">
        <v>2012</v>
      </c>
      <c r="F17" t="s">
        <v>12</v>
      </c>
      <c r="G17" t="s">
        <v>56</v>
      </c>
      <c r="H17" t="s">
        <v>14</v>
      </c>
      <c r="I17" t="s">
        <v>14</v>
      </c>
      <c r="J17">
        <f>VLOOKUP(A17,pivot_table_plasmid!$A$1:$F$20,2,FALSE)</f>
        <v>0</v>
      </c>
      <c r="K17">
        <f>VLOOKUP(A17,pivot_table_plasmid!$A$1:$F$20,3,FALSE)</f>
        <v>0</v>
      </c>
      <c r="L17">
        <f>VLOOKUP(A17,pivot_table_plasmid!$A$1:$F$20,4,FALSE)</f>
        <v>0</v>
      </c>
      <c r="M17">
        <f>VLOOKUP(A17,pivot_table_plasmid!$A$1:$F$20,5,FALSE)</f>
        <v>0</v>
      </c>
    </row>
    <row r="18" spans="1:13" x14ac:dyDescent="0.25">
      <c r="A18" t="s">
        <v>57</v>
      </c>
      <c r="B18" t="s">
        <v>58</v>
      </c>
      <c r="C18" s="1">
        <v>41169</v>
      </c>
      <c r="D18" t="s">
        <v>59</v>
      </c>
      <c r="E18">
        <v>2012</v>
      </c>
      <c r="F18" t="s">
        <v>12</v>
      </c>
      <c r="G18" t="s">
        <v>13</v>
      </c>
      <c r="H18" t="s">
        <v>14</v>
      </c>
      <c r="I18" t="s">
        <v>14</v>
      </c>
      <c r="J18">
        <f>VLOOKUP(A18,pivot_table_plasmid!$A$1:$F$20,2,FALSE)</f>
        <v>1</v>
      </c>
      <c r="K18">
        <f>VLOOKUP(A18,pivot_table_plasmid!$A$1:$F$20,3,FALSE)</f>
        <v>0</v>
      </c>
      <c r="L18">
        <f>VLOOKUP(A18,pivot_table_plasmid!$A$1:$F$20,4,FALSE)</f>
        <v>0</v>
      </c>
      <c r="M18">
        <f>VLOOKUP(A18,pivot_table_plasmid!$A$1:$F$20,5,FALSE)</f>
        <v>0</v>
      </c>
    </row>
    <row r="19" spans="1:13" x14ac:dyDescent="0.25">
      <c r="A19" t="s">
        <v>60</v>
      </c>
      <c r="B19" t="s">
        <v>61</v>
      </c>
      <c r="C19" s="1">
        <v>42795</v>
      </c>
      <c r="D19" t="s">
        <v>11</v>
      </c>
      <c r="E19">
        <v>2017</v>
      </c>
      <c r="F19" t="s">
        <v>12</v>
      </c>
      <c r="G19" t="s">
        <v>13</v>
      </c>
      <c r="H19" t="s">
        <v>62</v>
      </c>
      <c r="I19" t="s">
        <v>63</v>
      </c>
      <c r="J19">
        <f>VLOOKUP(A19,pivot_table_plasmid!$A$1:$F$20,2,FALSE)</f>
        <v>0</v>
      </c>
      <c r="K19">
        <f>VLOOKUP(A19,pivot_table_plasmid!$A$1:$F$20,3,FALSE)</f>
        <v>0</v>
      </c>
      <c r="L19">
        <f>VLOOKUP(A19,pivot_table_plasmid!$A$1:$F$20,4,FALSE)</f>
        <v>0</v>
      </c>
      <c r="M19">
        <f>VLOOKUP(A19,pivot_table_plasmid!$A$1:$F$20,5,FALSE)</f>
        <v>1</v>
      </c>
    </row>
    <row r="20" spans="1:13" x14ac:dyDescent="0.25">
      <c r="A20" t="s">
        <v>64</v>
      </c>
      <c r="B20" t="s">
        <v>65</v>
      </c>
      <c r="C20" s="1">
        <v>43549</v>
      </c>
      <c r="D20" t="s">
        <v>66</v>
      </c>
      <c r="E20">
        <v>2019</v>
      </c>
      <c r="F20" t="s">
        <v>12</v>
      </c>
      <c r="G20" t="s">
        <v>21</v>
      </c>
      <c r="H20" t="s">
        <v>14</v>
      </c>
      <c r="I20" t="s">
        <v>14</v>
      </c>
      <c r="J20" t="e">
        <f>VLOOKUP(A20,pivot_table_plasmid!$A$1:$F$20,2,FALSE)</f>
        <v>#N/A</v>
      </c>
      <c r="K20" t="e">
        <f>VLOOKUP(A20,pivot_table_plasmid!$A$1:$F$20,3,FALSE)</f>
        <v>#N/A</v>
      </c>
      <c r="L20" t="e">
        <f>VLOOKUP(A20,pivot_table_plasmid!$A$1:$F$20,4,FALSE)</f>
        <v>#N/A</v>
      </c>
      <c r="M20" t="e">
        <f>VLOOKUP(A20,pivot_table_plasmid!$A$1:$F$20,5,FALSE)</f>
        <v>#N/A</v>
      </c>
    </row>
    <row r="21" spans="1:13" x14ac:dyDescent="0.25">
      <c r="A21" t="s">
        <v>67</v>
      </c>
      <c r="B21" t="s">
        <v>68</v>
      </c>
      <c r="C21" s="1">
        <v>43693</v>
      </c>
      <c r="D21" t="s">
        <v>66</v>
      </c>
      <c r="E21">
        <v>2019</v>
      </c>
      <c r="F21" t="s">
        <v>12</v>
      </c>
      <c r="G21" t="s">
        <v>21</v>
      </c>
      <c r="H21" t="s">
        <v>14</v>
      </c>
      <c r="I21" t="s">
        <v>14</v>
      </c>
      <c r="J21" t="e">
        <f>VLOOKUP(A21,pivot_table_plasmid!$A$1:$F$20,2,FALSE)</f>
        <v>#N/A</v>
      </c>
      <c r="K21" t="e">
        <f>VLOOKUP(A21,pivot_table_plasmid!$A$1:$F$20,3,FALSE)</f>
        <v>#N/A</v>
      </c>
      <c r="L21" t="e">
        <f>VLOOKUP(A21,pivot_table_plasmid!$A$1:$F$20,4,FALSE)</f>
        <v>#N/A</v>
      </c>
      <c r="M21" t="e">
        <f>VLOOKUP(A21,pivot_table_plasmid!$A$1:$F$20,5,FALSE)</f>
        <v>#N/A</v>
      </c>
    </row>
    <row r="22" spans="1:13" x14ac:dyDescent="0.25">
      <c r="A22" t="s">
        <v>69</v>
      </c>
      <c r="B22" t="s">
        <v>70</v>
      </c>
      <c r="C22" s="1">
        <v>43530</v>
      </c>
      <c r="D22" t="s">
        <v>66</v>
      </c>
      <c r="E22">
        <v>2019</v>
      </c>
      <c r="F22" t="s">
        <v>12</v>
      </c>
      <c r="G22" t="s">
        <v>21</v>
      </c>
      <c r="H22" t="s">
        <v>14</v>
      </c>
      <c r="I22" t="s">
        <v>14</v>
      </c>
      <c r="J22" t="e">
        <f>VLOOKUP(A22,pivot_table_plasmid!$A$1:$F$20,2,FALSE)</f>
        <v>#N/A</v>
      </c>
      <c r="K22" t="e">
        <f>VLOOKUP(A22,pivot_table_plasmid!$A$1:$F$20,3,FALSE)</f>
        <v>#N/A</v>
      </c>
      <c r="L22" t="e">
        <f>VLOOKUP(A22,pivot_table_plasmid!$A$1:$F$20,4,FALSE)</f>
        <v>#N/A</v>
      </c>
      <c r="M22" t="e">
        <f>VLOOKUP(A22,pivot_table_plasmid!$A$1:$F$20,5,FALSE)</f>
        <v>#N/A</v>
      </c>
    </row>
    <row r="23" spans="1:13" x14ac:dyDescent="0.25">
      <c r="A23" t="s">
        <v>71</v>
      </c>
      <c r="B23" t="s">
        <v>72</v>
      </c>
      <c r="C23" s="1">
        <v>43688</v>
      </c>
      <c r="D23" t="s">
        <v>66</v>
      </c>
      <c r="E23">
        <v>2019</v>
      </c>
      <c r="F23" t="s">
        <v>12</v>
      </c>
      <c r="G23" t="s">
        <v>21</v>
      </c>
      <c r="H23" t="s">
        <v>14</v>
      </c>
      <c r="I23" t="s">
        <v>14</v>
      </c>
      <c r="J23">
        <f>VLOOKUP(A23,pivot_table_plasmid!$A$1:$F$20,2,FALSE)</f>
        <v>0</v>
      </c>
      <c r="K23">
        <f>VLOOKUP(A23,pivot_table_plasmid!$A$1:$F$20,3,FALSE)</f>
        <v>1</v>
      </c>
      <c r="L23">
        <f>VLOOKUP(A23,pivot_table_plasmid!$A$1:$F$20,4,FALSE)</f>
        <v>0</v>
      </c>
      <c r="M23">
        <f>VLOOKUP(A23,pivot_table_plasmid!$A$1:$F$20,5,FALSE)</f>
        <v>0</v>
      </c>
    </row>
    <row r="24" spans="1:13" x14ac:dyDescent="0.25">
      <c r="A24" t="s">
        <v>73</v>
      </c>
      <c r="B24" t="s">
        <v>74</v>
      </c>
      <c r="C24" s="1">
        <v>43704</v>
      </c>
      <c r="D24" t="s">
        <v>66</v>
      </c>
      <c r="E24">
        <v>2019</v>
      </c>
      <c r="F24" t="s">
        <v>12</v>
      </c>
      <c r="G24" t="s">
        <v>21</v>
      </c>
      <c r="H24" t="s">
        <v>14</v>
      </c>
      <c r="I24" t="s">
        <v>14</v>
      </c>
      <c r="J24" t="e">
        <f>VLOOKUP(A24,pivot_table_plasmid!$A$1:$F$20,2,FALSE)</f>
        <v>#N/A</v>
      </c>
      <c r="K24" t="e">
        <f>VLOOKUP(A24,pivot_table_plasmid!$A$1:$F$20,3,FALSE)</f>
        <v>#N/A</v>
      </c>
      <c r="L24" t="e">
        <f>VLOOKUP(A24,pivot_table_plasmid!$A$1:$F$20,4,FALSE)</f>
        <v>#N/A</v>
      </c>
      <c r="M24" t="e">
        <f>VLOOKUP(A24,pivot_table_plasmid!$A$1:$F$20,5,FALSE)</f>
        <v>#N/A</v>
      </c>
    </row>
    <row r="25" spans="1:13" x14ac:dyDescent="0.25">
      <c r="A25" t="s">
        <v>75</v>
      </c>
      <c r="B25" t="s">
        <v>76</v>
      </c>
      <c r="C25" s="1">
        <v>43714</v>
      </c>
      <c r="D25" t="s">
        <v>77</v>
      </c>
      <c r="E25">
        <v>2019</v>
      </c>
      <c r="F25" t="s">
        <v>12</v>
      </c>
      <c r="G25" t="s">
        <v>78</v>
      </c>
      <c r="H25" t="s">
        <v>14</v>
      </c>
      <c r="I25" t="s">
        <v>14</v>
      </c>
      <c r="J25" t="e">
        <f>VLOOKUP(A25,pivot_table_plasmid!$A$1:$F$20,2,FALSE)</f>
        <v>#N/A</v>
      </c>
      <c r="K25" t="e">
        <f>VLOOKUP(A25,pivot_table_plasmid!$A$1:$F$20,3,FALSE)</f>
        <v>#N/A</v>
      </c>
      <c r="L25" t="e">
        <f>VLOOKUP(A25,pivot_table_plasmid!$A$1:$F$20,4,FALSE)</f>
        <v>#N/A</v>
      </c>
      <c r="M25" t="e">
        <f>VLOOKUP(A25,pivot_table_plasmid!$A$1:$F$20,5,FALSE)</f>
        <v>#N/A</v>
      </c>
    </row>
    <row r="26" spans="1:13" x14ac:dyDescent="0.25">
      <c r="A26" t="s">
        <v>79</v>
      </c>
      <c r="B26" t="s">
        <v>80</v>
      </c>
      <c r="C26" s="1">
        <v>43744</v>
      </c>
      <c r="D26" t="s">
        <v>66</v>
      </c>
      <c r="E26">
        <v>2019</v>
      </c>
      <c r="F26" t="s">
        <v>12</v>
      </c>
      <c r="G26" t="s">
        <v>21</v>
      </c>
      <c r="H26" t="s">
        <v>14</v>
      </c>
      <c r="I26" t="s">
        <v>14</v>
      </c>
      <c r="J26" t="e">
        <f>VLOOKUP(A26,pivot_table_plasmid!$A$1:$F$20,2,FALSE)</f>
        <v>#N/A</v>
      </c>
      <c r="K26" t="e">
        <f>VLOOKUP(A26,pivot_table_plasmid!$A$1:$F$20,3,FALSE)</f>
        <v>#N/A</v>
      </c>
      <c r="L26" t="e">
        <f>VLOOKUP(A26,pivot_table_plasmid!$A$1:$F$20,4,FALSE)</f>
        <v>#N/A</v>
      </c>
      <c r="M26" t="e">
        <f>VLOOKUP(A26,pivot_table_plasmid!$A$1:$F$20,5,FALSE)</f>
        <v>#N/A</v>
      </c>
    </row>
    <row r="27" spans="1:13" x14ac:dyDescent="0.25">
      <c r="A27" t="s">
        <v>81</v>
      </c>
      <c r="B27" t="s">
        <v>82</v>
      </c>
      <c r="C27" s="1">
        <v>43746</v>
      </c>
      <c r="D27" t="s">
        <v>66</v>
      </c>
      <c r="E27">
        <v>2019</v>
      </c>
      <c r="F27" t="s">
        <v>12</v>
      </c>
      <c r="G27" t="s">
        <v>21</v>
      </c>
      <c r="H27" t="s">
        <v>14</v>
      </c>
      <c r="I27" t="s">
        <v>14</v>
      </c>
      <c r="J27">
        <f>VLOOKUP(A27,pivot_table_plasmid!$A$1:$F$20,2,FALSE)</f>
        <v>0</v>
      </c>
      <c r="K27">
        <f>VLOOKUP(A27,pivot_table_plasmid!$A$1:$F$20,3,FALSE)</f>
        <v>1</v>
      </c>
      <c r="L27">
        <f>VLOOKUP(A27,pivot_table_plasmid!$A$1:$F$20,4,FALSE)</f>
        <v>0</v>
      </c>
      <c r="M27">
        <f>VLOOKUP(A27,pivot_table_plasmid!$A$1:$F$20,5,FALSE)</f>
        <v>0</v>
      </c>
    </row>
    <row r="28" spans="1:13" x14ac:dyDescent="0.25">
      <c r="A28" t="s">
        <v>83</v>
      </c>
      <c r="B28" t="s">
        <v>84</v>
      </c>
      <c r="C28" s="1">
        <v>43966</v>
      </c>
      <c r="D28" t="s">
        <v>66</v>
      </c>
      <c r="E28">
        <v>2020</v>
      </c>
      <c r="F28" t="s">
        <v>12</v>
      </c>
      <c r="G28" t="s">
        <v>21</v>
      </c>
      <c r="H28" t="s">
        <v>14</v>
      </c>
      <c r="I28" t="s">
        <v>14</v>
      </c>
      <c r="J28" t="e">
        <f>VLOOKUP(A28,pivot_table_plasmid!$A$1:$F$20,2,FALSE)</f>
        <v>#N/A</v>
      </c>
      <c r="K28" t="e">
        <f>VLOOKUP(A28,pivot_table_plasmid!$A$1:$F$20,3,FALSE)</f>
        <v>#N/A</v>
      </c>
      <c r="L28" t="e">
        <f>VLOOKUP(A28,pivot_table_plasmid!$A$1:$F$20,4,FALSE)</f>
        <v>#N/A</v>
      </c>
      <c r="M28" t="e">
        <f>VLOOKUP(A28,pivot_table_plasmid!$A$1:$F$20,5,FALSE)</f>
        <v>#N/A</v>
      </c>
    </row>
    <row r="29" spans="1:13" x14ac:dyDescent="0.25">
      <c r="A29" t="s">
        <v>85</v>
      </c>
      <c r="B29" t="s">
        <v>86</v>
      </c>
      <c r="C29" s="1">
        <v>44145</v>
      </c>
      <c r="D29" t="s">
        <v>66</v>
      </c>
      <c r="E29">
        <v>2020</v>
      </c>
      <c r="F29" t="s">
        <v>12</v>
      </c>
      <c r="G29" t="s">
        <v>21</v>
      </c>
      <c r="H29" t="s">
        <v>14</v>
      </c>
      <c r="I29" t="s">
        <v>14</v>
      </c>
      <c r="J29" t="e">
        <f>VLOOKUP(A29,pivot_table_plasmid!$A$1:$F$20,2,FALSE)</f>
        <v>#N/A</v>
      </c>
      <c r="K29" t="e">
        <f>VLOOKUP(A29,pivot_table_plasmid!$A$1:$F$20,3,FALSE)</f>
        <v>#N/A</v>
      </c>
      <c r="L29" t="e">
        <f>VLOOKUP(A29,pivot_table_plasmid!$A$1:$F$20,4,FALSE)</f>
        <v>#N/A</v>
      </c>
      <c r="M29" t="e">
        <f>VLOOKUP(A29,pivot_table_plasmid!$A$1:$F$20,5,FALSE)</f>
        <v>#N/A</v>
      </c>
    </row>
    <row r="30" spans="1:13" x14ac:dyDescent="0.25">
      <c r="A30" t="s">
        <v>87</v>
      </c>
      <c r="B30" t="s">
        <v>88</v>
      </c>
      <c r="C30" s="1">
        <v>44139</v>
      </c>
      <c r="D30" t="s">
        <v>11</v>
      </c>
      <c r="E30">
        <v>2020</v>
      </c>
      <c r="F30" t="s">
        <v>12</v>
      </c>
      <c r="G30" t="s">
        <v>21</v>
      </c>
      <c r="H30" t="s">
        <v>14</v>
      </c>
      <c r="I30" t="s">
        <v>14</v>
      </c>
      <c r="J30">
        <f>VLOOKUP(A30,pivot_table_plasmid!$A$1:$F$20,2,FALSE)</f>
        <v>0</v>
      </c>
      <c r="K30">
        <f>VLOOKUP(A30,pivot_table_plasmid!$A$1:$F$20,3,FALSE)</f>
        <v>1</v>
      </c>
      <c r="L30">
        <f>VLOOKUP(A30,pivot_table_plasmid!$A$1:$F$20,4,FALSE)</f>
        <v>0</v>
      </c>
      <c r="M30">
        <f>VLOOKUP(A30,pivot_table_plasmid!$A$1:$F$20,5,FALSE)</f>
        <v>0</v>
      </c>
    </row>
    <row r="31" spans="1:13" x14ac:dyDescent="0.25">
      <c r="A31" t="s">
        <v>89</v>
      </c>
      <c r="B31" t="s">
        <v>90</v>
      </c>
      <c r="C31" s="1">
        <v>43999</v>
      </c>
      <c r="D31" t="s">
        <v>11</v>
      </c>
      <c r="E31">
        <v>2020</v>
      </c>
      <c r="F31" t="s">
        <v>12</v>
      </c>
      <c r="G31" t="s">
        <v>21</v>
      </c>
      <c r="H31" t="s">
        <v>14</v>
      </c>
      <c r="I31" t="s">
        <v>14</v>
      </c>
      <c r="J31">
        <f>VLOOKUP(A31,pivot_table_plasmid!$A$1:$F$20,2,FALSE)</f>
        <v>0</v>
      </c>
      <c r="K31">
        <f>VLOOKUP(A31,pivot_table_plasmid!$A$1:$F$20,3,FALSE)</f>
        <v>1</v>
      </c>
      <c r="L31">
        <f>VLOOKUP(A31,pivot_table_plasmid!$A$1:$F$20,4,FALSE)</f>
        <v>0</v>
      </c>
      <c r="M31">
        <f>VLOOKUP(A31,pivot_table_plasmid!$A$1:$F$20,5,FALSE)</f>
        <v>0</v>
      </c>
    </row>
    <row r="32" spans="1:13" x14ac:dyDescent="0.25">
      <c r="A32" t="s">
        <v>91</v>
      </c>
      <c r="B32" t="s">
        <v>92</v>
      </c>
      <c r="C32" s="1">
        <v>44146</v>
      </c>
      <c r="D32" t="s">
        <v>11</v>
      </c>
      <c r="E32">
        <v>2020</v>
      </c>
      <c r="F32" t="s">
        <v>12</v>
      </c>
      <c r="G32" t="s">
        <v>21</v>
      </c>
      <c r="H32" t="s">
        <v>14</v>
      </c>
      <c r="I32" t="s">
        <v>14</v>
      </c>
      <c r="J32" t="e">
        <f>VLOOKUP(A32,pivot_table_plasmid!$A$1:$F$20,2,FALSE)</f>
        <v>#N/A</v>
      </c>
      <c r="K32" t="e">
        <f>VLOOKUP(A32,pivot_table_plasmid!$A$1:$F$20,3,FALSE)</f>
        <v>#N/A</v>
      </c>
      <c r="L32" t="e">
        <f>VLOOKUP(A32,pivot_table_plasmid!$A$1:$F$20,4,FALSE)</f>
        <v>#N/A</v>
      </c>
      <c r="M32" t="e">
        <f>VLOOKUP(A32,pivot_table_plasmid!$A$1:$F$20,5,FALSE)</f>
        <v>#N/A</v>
      </c>
    </row>
    <row r="33" spans="1:13" x14ac:dyDescent="0.25">
      <c r="A33" t="s">
        <v>93</v>
      </c>
      <c r="B33" t="s">
        <v>94</v>
      </c>
      <c r="C33" s="1">
        <v>43936</v>
      </c>
      <c r="D33" t="s">
        <v>95</v>
      </c>
      <c r="E33">
        <v>2020</v>
      </c>
      <c r="F33" t="s">
        <v>12</v>
      </c>
      <c r="G33" t="s">
        <v>21</v>
      </c>
      <c r="H33" t="s">
        <v>14</v>
      </c>
      <c r="I33" t="s">
        <v>14</v>
      </c>
      <c r="J33" t="e">
        <f>VLOOKUP(A33,pivot_table_plasmid!$A$1:$F$20,2,FALSE)</f>
        <v>#N/A</v>
      </c>
      <c r="K33" t="e">
        <f>VLOOKUP(A33,pivot_table_plasmid!$A$1:$F$20,3,FALSE)</f>
        <v>#N/A</v>
      </c>
      <c r="L33" t="e">
        <f>VLOOKUP(A33,pivot_table_plasmid!$A$1:$F$20,4,FALSE)</f>
        <v>#N/A</v>
      </c>
      <c r="M33" t="e">
        <f>VLOOKUP(A33,pivot_table_plasmid!$A$1:$F$20,5,FALSE)</f>
        <v>#N/A</v>
      </c>
    </row>
    <row r="34" spans="1:13" x14ac:dyDescent="0.25">
      <c r="A34" t="s">
        <v>96</v>
      </c>
      <c r="B34" t="s">
        <v>97</v>
      </c>
      <c r="C34" s="1">
        <v>43930</v>
      </c>
      <c r="D34" t="s">
        <v>66</v>
      </c>
      <c r="E34">
        <v>2020</v>
      </c>
      <c r="F34" t="s">
        <v>12</v>
      </c>
      <c r="G34" t="s">
        <v>21</v>
      </c>
      <c r="H34" t="s">
        <v>14</v>
      </c>
      <c r="I34" t="s">
        <v>14</v>
      </c>
      <c r="J34" t="e">
        <f>VLOOKUP(A34,pivot_table_plasmid!$A$1:$F$20,2,FALSE)</f>
        <v>#N/A</v>
      </c>
      <c r="K34" t="e">
        <f>VLOOKUP(A34,pivot_table_plasmid!$A$1:$F$20,3,FALSE)</f>
        <v>#N/A</v>
      </c>
      <c r="L34" t="e">
        <f>VLOOKUP(A34,pivot_table_plasmid!$A$1:$F$20,4,FALSE)</f>
        <v>#N/A</v>
      </c>
      <c r="M34" t="e">
        <f>VLOOKUP(A34,pivot_table_plasmid!$A$1:$F$20,5,FALSE)</f>
        <v>#N/A</v>
      </c>
    </row>
    <row r="35" spans="1:13" x14ac:dyDescent="0.25">
      <c r="A35" t="s">
        <v>98</v>
      </c>
      <c r="B35" t="s">
        <v>99</v>
      </c>
      <c r="C35" s="1">
        <v>43955</v>
      </c>
      <c r="D35" t="s">
        <v>66</v>
      </c>
      <c r="E35">
        <v>2020</v>
      </c>
      <c r="F35" t="s">
        <v>12</v>
      </c>
      <c r="G35" t="s">
        <v>21</v>
      </c>
      <c r="H35" t="s">
        <v>14</v>
      </c>
      <c r="I35" t="s">
        <v>14</v>
      </c>
      <c r="J35" t="e">
        <f>VLOOKUP(A35,pivot_table_plasmid!$A$1:$F$20,2,FALSE)</f>
        <v>#N/A</v>
      </c>
      <c r="K35" t="e">
        <f>VLOOKUP(A35,pivot_table_plasmid!$A$1:$F$20,3,FALSE)</f>
        <v>#N/A</v>
      </c>
      <c r="L35" t="e">
        <f>VLOOKUP(A35,pivot_table_plasmid!$A$1:$F$20,4,FALSE)</f>
        <v>#N/A</v>
      </c>
      <c r="M35" t="e">
        <f>VLOOKUP(A35,pivot_table_plasmid!$A$1:$F$20,5,FALSE)</f>
        <v>#N/A</v>
      </c>
    </row>
    <row r="36" spans="1:13" x14ac:dyDescent="0.25">
      <c r="A36" t="s">
        <v>100</v>
      </c>
      <c r="B36" t="s">
        <v>101</v>
      </c>
      <c r="C36" s="1">
        <v>43973</v>
      </c>
      <c r="D36" t="s">
        <v>66</v>
      </c>
      <c r="E36">
        <v>2020</v>
      </c>
      <c r="F36" t="s">
        <v>12</v>
      </c>
      <c r="G36" t="s">
        <v>21</v>
      </c>
      <c r="H36" t="s">
        <v>14</v>
      </c>
      <c r="I36" t="s">
        <v>14</v>
      </c>
      <c r="J36" t="e">
        <f>VLOOKUP(A36,pivot_table_plasmid!$A$1:$F$20,2,FALSE)</f>
        <v>#N/A</v>
      </c>
      <c r="K36" t="e">
        <f>VLOOKUP(A36,pivot_table_plasmid!$A$1:$F$20,3,FALSE)</f>
        <v>#N/A</v>
      </c>
      <c r="L36" t="e">
        <f>VLOOKUP(A36,pivot_table_plasmid!$A$1:$F$20,4,FALSE)</f>
        <v>#N/A</v>
      </c>
      <c r="M36" t="e">
        <f>VLOOKUP(A36,pivot_table_plasmid!$A$1:$F$20,5,FALSE)</f>
        <v>#N/A</v>
      </c>
    </row>
    <row r="37" spans="1:13" x14ac:dyDescent="0.25">
      <c r="A37" t="s">
        <v>102</v>
      </c>
      <c r="B37" t="s">
        <v>103</v>
      </c>
      <c r="C37" s="1">
        <v>43863</v>
      </c>
      <c r="D37" t="s">
        <v>104</v>
      </c>
      <c r="E37">
        <v>2020</v>
      </c>
      <c r="F37" t="s">
        <v>12</v>
      </c>
      <c r="G37" t="s">
        <v>21</v>
      </c>
      <c r="H37" t="s">
        <v>14</v>
      </c>
      <c r="I37" t="s">
        <v>14</v>
      </c>
      <c r="J37" t="e">
        <f>VLOOKUP(A37,pivot_table_plasmid!$A$1:$F$20,2,FALSE)</f>
        <v>#N/A</v>
      </c>
      <c r="K37" t="e">
        <f>VLOOKUP(A37,pivot_table_plasmid!$A$1:$F$20,3,FALSE)</f>
        <v>#N/A</v>
      </c>
      <c r="L37" t="e">
        <f>VLOOKUP(A37,pivot_table_plasmid!$A$1:$F$20,4,FALSE)</f>
        <v>#N/A</v>
      </c>
      <c r="M37" t="e">
        <f>VLOOKUP(A37,pivot_table_plasmid!$A$1:$F$20,5,FALSE)</f>
        <v>#N/A</v>
      </c>
    </row>
    <row r="38" spans="1:13" x14ac:dyDescent="0.25">
      <c r="A38" t="s">
        <v>105</v>
      </c>
      <c r="B38" t="s">
        <v>106</v>
      </c>
      <c r="C38" s="1">
        <v>43991</v>
      </c>
      <c r="D38" t="s">
        <v>66</v>
      </c>
      <c r="E38">
        <v>2020</v>
      </c>
      <c r="F38" t="s">
        <v>12</v>
      </c>
      <c r="G38" t="s">
        <v>21</v>
      </c>
      <c r="H38" t="s">
        <v>14</v>
      </c>
      <c r="I38" t="s">
        <v>14</v>
      </c>
      <c r="J38" t="e">
        <f>VLOOKUP(A38,pivot_table_plasmid!$A$1:$F$20,2,FALSE)</f>
        <v>#N/A</v>
      </c>
      <c r="K38" t="e">
        <f>VLOOKUP(A38,pivot_table_plasmid!$A$1:$F$20,3,FALSE)</f>
        <v>#N/A</v>
      </c>
      <c r="L38" t="e">
        <f>VLOOKUP(A38,pivot_table_plasmid!$A$1:$F$20,4,FALSE)</f>
        <v>#N/A</v>
      </c>
      <c r="M38" t="e">
        <f>VLOOKUP(A38,pivot_table_plasmid!$A$1:$F$20,5,FALSE)</f>
        <v>#N/A</v>
      </c>
    </row>
    <row r="39" spans="1:13" x14ac:dyDescent="0.25">
      <c r="A39" t="s">
        <v>107</v>
      </c>
      <c r="B39" t="s">
        <v>108</v>
      </c>
      <c r="C39" s="1">
        <v>44041</v>
      </c>
      <c r="D39" t="s">
        <v>66</v>
      </c>
      <c r="E39">
        <v>2020</v>
      </c>
      <c r="F39" t="s">
        <v>12</v>
      </c>
      <c r="G39" t="s">
        <v>21</v>
      </c>
      <c r="H39" t="s">
        <v>14</v>
      </c>
      <c r="I39" t="s">
        <v>14</v>
      </c>
      <c r="J39" t="e">
        <f>VLOOKUP(A39,pivot_table_plasmid!$A$1:$F$20,2,FALSE)</f>
        <v>#N/A</v>
      </c>
      <c r="K39" t="e">
        <f>VLOOKUP(A39,pivot_table_plasmid!$A$1:$F$20,3,FALSE)</f>
        <v>#N/A</v>
      </c>
      <c r="L39" t="e">
        <f>VLOOKUP(A39,pivot_table_plasmid!$A$1:$F$20,4,FALSE)</f>
        <v>#N/A</v>
      </c>
      <c r="M39" t="e">
        <f>VLOOKUP(A39,pivot_table_plasmid!$A$1:$F$20,5,FALSE)</f>
        <v>#N/A</v>
      </c>
    </row>
    <row r="40" spans="1:13" x14ac:dyDescent="0.25">
      <c r="A40" t="s">
        <v>109</v>
      </c>
      <c r="B40" t="s">
        <v>110</v>
      </c>
      <c r="C40" s="1">
        <v>44074</v>
      </c>
      <c r="D40" t="s">
        <v>66</v>
      </c>
      <c r="E40">
        <v>2020</v>
      </c>
      <c r="F40" t="s">
        <v>12</v>
      </c>
      <c r="G40" t="s">
        <v>21</v>
      </c>
      <c r="H40" t="s">
        <v>14</v>
      </c>
      <c r="I40" t="s">
        <v>14</v>
      </c>
      <c r="J40" t="e">
        <f>VLOOKUP(A40,pivot_table_plasmid!$A$1:$F$20,2,FALSE)</f>
        <v>#N/A</v>
      </c>
      <c r="K40" t="e">
        <f>VLOOKUP(A40,pivot_table_plasmid!$A$1:$F$20,3,FALSE)</f>
        <v>#N/A</v>
      </c>
      <c r="L40" t="e">
        <f>VLOOKUP(A40,pivot_table_plasmid!$A$1:$F$20,4,FALSE)</f>
        <v>#N/A</v>
      </c>
      <c r="M40" t="e">
        <f>VLOOKUP(A40,pivot_table_plasmid!$A$1:$F$20,5,FALSE)</f>
        <v>#N/A</v>
      </c>
    </row>
    <row r="41" spans="1:13" x14ac:dyDescent="0.25">
      <c r="A41" t="s">
        <v>111</v>
      </c>
      <c r="B41" t="s">
        <v>112</v>
      </c>
      <c r="C41" s="1">
        <v>44081</v>
      </c>
      <c r="D41" t="s">
        <v>66</v>
      </c>
      <c r="E41">
        <v>2020</v>
      </c>
      <c r="F41" t="s">
        <v>12</v>
      </c>
      <c r="G41" t="s">
        <v>21</v>
      </c>
      <c r="H41" t="s">
        <v>14</v>
      </c>
      <c r="I41" t="s">
        <v>14</v>
      </c>
      <c r="J41" t="e">
        <f>VLOOKUP(A41,pivot_table_plasmid!$A$1:$F$20,2,FALSE)</f>
        <v>#N/A</v>
      </c>
      <c r="K41" t="e">
        <f>VLOOKUP(A41,pivot_table_plasmid!$A$1:$F$20,3,FALSE)</f>
        <v>#N/A</v>
      </c>
      <c r="L41" t="e">
        <f>VLOOKUP(A41,pivot_table_plasmid!$A$1:$F$20,4,FALSE)</f>
        <v>#N/A</v>
      </c>
      <c r="M41" t="e">
        <f>VLOOKUP(A41,pivot_table_plasmid!$A$1:$F$20,5,FALSE)</f>
        <v>#N/A</v>
      </c>
    </row>
    <row r="42" spans="1:13" x14ac:dyDescent="0.25">
      <c r="A42" t="s">
        <v>113</v>
      </c>
      <c r="B42" t="s">
        <v>114</v>
      </c>
      <c r="C42" s="1">
        <v>44099</v>
      </c>
      <c r="D42" t="s">
        <v>66</v>
      </c>
      <c r="E42">
        <v>2020</v>
      </c>
      <c r="F42" t="s">
        <v>12</v>
      </c>
      <c r="G42" t="s">
        <v>21</v>
      </c>
      <c r="H42" t="s">
        <v>14</v>
      </c>
      <c r="I42" t="s">
        <v>14</v>
      </c>
      <c r="J42" t="e">
        <f>VLOOKUP(A42,pivot_table_plasmid!$A$1:$F$20,2,FALSE)</f>
        <v>#N/A</v>
      </c>
      <c r="K42" t="e">
        <f>VLOOKUP(A42,pivot_table_plasmid!$A$1:$F$20,3,FALSE)</f>
        <v>#N/A</v>
      </c>
      <c r="L42" t="e">
        <f>VLOOKUP(A42,pivot_table_plasmid!$A$1:$F$20,4,FALSE)</f>
        <v>#N/A</v>
      </c>
      <c r="M42" t="e">
        <f>VLOOKUP(A42,pivot_table_plasmid!$A$1:$F$20,5,FALSE)</f>
        <v>#N/A</v>
      </c>
    </row>
    <row r="43" spans="1:13" x14ac:dyDescent="0.25">
      <c r="A43" t="s">
        <v>115</v>
      </c>
      <c r="B43" t="s">
        <v>116</v>
      </c>
      <c r="C43" s="1">
        <v>44134</v>
      </c>
      <c r="D43" t="s">
        <v>104</v>
      </c>
      <c r="E43">
        <v>2020</v>
      </c>
      <c r="F43" t="s">
        <v>12</v>
      </c>
      <c r="G43" t="s">
        <v>21</v>
      </c>
      <c r="H43" t="s">
        <v>14</v>
      </c>
      <c r="I43" t="s">
        <v>14</v>
      </c>
      <c r="J43" t="e">
        <f>VLOOKUP(A43,pivot_table_plasmid!$A$1:$F$20,2,FALSE)</f>
        <v>#N/A</v>
      </c>
      <c r="K43" t="e">
        <f>VLOOKUP(A43,pivot_table_plasmid!$A$1:$F$20,3,FALSE)</f>
        <v>#N/A</v>
      </c>
      <c r="L43" t="e">
        <f>VLOOKUP(A43,pivot_table_plasmid!$A$1:$F$20,4,FALSE)</f>
        <v>#N/A</v>
      </c>
      <c r="M43" t="e">
        <f>VLOOKUP(A43,pivot_table_plasmid!$A$1:$F$20,5,FALSE)</f>
        <v>#N/A</v>
      </c>
    </row>
    <row r="44" spans="1:13" x14ac:dyDescent="0.25">
      <c r="A44" t="s">
        <v>117</v>
      </c>
      <c r="B44" t="s">
        <v>118</v>
      </c>
      <c r="C44" s="1">
        <v>44179</v>
      </c>
      <c r="D44" t="s">
        <v>66</v>
      </c>
      <c r="E44">
        <v>2020</v>
      </c>
      <c r="F44" t="s">
        <v>12</v>
      </c>
      <c r="G44" t="s">
        <v>21</v>
      </c>
      <c r="H44" t="s">
        <v>14</v>
      </c>
      <c r="I44" t="s">
        <v>14</v>
      </c>
      <c r="J44">
        <f>VLOOKUP(A44,pivot_table_plasmid!$A$1:$F$20,2,FALSE)</f>
        <v>0</v>
      </c>
      <c r="K44">
        <f>VLOOKUP(A44,pivot_table_plasmid!$A$1:$F$20,3,FALSE)</f>
        <v>1</v>
      </c>
      <c r="L44">
        <f>VLOOKUP(A44,pivot_table_plasmid!$A$1:$F$20,4,FALSE)</f>
        <v>0</v>
      </c>
      <c r="M44">
        <f>VLOOKUP(A44,pivot_table_plasmid!$A$1:$F$20,5,FALSE)</f>
        <v>0</v>
      </c>
    </row>
    <row r="45" spans="1:13" x14ac:dyDescent="0.25">
      <c r="A45" t="s">
        <v>119</v>
      </c>
      <c r="B45" t="s">
        <v>120</v>
      </c>
      <c r="C45" s="1">
        <v>44476</v>
      </c>
      <c r="D45" t="s">
        <v>66</v>
      </c>
      <c r="E45">
        <v>2021</v>
      </c>
      <c r="F45" t="s">
        <v>12</v>
      </c>
      <c r="G45" t="s">
        <v>21</v>
      </c>
      <c r="H45" t="s">
        <v>14</v>
      </c>
      <c r="I45" t="s">
        <v>14</v>
      </c>
      <c r="J45" t="e">
        <f>VLOOKUP(A45,pivot_table_plasmid!$A$1:$F$20,2,FALSE)</f>
        <v>#N/A</v>
      </c>
      <c r="K45" t="e">
        <f>VLOOKUP(A45,pivot_table_plasmid!$A$1:$F$20,3,FALSE)</f>
        <v>#N/A</v>
      </c>
      <c r="L45" t="e">
        <f>VLOOKUP(A45,pivot_table_plasmid!$A$1:$F$20,4,FALSE)</f>
        <v>#N/A</v>
      </c>
      <c r="M45" t="e">
        <f>VLOOKUP(A45,pivot_table_plasmid!$A$1:$F$20,5,FALSE)</f>
        <v>#N/A</v>
      </c>
    </row>
    <row r="46" spans="1:13" x14ac:dyDescent="0.25">
      <c r="A46" t="s">
        <v>121</v>
      </c>
      <c r="B46" t="s">
        <v>122</v>
      </c>
      <c r="C46" s="1">
        <v>44272</v>
      </c>
      <c r="D46" t="s">
        <v>66</v>
      </c>
      <c r="E46">
        <v>2021</v>
      </c>
      <c r="F46" t="s">
        <v>12</v>
      </c>
      <c r="G46" t="s">
        <v>21</v>
      </c>
      <c r="H46" t="s">
        <v>14</v>
      </c>
      <c r="I46" t="s">
        <v>14</v>
      </c>
      <c r="J46">
        <f>VLOOKUP(A46,pivot_table_plasmid!$A$1:$F$20,2,FALSE)</f>
        <v>0</v>
      </c>
      <c r="K46">
        <f>VLOOKUP(A46,pivot_table_plasmid!$A$1:$F$20,3,FALSE)</f>
        <v>1</v>
      </c>
      <c r="L46">
        <f>VLOOKUP(A46,pivot_table_plasmid!$A$1:$F$20,4,FALSE)</f>
        <v>0</v>
      </c>
      <c r="M46">
        <f>VLOOKUP(A46,pivot_table_plasmid!$A$1:$F$20,5,FALSE)</f>
        <v>0</v>
      </c>
    </row>
    <row r="47" spans="1:13" x14ac:dyDescent="0.25">
      <c r="A47" t="s">
        <v>123</v>
      </c>
      <c r="B47" t="s">
        <v>124</v>
      </c>
      <c r="C47" s="1">
        <v>44232</v>
      </c>
      <c r="D47" t="s">
        <v>11</v>
      </c>
      <c r="E47">
        <v>2021</v>
      </c>
      <c r="F47" t="s">
        <v>12</v>
      </c>
      <c r="G47" t="s">
        <v>21</v>
      </c>
      <c r="H47" t="s">
        <v>14</v>
      </c>
      <c r="I47" t="s">
        <v>14</v>
      </c>
      <c r="J47" t="e">
        <f>VLOOKUP(A47,pivot_table_plasmid!$A$1:$F$20,2,FALSE)</f>
        <v>#N/A</v>
      </c>
      <c r="K47" t="e">
        <f>VLOOKUP(A47,pivot_table_plasmid!$A$1:$F$20,3,FALSE)</f>
        <v>#N/A</v>
      </c>
      <c r="L47" t="e">
        <f>VLOOKUP(A47,pivot_table_plasmid!$A$1:$F$20,4,FALSE)</f>
        <v>#N/A</v>
      </c>
      <c r="M47" t="e">
        <f>VLOOKUP(A47,pivot_table_plasmid!$A$1:$F$20,5,FALSE)</f>
        <v>#N/A</v>
      </c>
    </row>
    <row r="48" spans="1:13" x14ac:dyDescent="0.25">
      <c r="A48" t="s">
        <v>125</v>
      </c>
      <c r="B48" t="s">
        <v>126</v>
      </c>
      <c r="C48" s="1">
        <v>44348</v>
      </c>
      <c r="D48" t="s">
        <v>11</v>
      </c>
      <c r="E48">
        <v>2021</v>
      </c>
      <c r="F48" t="s">
        <v>12</v>
      </c>
      <c r="G48" t="s">
        <v>21</v>
      </c>
      <c r="H48" t="s">
        <v>14</v>
      </c>
      <c r="I48" t="s">
        <v>14</v>
      </c>
      <c r="J48" t="e">
        <f>VLOOKUP(A48,pivot_table_plasmid!$A$1:$F$20,2,FALSE)</f>
        <v>#N/A</v>
      </c>
      <c r="K48" t="e">
        <f>VLOOKUP(A48,pivot_table_plasmid!$A$1:$F$20,3,FALSE)</f>
        <v>#N/A</v>
      </c>
      <c r="L48" t="e">
        <f>VLOOKUP(A48,pivot_table_plasmid!$A$1:$F$20,4,FALSE)</f>
        <v>#N/A</v>
      </c>
      <c r="M48" t="e">
        <f>VLOOKUP(A48,pivot_table_plasmid!$A$1:$F$20,5,FALSE)</f>
        <v>#N/A</v>
      </c>
    </row>
    <row r="49" spans="1:13" x14ac:dyDescent="0.25">
      <c r="A49" t="s">
        <v>127</v>
      </c>
      <c r="B49" t="s">
        <v>128</v>
      </c>
      <c r="C49" s="1">
        <v>44298</v>
      </c>
      <c r="D49" t="s">
        <v>66</v>
      </c>
      <c r="E49">
        <v>2021</v>
      </c>
      <c r="F49" t="s">
        <v>12</v>
      </c>
      <c r="G49" t="s">
        <v>21</v>
      </c>
      <c r="H49" t="s">
        <v>14</v>
      </c>
      <c r="I49" t="s">
        <v>14</v>
      </c>
      <c r="J49" t="e">
        <f>VLOOKUP(A49,pivot_table_plasmid!$A$1:$F$20,2,FALSE)</f>
        <v>#N/A</v>
      </c>
      <c r="K49" t="e">
        <f>VLOOKUP(A49,pivot_table_plasmid!$A$1:$F$20,3,FALSE)</f>
        <v>#N/A</v>
      </c>
      <c r="L49" t="e">
        <f>VLOOKUP(A49,pivot_table_plasmid!$A$1:$F$20,4,FALSE)</f>
        <v>#N/A</v>
      </c>
      <c r="M49" t="e">
        <f>VLOOKUP(A49,pivot_table_plasmid!$A$1:$F$20,5,FALSE)</f>
        <v>#N/A</v>
      </c>
    </row>
    <row r="50" spans="1:13" x14ac:dyDescent="0.25">
      <c r="A50" t="s">
        <v>129</v>
      </c>
      <c r="B50" t="s">
        <v>130</v>
      </c>
      <c r="C50" s="1">
        <v>44299</v>
      </c>
      <c r="D50" t="s">
        <v>104</v>
      </c>
      <c r="E50">
        <v>2021</v>
      </c>
      <c r="F50" t="s">
        <v>12</v>
      </c>
      <c r="G50" t="s">
        <v>21</v>
      </c>
      <c r="H50" t="s">
        <v>14</v>
      </c>
      <c r="I50" t="s">
        <v>14</v>
      </c>
      <c r="J50" t="e">
        <f>VLOOKUP(A50,pivot_table_plasmid!$A$1:$F$20,2,FALSE)</f>
        <v>#N/A</v>
      </c>
      <c r="K50" t="e">
        <f>VLOOKUP(A50,pivot_table_plasmid!$A$1:$F$20,3,FALSE)</f>
        <v>#N/A</v>
      </c>
      <c r="L50" t="e">
        <f>VLOOKUP(A50,pivot_table_plasmid!$A$1:$F$20,4,FALSE)</f>
        <v>#N/A</v>
      </c>
      <c r="M50" t="e">
        <f>VLOOKUP(A50,pivot_table_plasmid!$A$1:$F$20,5,FALSE)</f>
        <v>#N/A</v>
      </c>
    </row>
    <row r="51" spans="1:13" x14ac:dyDescent="0.25">
      <c r="A51" t="s">
        <v>131</v>
      </c>
      <c r="B51" t="s">
        <v>132</v>
      </c>
      <c r="C51" s="1">
        <v>44313</v>
      </c>
      <c r="D51" t="s">
        <v>66</v>
      </c>
      <c r="E51">
        <v>2021</v>
      </c>
      <c r="F51" t="s">
        <v>12</v>
      </c>
      <c r="G51" t="s">
        <v>21</v>
      </c>
      <c r="H51" t="s">
        <v>14</v>
      </c>
      <c r="I51" t="s">
        <v>14</v>
      </c>
      <c r="J51" t="e">
        <f>VLOOKUP(A51,pivot_table_plasmid!$A$1:$F$20,2,FALSE)</f>
        <v>#N/A</v>
      </c>
      <c r="K51" t="e">
        <f>VLOOKUP(A51,pivot_table_plasmid!$A$1:$F$20,3,FALSE)</f>
        <v>#N/A</v>
      </c>
      <c r="L51" t="e">
        <f>VLOOKUP(A51,pivot_table_plasmid!$A$1:$F$20,4,FALSE)</f>
        <v>#N/A</v>
      </c>
      <c r="M51" t="e">
        <f>VLOOKUP(A51,pivot_table_plasmid!$A$1:$F$20,5,FALSE)</f>
        <v>#N/A</v>
      </c>
    </row>
    <row r="52" spans="1:13" x14ac:dyDescent="0.25">
      <c r="A52" t="s">
        <v>133</v>
      </c>
      <c r="B52" t="s">
        <v>134</v>
      </c>
      <c r="C52" s="1">
        <v>44028</v>
      </c>
      <c r="D52" t="s">
        <v>104</v>
      </c>
      <c r="E52">
        <v>2020</v>
      </c>
      <c r="F52" t="s">
        <v>12</v>
      </c>
      <c r="G52" t="s">
        <v>21</v>
      </c>
      <c r="H52" t="s">
        <v>14</v>
      </c>
      <c r="I52" t="s">
        <v>14</v>
      </c>
      <c r="J52" t="e">
        <f>VLOOKUP(A52,pivot_table_plasmid!$A$1:$F$20,2,FALSE)</f>
        <v>#N/A</v>
      </c>
      <c r="K52" t="e">
        <f>VLOOKUP(A52,pivot_table_plasmid!$A$1:$F$20,3,FALSE)</f>
        <v>#N/A</v>
      </c>
      <c r="L52" t="e">
        <f>VLOOKUP(A52,pivot_table_plasmid!$A$1:$F$20,4,FALSE)</f>
        <v>#N/A</v>
      </c>
      <c r="M52" t="e">
        <f>VLOOKUP(A52,pivot_table_plasmid!$A$1:$F$20,5,FALSE)</f>
        <v>#N/A</v>
      </c>
    </row>
    <row r="53" spans="1:13" x14ac:dyDescent="0.25">
      <c r="A53" t="s">
        <v>135</v>
      </c>
      <c r="B53" t="s">
        <v>136</v>
      </c>
      <c r="C53" s="1">
        <v>44377</v>
      </c>
      <c r="D53" t="s">
        <v>66</v>
      </c>
      <c r="E53">
        <v>2021</v>
      </c>
      <c r="F53" t="s">
        <v>12</v>
      </c>
      <c r="G53" t="s">
        <v>21</v>
      </c>
      <c r="H53" t="s">
        <v>14</v>
      </c>
      <c r="I53" t="s">
        <v>14</v>
      </c>
      <c r="J53" t="e">
        <f>VLOOKUP(A53,pivot_table_plasmid!$A$1:$F$20,2,FALSE)</f>
        <v>#N/A</v>
      </c>
      <c r="K53" t="e">
        <f>VLOOKUP(A53,pivot_table_plasmid!$A$1:$F$20,3,FALSE)</f>
        <v>#N/A</v>
      </c>
      <c r="L53" t="e">
        <f>VLOOKUP(A53,pivot_table_plasmid!$A$1:$F$20,4,FALSE)</f>
        <v>#N/A</v>
      </c>
      <c r="M53" t="e">
        <f>VLOOKUP(A53,pivot_table_plasmid!$A$1:$F$20,5,FALSE)</f>
        <v>#N/A</v>
      </c>
    </row>
    <row r="54" spans="1:13" x14ac:dyDescent="0.25">
      <c r="A54" t="s">
        <v>137</v>
      </c>
      <c r="B54" t="s">
        <v>138</v>
      </c>
      <c r="C54" s="1">
        <v>44410</v>
      </c>
      <c r="D54" t="s">
        <v>104</v>
      </c>
      <c r="E54">
        <v>2021</v>
      </c>
      <c r="F54" t="s">
        <v>12</v>
      </c>
      <c r="G54" t="s">
        <v>21</v>
      </c>
      <c r="H54" t="s">
        <v>14</v>
      </c>
      <c r="I54" t="s">
        <v>14</v>
      </c>
      <c r="J54" t="e">
        <f>VLOOKUP(A54,pivot_table_plasmid!$A$1:$F$20,2,FALSE)</f>
        <v>#N/A</v>
      </c>
      <c r="K54" t="e">
        <f>VLOOKUP(A54,pivot_table_plasmid!$A$1:$F$20,3,FALSE)</f>
        <v>#N/A</v>
      </c>
      <c r="L54" t="e">
        <f>VLOOKUP(A54,pivot_table_plasmid!$A$1:$F$20,4,FALSE)</f>
        <v>#N/A</v>
      </c>
      <c r="M54" t="e">
        <f>VLOOKUP(A54,pivot_table_plasmid!$A$1:$F$20,5,FALSE)</f>
        <v>#N/A</v>
      </c>
    </row>
    <row r="55" spans="1:13" x14ac:dyDescent="0.25">
      <c r="A55" t="s">
        <v>139</v>
      </c>
      <c r="B55" t="s">
        <v>140</v>
      </c>
      <c r="C55" s="1">
        <v>44407</v>
      </c>
      <c r="D55" t="s">
        <v>66</v>
      </c>
      <c r="E55">
        <v>2021</v>
      </c>
      <c r="F55" t="s">
        <v>12</v>
      </c>
      <c r="G55" t="s">
        <v>21</v>
      </c>
      <c r="H55" t="s">
        <v>14</v>
      </c>
      <c r="I55" t="s">
        <v>14</v>
      </c>
      <c r="J55" t="e">
        <f>VLOOKUP(A55,pivot_table_plasmid!$A$1:$F$20,2,FALSE)</f>
        <v>#N/A</v>
      </c>
      <c r="K55" t="e">
        <f>VLOOKUP(A55,pivot_table_plasmid!$A$1:$F$20,3,FALSE)</f>
        <v>#N/A</v>
      </c>
      <c r="L55" t="e">
        <f>VLOOKUP(A55,pivot_table_plasmid!$A$1:$F$20,4,FALSE)</f>
        <v>#N/A</v>
      </c>
      <c r="M55" t="e">
        <f>VLOOKUP(A55,pivot_table_plasmid!$A$1:$F$20,5,FALSE)</f>
        <v>#N/A</v>
      </c>
    </row>
    <row r="56" spans="1:13" x14ac:dyDescent="0.25">
      <c r="A56" t="s">
        <v>141</v>
      </c>
      <c r="B56" t="s">
        <v>142</v>
      </c>
      <c r="C56" s="1">
        <v>44421</v>
      </c>
      <c r="D56" t="s">
        <v>143</v>
      </c>
      <c r="E56">
        <v>2021</v>
      </c>
      <c r="F56" t="s">
        <v>12</v>
      </c>
      <c r="G56" t="s">
        <v>21</v>
      </c>
      <c r="H56" s="2" t="s">
        <v>14</v>
      </c>
      <c r="I56" s="2" t="s">
        <v>144</v>
      </c>
      <c r="J56" t="e">
        <f>VLOOKUP(A56,pivot_table_plasmid!$A$1:$F$20,2,FALSE)</f>
        <v>#N/A</v>
      </c>
      <c r="K56" t="e">
        <f>VLOOKUP(A56,pivot_table_plasmid!$A$1:$F$20,3,FALSE)</f>
        <v>#N/A</v>
      </c>
      <c r="L56" t="e">
        <f>VLOOKUP(A56,pivot_table_plasmid!$A$1:$F$20,4,FALSE)</f>
        <v>#N/A</v>
      </c>
      <c r="M56" t="e">
        <f>VLOOKUP(A56,pivot_table_plasmid!$A$1:$F$20,5,FALSE)</f>
        <v>#N/A</v>
      </c>
    </row>
    <row r="57" spans="1:13" x14ac:dyDescent="0.25">
      <c r="A57" t="s">
        <v>145</v>
      </c>
      <c r="B57" t="s">
        <v>146</v>
      </c>
      <c r="C57" s="1">
        <v>44432</v>
      </c>
      <c r="D57" t="s">
        <v>66</v>
      </c>
      <c r="E57">
        <v>2021</v>
      </c>
      <c r="F57" t="s">
        <v>12</v>
      </c>
      <c r="G57" t="s">
        <v>21</v>
      </c>
      <c r="H57" t="s">
        <v>14</v>
      </c>
      <c r="I57" t="s">
        <v>14</v>
      </c>
      <c r="J57" t="e">
        <f>VLOOKUP(A57,pivot_table_plasmid!$A$1:$F$20,2,FALSE)</f>
        <v>#N/A</v>
      </c>
      <c r="K57" t="e">
        <f>VLOOKUP(A57,pivot_table_plasmid!$A$1:$F$20,3,FALSE)</f>
        <v>#N/A</v>
      </c>
      <c r="L57" t="e">
        <f>VLOOKUP(A57,pivot_table_plasmid!$A$1:$F$20,4,FALSE)</f>
        <v>#N/A</v>
      </c>
      <c r="M57" t="e">
        <f>VLOOKUP(A57,pivot_table_plasmid!$A$1:$F$20,5,FALSE)</f>
        <v>#N/A</v>
      </c>
    </row>
    <row r="58" spans="1:13" x14ac:dyDescent="0.25">
      <c r="A58" t="s">
        <v>147</v>
      </c>
      <c r="B58" t="s">
        <v>148</v>
      </c>
      <c r="C58" s="1">
        <v>44468</v>
      </c>
      <c r="D58" t="s">
        <v>66</v>
      </c>
      <c r="E58">
        <v>2021</v>
      </c>
      <c r="F58" t="s">
        <v>12</v>
      </c>
      <c r="G58" t="s">
        <v>21</v>
      </c>
      <c r="H58" t="s">
        <v>14</v>
      </c>
      <c r="I58" t="s">
        <v>14</v>
      </c>
      <c r="J58" t="e">
        <f>VLOOKUP(A58,pivot_table_plasmid!$A$1:$F$20,2,FALSE)</f>
        <v>#N/A</v>
      </c>
      <c r="K58" t="e">
        <f>VLOOKUP(A58,pivot_table_plasmid!$A$1:$F$20,3,FALSE)</f>
        <v>#N/A</v>
      </c>
      <c r="L58" t="e">
        <f>VLOOKUP(A58,pivot_table_plasmid!$A$1:$F$20,4,FALSE)</f>
        <v>#N/A</v>
      </c>
      <c r="M58" t="e">
        <f>VLOOKUP(A58,pivot_table_plasmid!$A$1:$F$20,5,FALSE)</f>
        <v>#N/A</v>
      </c>
    </row>
    <row r="59" spans="1:13" x14ac:dyDescent="0.25">
      <c r="A59" t="s">
        <v>149</v>
      </c>
      <c r="B59" t="s">
        <v>150</v>
      </c>
      <c r="C59" s="1">
        <v>44477</v>
      </c>
      <c r="D59" t="s">
        <v>104</v>
      </c>
      <c r="E59">
        <v>2021</v>
      </c>
      <c r="F59" t="s">
        <v>12</v>
      </c>
      <c r="G59" t="s">
        <v>21</v>
      </c>
      <c r="H59" t="s">
        <v>14</v>
      </c>
      <c r="I59" t="s">
        <v>14</v>
      </c>
      <c r="J59" t="e">
        <f>VLOOKUP(A59,pivot_table_plasmid!$A$1:$F$20,2,FALSE)</f>
        <v>#N/A</v>
      </c>
      <c r="K59" t="e">
        <f>VLOOKUP(A59,pivot_table_plasmid!$A$1:$F$20,3,FALSE)</f>
        <v>#N/A</v>
      </c>
      <c r="L59" t="e">
        <f>VLOOKUP(A59,pivot_table_plasmid!$A$1:$F$20,4,FALSE)</f>
        <v>#N/A</v>
      </c>
      <c r="M59" t="e">
        <f>VLOOKUP(A59,pivot_table_plasmid!$A$1:$F$20,5,FALSE)</f>
        <v>#N/A</v>
      </c>
    </row>
    <row r="60" spans="1:13" x14ac:dyDescent="0.25">
      <c r="A60" t="s">
        <v>151</v>
      </c>
      <c r="B60" t="s">
        <v>152</v>
      </c>
      <c r="C60" s="1">
        <v>44483</v>
      </c>
      <c r="D60" t="s">
        <v>66</v>
      </c>
      <c r="E60">
        <v>2021</v>
      </c>
      <c r="F60" t="s">
        <v>12</v>
      </c>
      <c r="G60" t="s">
        <v>21</v>
      </c>
      <c r="H60" t="s">
        <v>14</v>
      </c>
      <c r="I60" t="s">
        <v>14</v>
      </c>
      <c r="J60" t="e">
        <f>VLOOKUP(A60,pivot_table_plasmid!$A$1:$F$20,2,FALSE)</f>
        <v>#N/A</v>
      </c>
      <c r="K60" t="e">
        <f>VLOOKUP(A60,pivot_table_plasmid!$A$1:$F$20,3,FALSE)</f>
        <v>#N/A</v>
      </c>
      <c r="L60" t="e">
        <f>VLOOKUP(A60,pivot_table_plasmid!$A$1:$F$20,4,FALSE)</f>
        <v>#N/A</v>
      </c>
      <c r="M60" t="e">
        <f>VLOOKUP(A60,pivot_table_plasmid!$A$1:$F$20,5,FALSE)</f>
        <v>#N/A</v>
      </c>
    </row>
    <row r="61" spans="1:13" x14ac:dyDescent="0.25">
      <c r="A61" t="s">
        <v>153</v>
      </c>
      <c r="B61" t="s">
        <v>154</v>
      </c>
      <c r="C61" s="1">
        <v>44501</v>
      </c>
      <c r="D61" t="s">
        <v>155</v>
      </c>
      <c r="E61">
        <v>2021</v>
      </c>
      <c r="F61" t="s">
        <v>12</v>
      </c>
      <c r="G61" t="s">
        <v>21</v>
      </c>
      <c r="H61" t="s">
        <v>14</v>
      </c>
      <c r="I61" t="s">
        <v>14</v>
      </c>
      <c r="J61" t="e">
        <f>VLOOKUP(A61,pivot_table_plasmid!$A$1:$F$20,2,FALSE)</f>
        <v>#N/A</v>
      </c>
      <c r="K61" t="e">
        <f>VLOOKUP(A61,pivot_table_plasmid!$A$1:$F$20,3,FALSE)</f>
        <v>#N/A</v>
      </c>
      <c r="L61" t="e">
        <f>VLOOKUP(A61,pivot_table_plasmid!$A$1:$F$20,4,FALSE)</f>
        <v>#N/A</v>
      </c>
      <c r="M61" t="e">
        <f>VLOOKUP(A61,pivot_table_plasmid!$A$1:$F$20,5,FALSE)</f>
        <v>#N/A</v>
      </c>
    </row>
    <row r="62" spans="1:13" x14ac:dyDescent="0.25">
      <c r="A62" t="s">
        <v>156</v>
      </c>
      <c r="B62" t="s">
        <v>157</v>
      </c>
      <c r="C62" s="1">
        <v>44505</v>
      </c>
      <c r="D62" t="s">
        <v>66</v>
      </c>
      <c r="E62">
        <v>2021</v>
      </c>
      <c r="F62" t="s">
        <v>12</v>
      </c>
      <c r="G62" t="s">
        <v>21</v>
      </c>
      <c r="H62" t="s">
        <v>14</v>
      </c>
      <c r="I62" t="s">
        <v>14</v>
      </c>
      <c r="J62">
        <f>VLOOKUP(A62,pivot_table_plasmid!$A$1:$F$20,2,FALSE)</f>
        <v>0</v>
      </c>
      <c r="K62">
        <f>VLOOKUP(A62,pivot_table_plasmid!$A$1:$F$20,3,FALSE)</f>
        <v>1</v>
      </c>
      <c r="L62">
        <f>VLOOKUP(A62,pivot_table_plasmid!$A$1:$F$20,4,FALSE)</f>
        <v>0</v>
      </c>
      <c r="M62">
        <f>VLOOKUP(A62,pivot_table_plasmid!$A$1:$F$20,5,FALSE)</f>
        <v>0</v>
      </c>
    </row>
    <row r="63" spans="1:13" x14ac:dyDescent="0.25">
      <c r="A63" t="s">
        <v>158</v>
      </c>
      <c r="B63" t="s">
        <v>159</v>
      </c>
      <c r="C63" s="1">
        <v>44511</v>
      </c>
      <c r="D63" t="s">
        <v>104</v>
      </c>
      <c r="E63">
        <v>2021</v>
      </c>
      <c r="F63" t="s">
        <v>12</v>
      </c>
      <c r="G63" t="s">
        <v>21</v>
      </c>
      <c r="H63" t="s">
        <v>14</v>
      </c>
      <c r="I63" t="s">
        <v>14</v>
      </c>
      <c r="J63" t="e">
        <f>VLOOKUP(A63,pivot_table_plasmid!$A$1:$F$20,2,FALSE)</f>
        <v>#N/A</v>
      </c>
      <c r="K63" t="e">
        <f>VLOOKUP(A63,pivot_table_plasmid!$A$1:$F$20,3,FALSE)</f>
        <v>#N/A</v>
      </c>
      <c r="L63" t="e">
        <f>VLOOKUP(A63,pivot_table_plasmid!$A$1:$F$20,4,FALSE)</f>
        <v>#N/A</v>
      </c>
      <c r="M63" t="e">
        <f>VLOOKUP(A63,pivot_table_plasmid!$A$1:$F$20,5,FALSE)</f>
        <v>#N/A</v>
      </c>
    </row>
    <row r="64" spans="1:13" x14ac:dyDescent="0.25">
      <c r="A64" t="s">
        <v>160</v>
      </c>
      <c r="B64" t="s">
        <v>161</v>
      </c>
      <c r="C64" s="1">
        <v>44600</v>
      </c>
      <c r="D64" t="s">
        <v>11</v>
      </c>
      <c r="E64">
        <v>2022</v>
      </c>
      <c r="F64" t="s">
        <v>12</v>
      </c>
      <c r="G64" t="s">
        <v>21</v>
      </c>
      <c r="H64" t="s">
        <v>14</v>
      </c>
      <c r="I64" t="s">
        <v>14</v>
      </c>
      <c r="J64" t="e">
        <f>VLOOKUP(A64,pivot_table_plasmid!$A$1:$F$20,2,FALSE)</f>
        <v>#N/A</v>
      </c>
      <c r="K64" t="e">
        <f>VLOOKUP(A64,pivot_table_plasmid!$A$1:$F$20,3,FALSE)</f>
        <v>#N/A</v>
      </c>
      <c r="L64" t="e">
        <f>VLOOKUP(A64,pivot_table_plasmid!$A$1:$F$20,4,FALSE)</f>
        <v>#N/A</v>
      </c>
      <c r="M64" t="e">
        <f>VLOOKUP(A64,pivot_table_plasmid!$A$1:$F$20,5,FALSE)</f>
        <v>#N/A</v>
      </c>
    </row>
    <row r="65" spans="1:13" x14ac:dyDescent="0.25">
      <c r="A65" t="s">
        <v>162</v>
      </c>
      <c r="B65" t="s">
        <v>163</v>
      </c>
      <c r="C65" s="1">
        <v>44602</v>
      </c>
      <c r="D65" t="s">
        <v>20</v>
      </c>
      <c r="E65">
        <v>2022</v>
      </c>
      <c r="F65" t="s">
        <v>12</v>
      </c>
      <c r="G65" t="s">
        <v>21</v>
      </c>
      <c r="H65" t="s">
        <v>14</v>
      </c>
      <c r="I65" t="s">
        <v>14</v>
      </c>
      <c r="J65" t="e">
        <f>VLOOKUP(A65,pivot_table_plasmid!$A$1:$F$20,2,FALSE)</f>
        <v>#N/A</v>
      </c>
      <c r="K65" t="e">
        <f>VLOOKUP(A65,pivot_table_plasmid!$A$1:$F$20,3,FALSE)</f>
        <v>#N/A</v>
      </c>
      <c r="L65" t="e">
        <f>VLOOKUP(A65,pivot_table_plasmid!$A$1:$F$20,4,FALSE)</f>
        <v>#N/A</v>
      </c>
      <c r="M65" t="e">
        <f>VLOOKUP(A65,pivot_table_plasmid!$A$1:$F$20,5,FALSE)</f>
        <v>#N/A</v>
      </c>
    </row>
    <row r="66" spans="1:13" x14ac:dyDescent="0.25">
      <c r="A66" t="s">
        <v>164</v>
      </c>
      <c r="B66" t="s">
        <v>165</v>
      </c>
      <c r="C66" s="1">
        <v>44631</v>
      </c>
      <c r="D66" t="s">
        <v>104</v>
      </c>
      <c r="E66">
        <v>2022</v>
      </c>
      <c r="F66" t="s">
        <v>12</v>
      </c>
      <c r="G66" t="s">
        <v>21</v>
      </c>
      <c r="H66" t="s">
        <v>14</v>
      </c>
      <c r="I66" t="s">
        <v>14</v>
      </c>
      <c r="J66" t="e">
        <f>VLOOKUP(A66,pivot_table_plasmid!$A$1:$F$20,2,FALSE)</f>
        <v>#N/A</v>
      </c>
      <c r="K66" t="e">
        <f>VLOOKUP(A66,pivot_table_plasmid!$A$1:$F$20,3,FALSE)</f>
        <v>#N/A</v>
      </c>
      <c r="L66" t="e">
        <f>VLOOKUP(A66,pivot_table_plasmid!$A$1:$F$20,4,FALSE)</f>
        <v>#N/A</v>
      </c>
      <c r="M66" t="e">
        <f>VLOOKUP(A66,pivot_table_plasmid!$A$1:$F$20,5,FALSE)</f>
        <v>#N/A</v>
      </c>
    </row>
    <row r="67" spans="1:13" x14ac:dyDescent="0.25">
      <c r="A67" t="s">
        <v>166</v>
      </c>
      <c r="B67" t="s">
        <v>167</v>
      </c>
      <c r="C67" s="1">
        <v>44678</v>
      </c>
      <c r="D67" t="s">
        <v>20</v>
      </c>
      <c r="E67">
        <v>2022</v>
      </c>
      <c r="F67" t="s">
        <v>12</v>
      </c>
      <c r="G67" t="s">
        <v>21</v>
      </c>
      <c r="H67" t="s">
        <v>14</v>
      </c>
      <c r="I67" t="s">
        <v>14</v>
      </c>
      <c r="J67" t="e">
        <f>VLOOKUP(A67,pivot_table_plasmid!$A$1:$F$20,2,FALSE)</f>
        <v>#N/A</v>
      </c>
      <c r="K67" t="e">
        <f>VLOOKUP(A67,pivot_table_plasmid!$A$1:$F$20,3,FALSE)</f>
        <v>#N/A</v>
      </c>
      <c r="L67" t="e">
        <f>VLOOKUP(A67,pivot_table_plasmid!$A$1:$F$20,4,FALSE)</f>
        <v>#N/A</v>
      </c>
      <c r="M67" t="e">
        <f>VLOOKUP(A67,pivot_table_plasmid!$A$1:$F$20,5,FALSE)</f>
        <v>#N/A</v>
      </c>
    </row>
    <row r="68" spans="1:13" x14ac:dyDescent="0.25">
      <c r="A68" t="s">
        <v>168</v>
      </c>
      <c r="B68" t="s">
        <v>169</v>
      </c>
      <c r="C68" s="1">
        <v>44678</v>
      </c>
      <c r="D68" t="s">
        <v>104</v>
      </c>
      <c r="E68">
        <v>2022</v>
      </c>
      <c r="F68" t="s">
        <v>12</v>
      </c>
      <c r="G68" t="s">
        <v>21</v>
      </c>
      <c r="H68" t="s">
        <v>14</v>
      </c>
      <c r="I68" t="s">
        <v>14</v>
      </c>
      <c r="J68" t="e">
        <f>VLOOKUP(A68,pivot_table_plasmid!$A$1:$F$20,2,FALSE)</f>
        <v>#N/A</v>
      </c>
      <c r="K68" t="e">
        <f>VLOOKUP(A68,pivot_table_plasmid!$A$1:$F$20,3,FALSE)</f>
        <v>#N/A</v>
      </c>
      <c r="L68" t="e">
        <f>VLOOKUP(A68,pivot_table_plasmid!$A$1:$F$20,4,FALSE)</f>
        <v>#N/A</v>
      </c>
      <c r="M68" t="e">
        <f>VLOOKUP(A68,pivot_table_plasmid!$A$1:$F$20,5,FALSE)</f>
        <v>#N/A</v>
      </c>
    </row>
    <row r="69" spans="1:13" x14ac:dyDescent="0.25">
      <c r="A69" t="s">
        <v>170</v>
      </c>
      <c r="B69" t="s">
        <v>171</v>
      </c>
      <c r="C69" s="1">
        <v>44684</v>
      </c>
      <c r="D69" t="s">
        <v>11</v>
      </c>
      <c r="E69">
        <v>2022</v>
      </c>
      <c r="F69" t="s">
        <v>12</v>
      </c>
      <c r="G69" t="s">
        <v>21</v>
      </c>
      <c r="H69" t="s">
        <v>14</v>
      </c>
      <c r="I69" t="s">
        <v>14</v>
      </c>
      <c r="J69" t="e">
        <f>VLOOKUP(A69,pivot_table_plasmid!$A$1:$F$20,2,FALSE)</f>
        <v>#N/A</v>
      </c>
      <c r="K69" t="e">
        <f>VLOOKUP(A69,pivot_table_plasmid!$A$1:$F$20,3,FALSE)</f>
        <v>#N/A</v>
      </c>
      <c r="L69" t="e">
        <f>VLOOKUP(A69,pivot_table_plasmid!$A$1:$F$20,4,FALSE)</f>
        <v>#N/A</v>
      </c>
      <c r="M69" t="e">
        <f>VLOOKUP(A69,pivot_table_plasmid!$A$1:$F$20,5,FALSE)</f>
        <v>#N/A</v>
      </c>
    </row>
    <row r="70" spans="1:13" x14ac:dyDescent="0.25">
      <c r="A70" t="s">
        <v>172</v>
      </c>
      <c r="B70" t="s">
        <v>173</v>
      </c>
      <c r="C70" s="1">
        <v>44734</v>
      </c>
      <c r="D70" t="s">
        <v>95</v>
      </c>
      <c r="E70">
        <v>2022</v>
      </c>
      <c r="F70" t="s">
        <v>12</v>
      </c>
      <c r="G70" t="s">
        <v>21</v>
      </c>
      <c r="H70" t="s">
        <v>14</v>
      </c>
      <c r="I70" t="s">
        <v>14</v>
      </c>
      <c r="J70" t="e">
        <f>VLOOKUP(A70,pivot_table_plasmid!$A$1:$F$20,2,FALSE)</f>
        <v>#N/A</v>
      </c>
      <c r="K70" t="e">
        <f>VLOOKUP(A70,pivot_table_plasmid!$A$1:$F$20,3,FALSE)</f>
        <v>#N/A</v>
      </c>
      <c r="L70" t="e">
        <f>VLOOKUP(A70,pivot_table_plasmid!$A$1:$F$20,4,FALSE)</f>
        <v>#N/A</v>
      </c>
      <c r="M70" t="e">
        <f>VLOOKUP(A70,pivot_table_plasmid!$A$1:$F$20,5,FALSE)</f>
        <v>#N/A</v>
      </c>
    </row>
    <row r="71" spans="1:13" x14ac:dyDescent="0.25">
      <c r="A71" t="s">
        <v>174</v>
      </c>
      <c r="B71" t="s">
        <v>175</v>
      </c>
      <c r="C71" s="1">
        <v>44739</v>
      </c>
      <c r="D71" t="s">
        <v>104</v>
      </c>
      <c r="E71">
        <v>2022</v>
      </c>
      <c r="F71" t="s">
        <v>12</v>
      </c>
      <c r="G71" t="s">
        <v>21</v>
      </c>
      <c r="H71" t="s">
        <v>14</v>
      </c>
      <c r="I71" t="s">
        <v>14</v>
      </c>
      <c r="J71" t="e">
        <f>VLOOKUP(A71,pivot_table_plasmid!$A$1:$F$20,2,FALSE)</f>
        <v>#N/A</v>
      </c>
      <c r="K71" t="e">
        <f>VLOOKUP(A71,pivot_table_plasmid!$A$1:$F$20,3,FALSE)</f>
        <v>#N/A</v>
      </c>
      <c r="L71" t="e">
        <f>VLOOKUP(A71,pivot_table_plasmid!$A$1:$F$20,4,FALSE)</f>
        <v>#N/A</v>
      </c>
      <c r="M71" t="e">
        <f>VLOOKUP(A71,pivot_table_plasmid!$A$1:$F$20,5,FALSE)</f>
        <v>#N/A</v>
      </c>
    </row>
    <row r="72" spans="1:13" x14ac:dyDescent="0.25">
      <c r="A72" s="3" t="s">
        <v>176</v>
      </c>
      <c r="B72" s="3" t="s">
        <v>177</v>
      </c>
      <c r="C72" s="1">
        <v>44752</v>
      </c>
      <c r="D72" s="3" t="s">
        <v>11</v>
      </c>
      <c r="E72" s="3">
        <v>2022</v>
      </c>
      <c r="F72" s="3" t="s">
        <v>12</v>
      </c>
      <c r="G72" s="3" t="s">
        <v>178</v>
      </c>
      <c r="H72" s="3" t="s">
        <v>14</v>
      </c>
      <c r="I72" s="3" t="s">
        <v>14</v>
      </c>
      <c r="J72" t="e">
        <f>VLOOKUP(A72,pivot_table_plasmid!$A$1:$F$20,2,FALSE)</f>
        <v>#N/A</v>
      </c>
      <c r="K72" t="e">
        <f>VLOOKUP(A72,pivot_table_plasmid!$A$1:$F$20,3,FALSE)</f>
        <v>#N/A</v>
      </c>
      <c r="L72" t="e">
        <f>VLOOKUP(A72,pivot_table_plasmid!$A$1:$F$20,4,FALSE)</f>
        <v>#N/A</v>
      </c>
      <c r="M72" t="e">
        <f>VLOOKUP(A72,pivot_table_plasmid!$A$1:$F$20,5,FALSE)</f>
        <v>#N/A</v>
      </c>
    </row>
    <row r="73" spans="1:13" x14ac:dyDescent="0.25">
      <c r="A73" t="s">
        <v>179</v>
      </c>
      <c r="B73" t="s">
        <v>180</v>
      </c>
      <c r="C73" s="1">
        <v>44764</v>
      </c>
      <c r="D73" t="s">
        <v>181</v>
      </c>
      <c r="E73">
        <v>2022</v>
      </c>
      <c r="F73" t="s">
        <v>12</v>
      </c>
      <c r="G73" t="s">
        <v>21</v>
      </c>
      <c r="H73" t="s">
        <v>14</v>
      </c>
      <c r="I73" t="s">
        <v>14</v>
      </c>
      <c r="J73" t="e">
        <f>VLOOKUP(A73,pivot_table_plasmid!$A$1:$F$20,2,FALSE)</f>
        <v>#N/A</v>
      </c>
      <c r="K73" t="e">
        <f>VLOOKUP(A73,pivot_table_plasmid!$A$1:$F$20,3,FALSE)</f>
        <v>#N/A</v>
      </c>
      <c r="L73" t="e">
        <f>VLOOKUP(A73,pivot_table_plasmid!$A$1:$F$20,4,FALSE)</f>
        <v>#N/A</v>
      </c>
      <c r="M73" t="e">
        <f>VLOOKUP(A73,pivot_table_plasmid!$A$1:$F$20,5,FALSE)</f>
        <v>#N/A</v>
      </c>
    </row>
    <row r="74" spans="1:13" x14ac:dyDescent="0.25">
      <c r="A74" t="s">
        <v>182</v>
      </c>
      <c r="B74" t="s">
        <v>183</v>
      </c>
      <c r="C74" s="1">
        <v>44803</v>
      </c>
      <c r="D74" t="s">
        <v>104</v>
      </c>
      <c r="E74">
        <v>2022</v>
      </c>
      <c r="F74" t="s">
        <v>12</v>
      </c>
      <c r="G74" t="s">
        <v>21</v>
      </c>
      <c r="H74" t="s">
        <v>14</v>
      </c>
      <c r="I74" t="s">
        <v>14</v>
      </c>
      <c r="J74" t="e">
        <f>VLOOKUP(A74,pivot_table_plasmid!$A$1:$F$20,2,FALSE)</f>
        <v>#N/A</v>
      </c>
      <c r="K74" t="e">
        <f>VLOOKUP(A74,pivot_table_plasmid!$A$1:$F$20,3,FALSE)</f>
        <v>#N/A</v>
      </c>
      <c r="L74" t="e">
        <f>VLOOKUP(A74,pivot_table_plasmid!$A$1:$F$20,4,FALSE)</f>
        <v>#N/A</v>
      </c>
      <c r="M74" t="e">
        <f>VLOOKUP(A74,pivot_table_plasmid!$A$1:$F$20,5,FALSE)</f>
        <v>#N/A</v>
      </c>
    </row>
    <row r="75" spans="1:13" x14ac:dyDescent="0.25">
      <c r="A75" t="s">
        <v>184</v>
      </c>
      <c r="B75" t="s">
        <v>185</v>
      </c>
      <c r="C75" s="1">
        <v>44811</v>
      </c>
      <c r="D75" t="s">
        <v>66</v>
      </c>
      <c r="E75">
        <v>2022</v>
      </c>
      <c r="F75" t="s">
        <v>12</v>
      </c>
      <c r="G75" t="s">
        <v>21</v>
      </c>
      <c r="H75" t="s">
        <v>14</v>
      </c>
      <c r="I75" t="s">
        <v>14</v>
      </c>
      <c r="J75" t="e">
        <f>VLOOKUP(A75,pivot_table_plasmid!$A$1:$F$20,2,FALSE)</f>
        <v>#N/A</v>
      </c>
      <c r="K75" t="e">
        <f>VLOOKUP(A75,pivot_table_plasmid!$A$1:$F$20,3,FALSE)</f>
        <v>#N/A</v>
      </c>
      <c r="L75" t="e">
        <f>VLOOKUP(A75,pivot_table_plasmid!$A$1:$F$20,4,FALSE)</f>
        <v>#N/A</v>
      </c>
      <c r="M75" t="e">
        <f>VLOOKUP(A75,pivot_table_plasmid!$A$1:$F$20,5,FALSE)</f>
        <v>#N/A</v>
      </c>
    </row>
    <row r="76" spans="1:13" x14ac:dyDescent="0.25">
      <c r="A76" t="s">
        <v>186</v>
      </c>
      <c r="B76" t="s">
        <v>187</v>
      </c>
      <c r="C76" s="1">
        <v>44832</v>
      </c>
      <c r="D76" t="s">
        <v>104</v>
      </c>
      <c r="E76">
        <v>2022</v>
      </c>
      <c r="F76" t="s">
        <v>12</v>
      </c>
      <c r="G76" t="s">
        <v>21</v>
      </c>
      <c r="H76" t="s">
        <v>14</v>
      </c>
      <c r="I76" t="s">
        <v>14</v>
      </c>
      <c r="J76" t="e">
        <f>VLOOKUP(A76,pivot_table_plasmid!$A$1:$F$20,2,FALSE)</f>
        <v>#N/A</v>
      </c>
      <c r="K76" t="e">
        <f>VLOOKUP(A76,pivot_table_plasmid!$A$1:$F$20,3,FALSE)</f>
        <v>#N/A</v>
      </c>
      <c r="L76" t="e">
        <f>VLOOKUP(A76,pivot_table_plasmid!$A$1:$F$20,4,FALSE)</f>
        <v>#N/A</v>
      </c>
      <c r="M76" t="e">
        <f>VLOOKUP(A76,pivot_table_plasmid!$A$1:$F$20,5,FALSE)</f>
        <v>#N/A</v>
      </c>
    </row>
    <row r="77" spans="1:13" x14ac:dyDescent="0.25">
      <c r="A77" t="s">
        <v>188</v>
      </c>
      <c r="B77" t="s">
        <v>189</v>
      </c>
      <c r="C77" s="1">
        <v>44880</v>
      </c>
      <c r="D77" t="s">
        <v>190</v>
      </c>
      <c r="E77">
        <v>2022</v>
      </c>
      <c r="F77" t="s">
        <v>12</v>
      </c>
      <c r="G77" t="s">
        <v>21</v>
      </c>
      <c r="H77" t="s">
        <v>14</v>
      </c>
      <c r="I77" t="s">
        <v>14</v>
      </c>
      <c r="J77">
        <f>VLOOKUP(A77,pivot_table_plasmid!$A$1:$F$20,2,FALSE)</f>
        <v>0</v>
      </c>
      <c r="K77">
        <f>VLOOKUP(A77,pivot_table_plasmid!$A$1:$F$20,3,FALSE)</f>
        <v>1</v>
      </c>
      <c r="L77">
        <f>VLOOKUP(A77,pivot_table_plasmid!$A$1:$F$20,4,FALSE)</f>
        <v>0</v>
      </c>
      <c r="M77">
        <f>VLOOKUP(A77,pivot_table_plasmid!$A$1:$F$20,5,FALSE)</f>
        <v>0</v>
      </c>
    </row>
    <row r="78" spans="1:13" x14ac:dyDescent="0.25">
      <c r="A78" t="s">
        <v>191</v>
      </c>
      <c r="B78" t="s">
        <v>192</v>
      </c>
      <c r="C78" s="1">
        <v>44873</v>
      </c>
      <c r="D78" t="s">
        <v>20</v>
      </c>
      <c r="E78">
        <v>2022</v>
      </c>
      <c r="F78" t="s">
        <v>12</v>
      </c>
      <c r="G78" t="s">
        <v>78</v>
      </c>
      <c r="H78" t="s">
        <v>14</v>
      </c>
      <c r="I78" t="s">
        <v>14</v>
      </c>
      <c r="J78">
        <f>VLOOKUP(A78,pivot_table_plasmid!$A$1:$F$20,2,FALSE)</f>
        <v>1</v>
      </c>
      <c r="K78">
        <f>VLOOKUP(A78,pivot_table_plasmid!$A$1:$F$20,3,FALSE)</f>
        <v>1</v>
      </c>
      <c r="L78">
        <f>VLOOKUP(A78,pivot_table_plasmid!$A$1:$F$20,4,FALSE)</f>
        <v>0</v>
      </c>
      <c r="M78">
        <f>VLOOKUP(A78,pivot_table_plasmid!$A$1:$F$20,5,FALSE)</f>
        <v>0</v>
      </c>
    </row>
    <row r="79" spans="1:13" x14ac:dyDescent="0.25">
      <c r="A79" t="s">
        <v>193</v>
      </c>
      <c r="B79" t="s">
        <v>194</v>
      </c>
      <c r="C79" s="1">
        <v>44907</v>
      </c>
      <c r="D79" t="s">
        <v>20</v>
      </c>
      <c r="E79">
        <v>2022</v>
      </c>
      <c r="F79" t="s">
        <v>12</v>
      </c>
      <c r="G79" t="s">
        <v>78</v>
      </c>
      <c r="H79" t="s">
        <v>14</v>
      </c>
      <c r="I79" t="s">
        <v>14</v>
      </c>
      <c r="J79">
        <f>VLOOKUP(A79,pivot_table_plasmid!$A$1:$F$20,2,FALSE)</f>
        <v>1</v>
      </c>
      <c r="K79">
        <f>VLOOKUP(A79,pivot_table_plasmid!$A$1:$F$20,3,FALSE)</f>
        <v>1</v>
      </c>
      <c r="L79">
        <f>VLOOKUP(A79,pivot_table_plasmid!$A$1:$F$20,4,FALSE)</f>
        <v>0</v>
      </c>
      <c r="M79">
        <f>VLOOKUP(A79,pivot_table_plasmid!$A$1:$F$20,5,FALSE)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82BE-B6CD-4E2B-A1C3-B6F7A7C408AF}">
  <dimension ref="A1:B9"/>
  <sheetViews>
    <sheetView zoomScale="280" zoomScaleNormal="280" workbookViewId="0">
      <selection activeCell="B8" sqref="B8"/>
    </sheetView>
  </sheetViews>
  <sheetFormatPr defaultRowHeight="15" x14ac:dyDescent="0.25"/>
  <cols>
    <col min="1" max="1" width="13.42578125" bestFit="1" customWidth="1"/>
  </cols>
  <sheetData>
    <row r="1" spans="1:2" x14ac:dyDescent="0.25">
      <c r="A1" s="4" t="s">
        <v>302</v>
      </c>
    </row>
    <row r="2" spans="1:2" x14ac:dyDescent="0.25">
      <c r="A2" s="5" t="s">
        <v>20</v>
      </c>
      <c r="B2" t="s">
        <v>368</v>
      </c>
    </row>
    <row r="3" spans="1:2" x14ac:dyDescent="0.25">
      <c r="A3" s="5" t="s">
        <v>104</v>
      </c>
      <c r="B3" t="s">
        <v>369</v>
      </c>
    </row>
    <row r="4" spans="1:2" x14ac:dyDescent="0.25">
      <c r="A4" s="5" t="s">
        <v>190</v>
      </c>
      <c r="B4" t="s">
        <v>370</v>
      </c>
    </row>
    <row r="5" spans="1:2" x14ac:dyDescent="0.25">
      <c r="A5" s="5" t="s">
        <v>95</v>
      </c>
      <c r="B5" t="s">
        <v>371</v>
      </c>
    </row>
    <row r="6" spans="1:2" x14ac:dyDescent="0.25">
      <c r="A6" s="5" t="s">
        <v>303</v>
      </c>
      <c r="B6" t="s">
        <v>372</v>
      </c>
    </row>
    <row r="7" spans="1:2" x14ac:dyDescent="0.25">
      <c r="A7" s="5" t="s">
        <v>155</v>
      </c>
      <c r="B7" t="s">
        <v>373</v>
      </c>
    </row>
    <row r="8" spans="1:2" x14ac:dyDescent="0.25">
      <c r="A8" s="5" t="s">
        <v>366</v>
      </c>
    </row>
    <row r="9" spans="1:2" x14ac:dyDescent="0.25">
      <c r="A9" s="5" t="s">
        <v>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5BC3-2998-4C1F-908B-EBFEC48DDEDD}">
  <dimension ref="A1:H58"/>
  <sheetViews>
    <sheetView workbookViewId="0">
      <selection activeCell="E1" sqref="E1:E1048576"/>
    </sheetView>
  </sheetViews>
  <sheetFormatPr defaultRowHeight="15" x14ac:dyDescent="0.25"/>
  <cols>
    <col min="2" max="2" width="24.42578125" bestFit="1" customWidth="1"/>
    <col min="3" max="3" width="11.42578125" bestFit="1" customWidth="1"/>
    <col min="4" max="4" width="10.42578125" bestFit="1" customWidth="1"/>
    <col min="5" max="5" width="7.42578125" bestFit="1" customWidth="1"/>
    <col min="6" max="6" width="5" bestFit="1" customWidth="1"/>
  </cols>
  <sheetData>
    <row r="1" spans="1:8" x14ac:dyDescent="0.25">
      <c r="A1" t="s">
        <v>0</v>
      </c>
      <c r="B1" t="s">
        <v>197</v>
      </c>
      <c r="C1" t="s">
        <v>1</v>
      </c>
      <c r="D1" s="1" t="s">
        <v>2</v>
      </c>
      <c r="E1" t="s">
        <v>3</v>
      </c>
      <c r="F1" t="s">
        <v>4</v>
      </c>
      <c r="G1" t="s">
        <v>299</v>
      </c>
      <c r="H1" t="s">
        <v>361</v>
      </c>
    </row>
    <row r="2" spans="1:8" x14ac:dyDescent="0.25">
      <c r="A2" t="s">
        <v>18</v>
      </c>
      <c r="B2" t="s">
        <v>304</v>
      </c>
      <c r="C2" t="s">
        <v>19</v>
      </c>
      <c r="D2" s="1">
        <v>38587</v>
      </c>
      <c r="E2" t="s">
        <v>20</v>
      </c>
      <c r="F2">
        <v>2005</v>
      </c>
      <c r="G2">
        <v>1</v>
      </c>
      <c r="H2" t="s">
        <v>362</v>
      </c>
    </row>
    <row r="3" spans="1:8" x14ac:dyDescent="0.25">
      <c r="A3" t="s">
        <v>64</v>
      </c>
      <c r="B3" t="s">
        <v>305</v>
      </c>
      <c r="C3" t="s">
        <v>65</v>
      </c>
      <c r="D3" s="1">
        <v>43549</v>
      </c>
      <c r="E3" t="s">
        <v>20</v>
      </c>
      <c r="F3">
        <v>2019</v>
      </c>
      <c r="G3">
        <v>0</v>
      </c>
      <c r="H3" t="s">
        <v>363</v>
      </c>
    </row>
    <row r="4" spans="1:8" x14ac:dyDescent="0.25">
      <c r="A4" t="s">
        <v>67</v>
      </c>
      <c r="B4" t="s">
        <v>306</v>
      </c>
      <c r="C4" t="s">
        <v>68</v>
      </c>
      <c r="D4" s="1">
        <v>43693</v>
      </c>
      <c r="E4" t="s">
        <v>20</v>
      </c>
      <c r="F4">
        <v>2019</v>
      </c>
      <c r="G4">
        <v>0</v>
      </c>
      <c r="H4" t="s">
        <v>362</v>
      </c>
    </row>
    <row r="5" spans="1:8" x14ac:dyDescent="0.25">
      <c r="A5" t="s">
        <v>69</v>
      </c>
      <c r="B5" t="s">
        <v>307</v>
      </c>
      <c r="C5" t="s">
        <v>70</v>
      </c>
      <c r="D5" s="1">
        <v>43530</v>
      </c>
      <c r="E5" t="s">
        <v>20</v>
      </c>
      <c r="F5">
        <v>2019</v>
      </c>
      <c r="G5">
        <v>0</v>
      </c>
      <c r="H5" t="s">
        <v>364</v>
      </c>
    </row>
    <row r="6" spans="1:8" x14ac:dyDescent="0.25">
      <c r="A6" t="s">
        <v>71</v>
      </c>
      <c r="B6" t="s">
        <v>308</v>
      </c>
      <c r="C6" t="s">
        <v>72</v>
      </c>
      <c r="D6" s="1">
        <v>43688</v>
      </c>
      <c r="E6" t="s">
        <v>20</v>
      </c>
      <c r="F6">
        <v>2019</v>
      </c>
      <c r="G6">
        <v>1</v>
      </c>
      <c r="H6" t="s">
        <v>363</v>
      </c>
    </row>
    <row r="7" spans="1:8" x14ac:dyDescent="0.25">
      <c r="A7" t="s">
        <v>73</v>
      </c>
      <c r="B7" t="s">
        <v>309</v>
      </c>
      <c r="C7" t="s">
        <v>74</v>
      </c>
      <c r="D7" s="1">
        <v>43704</v>
      </c>
      <c r="E7" t="s">
        <v>20</v>
      </c>
      <c r="F7">
        <v>2019</v>
      </c>
      <c r="G7">
        <v>0</v>
      </c>
      <c r="H7" t="s">
        <v>363</v>
      </c>
    </row>
    <row r="8" spans="1:8" x14ac:dyDescent="0.25">
      <c r="A8" t="s">
        <v>79</v>
      </c>
      <c r="B8" t="s">
        <v>310</v>
      </c>
      <c r="C8" t="s">
        <v>80</v>
      </c>
      <c r="D8" s="1">
        <v>43744</v>
      </c>
      <c r="E8" t="s">
        <v>20</v>
      </c>
      <c r="F8">
        <v>2019</v>
      </c>
      <c r="G8">
        <v>0</v>
      </c>
      <c r="H8" t="s">
        <v>364</v>
      </c>
    </row>
    <row r="9" spans="1:8" x14ac:dyDescent="0.25">
      <c r="A9" t="s">
        <v>81</v>
      </c>
      <c r="B9" t="s">
        <v>311</v>
      </c>
      <c r="C9" t="s">
        <v>82</v>
      </c>
      <c r="D9" s="1">
        <v>43746</v>
      </c>
      <c r="E9" t="s">
        <v>20</v>
      </c>
      <c r="F9">
        <v>2019</v>
      </c>
      <c r="G9">
        <v>1</v>
      </c>
      <c r="H9" t="s">
        <v>363</v>
      </c>
    </row>
    <row r="10" spans="1:8" x14ac:dyDescent="0.25">
      <c r="A10" t="s">
        <v>83</v>
      </c>
      <c r="B10" t="s">
        <v>312</v>
      </c>
      <c r="C10" t="s">
        <v>84</v>
      </c>
      <c r="D10" s="1">
        <v>43966</v>
      </c>
      <c r="E10" t="s">
        <v>20</v>
      </c>
      <c r="F10">
        <v>2020</v>
      </c>
      <c r="G10">
        <v>0</v>
      </c>
      <c r="H10" t="s">
        <v>363</v>
      </c>
    </row>
    <row r="11" spans="1:8" x14ac:dyDescent="0.25">
      <c r="A11" t="s">
        <v>85</v>
      </c>
      <c r="B11" t="s">
        <v>313</v>
      </c>
      <c r="C11" t="s">
        <v>86</v>
      </c>
      <c r="D11" s="1">
        <v>44145</v>
      </c>
      <c r="E11" t="s">
        <v>20</v>
      </c>
      <c r="F11">
        <v>2020</v>
      </c>
      <c r="G11">
        <v>0</v>
      </c>
      <c r="H11" t="s">
        <v>364</v>
      </c>
    </row>
    <row r="12" spans="1:8" x14ac:dyDescent="0.25">
      <c r="A12" t="s">
        <v>87</v>
      </c>
      <c r="B12" t="s">
        <v>314</v>
      </c>
      <c r="C12" t="s">
        <v>88</v>
      </c>
      <c r="D12" s="1">
        <v>44139</v>
      </c>
      <c r="E12" t="s">
        <v>303</v>
      </c>
      <c r="F12">
        <v>2020</v>
      </c>
      <c r="G12">
        <v>1</v>
      </c>
      <c r="H12" t="s">
        <v>364</v>
      </c>
    </row>
    <row r="13" spans="1:8" x14ac:dyDescent="0.25">
      <c r="A13" t="s">
        <v>89</v>
      </c>
      <c r="B13" t="s">
        <v>315</v>
      </c>
      <c r="C13" t="s">
        <v>90</v>
      </c>
      <c r="D13" s="1">
        <v>43999</v>
      </c>
      <c r="E13" t="s">
        <v>303</v>
      </c>
      <c r="F13">
        <v>2020</v>
      </c>
      <c r="G13">
        <v>1</v>
      </c>
      <c r="H13" t="s">
        <v>363</v>
      </c>
    </row>
    <row r="14" spans="1:8" x14ac:dyDescent="0.25">
      <c r="A14" t="s">
        <v>91</v>
      </c>
      <c r="B14" t="s">
        <v>316</v>
      </c>
      <c r="C14" t="s">
        <v>92</v>
      </c>
      <c r="D14" s="1">
        <v>44146</v>
      </c>
      <c r="E14" t="s">
        <v>303</v>
      </c>
      <c r="F14">
        <v>2020</v>
      </c>
      <c r="G14">
        <v>0</v>
      </c>
      <c r="H14" t="s">
        <v>364</v>
      </c>
    </row>
    <row r="15" spans="1:8" x14ac:dyDescent="0.25">
      <c r="A15" t="s">
        <v>93</v>
      </c>
      <c r="B15" t="s">
        <v>317</v>
      </c>
      <c r="C15" t="s">
        <v>94</v>
      </c>
      <c r="D15" s="1">
        <v>43936</v>
      </c>
      <c r="E15" t="s">
        <v>95</v>
      </c>
      <c r="F15">
        <v>2020</v>
      </c>
      <c r="G15">
        <v>0</v>
      </c>
      <c r="H15" t="s">
        <v>363</v>
      </c>
    </row>
    <row r="16" spans="1:8" x14ac:dyDescent="0.25">
      <c r="A16" t="s">
        <v>96</v>
      </c>
      <c r="B16" t="s">
        <v>318</v>
      </c>
      <c r="C16" t="s">
        <v>97</v>
      </c>
      <c r="D16" s="1">
        <v>43930</v>
      </c>
      <c r="E16" t="s">
        <v>20</v>
      </c>
      <c r="F16">
        <v>2020</v>
      </c>
      <c r="G16">
        <v>0</v>
      </c>
      <c r="H16" t="s">
        <v>363</v>
      </c>
    </row>
    <row r="17" spans="1:8" x14ac:dyDescent="0.25">
      <c r="A17" t="s">
        <v>98</v>
      </c>
      <c r="B17" t="s">
        <v>319</v>
      </c>
      <c r="C17" t="s">
        <v>99</v>
      </c>
      <c r="D17" s="1">
        <v>43955</v>
      </c>
      <c r="E17" t="s">
        <v>20</v>
      </c>
      <c r="F17">
        <v>2020</v>
      </c>
      <c r="G17">
        <v>0</v>
      </c>
      <c r="H17" t="s">
        <v>363</v>
      </c>
    </row>
    <row r="18" spans="1:8" x14ac:dyDescent="0.25">
      <c r="A18" t="s">
        <v>100</v>
      </c>
      <c r="B18" t="s">
        <v>320</v>
      </c>
      <c r="C18" t="s">
        <v>101</v>
      </c>
      <c r="D18" s="1">
        <v>43973</v>
      </c>
      <c r="E18" t="s">
        <v>20</v>
      </c>
      <c r="F18">
        <v>2020</v>
      </c>
      <c r="G18">
        <v>0</v>
      </c>
      <c r="H18" t="s">
        <v>364</v>
      </c>
    </row>
    <row r="19" spans="1:8" x14ac:dyDescent="0.25">
      <c r="A19" t="s">
        <v>102</v>
      </c>
      <c r="B19" t="s">
        <v>321</v>
      </c>
      <c r="C19" t="s">
        <v>103</v>
      </c>
      <c r="D19" s="1">
        <v>43863</v>
      </c>
      <c r="E19" t="s">
        <v>104</v>
      </c>
      <c r="F19">
        <v>2020</v>
      </c>
      <c r="G19">
        <v>0</v>
      </c>
      <c r="H19" t="s">
        <v>363</v>
      </c>
    </row>
    <row r="20" spans="1:8" x14ac:dyDescent="0.25">
      <c r="A20" t="s">
        <v>105</v>
      </c>
      <c r="B20" t="s">
        <v>322</v>
      </c>
      <c r="C20" t="s">
        <v>106</v>
      </c>
      <c r="D20" s="1">
        <v>43991</v>
      </c>
      <c r="E20" t="s">
        <v>20</v>
      </c>
      <c r="F20">
        <v>2020</v>
      </c>
      <c r="G20">
        <v>0</v>
      </c>
      <c r="H20" t="s">
        <v>364</v>
      </c>
    </row>
    <row r="21" spans="1:8" x14ac:dyDescent="0.25">
      <c r="A21" t="s">
        <v>107</v>
      </c>
      <c r="B21" t="s">
        <v>323</v>
      </c>
      <c r="C21" t="s">
        <v>108</v>
      </c>
      <c r="D21" s="1">
        <v>44041</v>
      </c>
      <c r="E21" t="s">
        <v>20</v>
      </c>
      <c r="F21">
        <v>2020</v>
      </c>
      <c r="G21">
        <v>0</v>
      </c>
      <c r="H21" t="s">
        <v>363</v>
      </c>
    </row>
    <row r="22" spans="1:8" x14ac:dyDescent="0.25">
      <c r="A22" t="s">
        <v>109</v>
      </c>
      <c r="B22" t="s">
        <v>324</v>
      </c>
      <c r="C22" t="s">
        <v>110</v>
      </c>
      <c r="D22" s="1">
        <v>44074</v>
      </c>
      <c r="E22" t="s">
        <v>20</v>
      </c>
      <c r="F22">
        <v>2020</v>
      </c>
      <c r="G22">
        <v>0</v>
      </c>
      <c r="H22" t="s">
        <v>365</v>
      </c>
    </row>
    <row r="23" spans="1:8" x14ac:dyDescent="0.25">
      <c r="A23" t="s">
        <v>111</v>
      </c>
      <c r="B23" t="s">
        <v>325</v>
      </c>
      <c r="C23" t="s">
        <v>112</v>
      </c>
      <c r="D23" s="1">
        <v>44081</v>
      </c>
      <c r="E23" t="s">
        <v>20</v>
      </c>
      <c r="F23">
        <v>2020</v>
      </c>
      <c r="G23">
        <v>0</v>
      </c>
      <c r="H23" t="s">
        <v>363</v>
      </c>
    </row>
    <row r="24" spans="1:8" x14ac:dyDescent="0.25">
      <c r="A24" t="s">
        <v>113</v>
      </c>
      <c r="B24" t="s">
        <v>326</v>
      </c>
      <c r="C24" t="s">
        <v>114</v>
      </c>
      <c r="D24" s="1">
        <v>44099</v>
      </c>
      <c r="E24" t="s">
        <v>20</v>
      </c>
      <c r="F24">
        <v>2020</v>
      </c>
      <c r="G24">
        <v>0</v>
      </c>
      <c r="H24" t="s">
        <v>363</v>
      </c>
    </row>
    <row r="25" spans="1:8" x14ac:dyDescent="0.25">
      <c r="A25" t="s">
        <v>115</v>
      </c>
      <c r="B25" t="s">
        <v>327</v>
      </c>
      <c r="C25" t="s">
        <v>116</v>
      </c>
      <c r="D25" s="1">
        <v>44134</v>
      </c>
      <c r="E25" t="s">
        <v>104</v>
      </c>
      <c r="F25">
        <v>2020</v>
      </c>
      <c r="G25">
        <v>0</v>
      </c>
      <c r="H25" t="s">
        <v>364</v>
      </c>
    </row>
    <row r="26" spans="1:8" x14ac:dyDescent="0.25">
      <c r="A26" t="s">
        <v>117</v>
      </c>
      <c r="B26" t="s">
        <v>328</v>
      </c>
      <c r="C26" t="s">
        <v>118</v>
      </c>
      <c r="D26" s="1">
        <v>44179</v>
      </c>
      <c r="E26" t="s">
        <v>20</v>
      </c>
      <c r="F26">
        <v>2020</v>
      </c>
      <c r="G26">
        <v>1</v>
      </c>
      <c r="H26" t="s">
        <v>362</v>
      </c>
    </row>
    <row r="27" spans="1:8" x14ac:dyDescent="0.25">
      <c r="A27" t="s">
        <v>119</v>
      </c>
      <c r="B27" t="s">
        <v>329</v>
      </c>
      <c r="C27" t="s">
        <v>120</v>
      </c>
      <c r="D27" s="1">
        <v>44476</v>
      </c>
      <c r="E27" t="s">
        <v>20</v>
      </c>
      <c r="F27">
        <v>2021</v>
      </c>
      <c r="G27">
        <v>0</v>
      </c>
      <c r="H27" t="s">
        <v>363</v>
      </c>
    </row>
    <row r="28" spans="1:8" x14ac:dyDescent="0.25">
      <c r="A28" t="s">
        <v>121</v>
      </c>
      <c r="B28" t="s">
        <v>330</v>
      </c>
      <c r="C28" t="s">
        <v>122</v>
      </c>
      <c r="D28" s="1">
        <v>44272</v>
      </c>
      <c r="E28" t="s">
        <v>20</v>
      </c>
      <c r="F28">
        <v>2021</v>
      </c>
      <c r="G28">
        <v>1</v>
      </c>
      <c r="H28" t="s">
        <v>362</v>
      </c>
    </row>
    <row r="29" spans="1:8" x14ac:dyDescent="0.25">
      <c r="A29" t="s">
        <v>123</v>
      </c>
      <c r="B29" t="s">
        <v>331</v>
      </c>
      <c r="C29" t="s">
        <v>124</v>
      </c>
      <c r="D29" s="1">
        <v>44232</v>
      </c>
      <c r="E29" t="s">
        <v>303</v>
      </c>
      <c r="F29">
        <v>2021</v>
      </c>
      <c r="G29">
        <v>0</v>
      </c>
      <c r="H29" t="s">
        <v>364</v>
      </c>
    </row>
    <row r="30" spans="1:8" x14ac:dyDescent="0.25">
      <c r="A30" t="s">
        <v>125</v>
      </c>
      <c r="B30" t="s">
        <v>332</v>
      </c>
      <c r="C30" t="s">
        <v>126</v>
      </c>
      <c r="D30" s="1">
        <v>44348</v>
      </c>
      <c r="E30" t="s">
        <v>303</v>
      </c>
      <c r="F30">
        <v>2021</v>
      </c>
      <c r="G30">
        <v>0</v>
      </c>
      <c r="H30" t="s">
        <v>362</v>
      </c>
    </row>
    <row r="31" spans="1:8" x14ac:dyDescent="0.25">
      <c r="A31" t="s">
        <v>127</v>
      </c>
      <c r="B31" t="s">
        <v>333</v>
      </c>
      <c r="C31" t="s">
        <v>128</v>
      </c>
      <c r="D31" s="1">
        <v>44298</v>
      </c>
      <c r="E31" t="s">
        <v>20</v>
      </c>
      <c r="F31">
        <v>2021</v>
      </c>
      <c r="G31">
        <v>0</v>
      </c>
      <c r="H31" t="s">
        <v>364</v>
      </c>
    </row>
    <row r="32" spans="1:8" x14ac:dyDescent="0.25">
      <c r="A32" t="s">
        <v>129</v>
      </c>
      <c r="B32" t="s">
        <v>334</v>
      </c>
      <c r="C32" t="s">
        <v>130</v>
      </c>
      <c r="D32" s="1">
        <v>44299</v>
      </c>
      <c r="E32" t="s">
        <v>104</v>
      </c>
      <c r="F32">
        <v>2021</v>
      </c>
      <c r="G32">
        <v>0</v>
      </c>
      <c r="H32" t="s">
        <v>362</v>
      </c>
    </row>
    <row r="33" spans="1:8" x14ac:dyDescent="0.25">
      <c r="A33" t="s">
        <v>131</v>
      </c>
      <c r="B33" t="s">
        <v>335</v>
      </c>
      <c r="C33" t="s">
        <v>132</v>
      </c>
      <c r="D33" s="1">
        <v>44313</v>
      </c>
      <c r="E33" t="s">
        <v>20</v>
      </c>
      <c r="F33">
        <v>2021</v>
      </c>
      <c r="G33">
        <v>0</v>
      </c>
      <c r="H33" t="s">
        <v>362</v>
      </c>
    </row>
    <row r="34" spans="1:8" x14ac:dyDescent="0.25">
      <c r="A34" t="s">
        <v>133</v>
      </c>
      <c r="B34" t="s">
        <v>336</v>
      </c>
      <c r="C34" t="s">
        <v>134</v>
      </c>
      <c r="D34" s="1">
        <v>44028</v>
      </c>
      <c r="E34" t="s">
        <v>104</v>
      </c>
      <c r="F34">
        <v>2020</v>
      </c>
      <c r="G34">
        <v>0</v>
      </c>
      <c r="H34" t="s">
        <v>363</v>
      </c>
    </row>
    <row r="35" spans="1:8" x14ac:dyDescent="0.25">
      <c r="A35" t="s">
        <v>135</v>
      </c>
      <c r="B35" t="s">
        <v>337</v>
      </c>
      <c r="C35" t="s">
        <v>136</v>
      </c>
      <c r="D35" s="1">
        <v>44377</v>
      </c>
      <c r="E35" t="s">
        <v>20</v>
      </c>
      <c r="F35">
        <v>2021</v>
      </c>
      <c r="G35">
        <v>0</v>
      </c>
      <c r="H35" t="s">
        <v>362</v>
      </c>
    </row>
    <row r="36" spans="1:8" x14ac:dyDescent="0.25">
      <c r="A36" t="s">
        <v>137</v>
      </c>
      <c r="B36" t="s">
        <v>338</v>
      </c>
      <c r="C36" t="s">
        <v>138</v>
      </c>
      <c r="D36" s="1">
        <v>44410</v>
      </c>
      <c r="E36" t="s">
        <v>104</v>
      </c>
      <c r="F36">
        <v>2021</v>
      </c>
      <c r="G36">
        <v>0</v>
      </c>
      <c r="H36" t="s">
        <v>362</v>
      </c>
    </row>
    <row r="37" spans="1:8" x14ac:dyDescent="0.25">
      <c r="A37" t="s">
        <v>139</v>
      </c>
      <c r="B37" t="s">
        <v>339</v>
      </c>
      <c r="C37" t="s">
        <v>140</v>
      </c>
      <c r="D37" s="1">
        <v>44407</v>
      </c>
      <c r="E37" t="s">
        <v>20</v>
      </c>
      <c r="F37">
        <v>2021</v>
      </c>
      <c r="G37">
        <v>0</v>
      </c>
      <c r="H37" t="s">
        <v>362</v>
      </c>
    </row>
    <row r="38" spans="1:8" x14ac:dyDescent="0.25">
      <c r="A38" t="s">
        <v>141</v>
      </c>
      <c r="B38" t="s">
        <v>340</v>
      </c>
      <c r="C38" t="s">
        <v>142</v>
      </c>
      <c r="D38" s="1">
        <v>44421</v>
      </c>
      <c r="E38" t="s">
        <v>104</v>
      </c>
      <c r="F38">
        <v>2021</v>
      </c>
      <c r="G38">
        <v>0</v>
      </c>
      <c r="H38" t="s">
        <v>362</v>
      </c>
    </row>
    <row r="39" spans="1:8" x14ac:dyDescent="0.25">
      <c r="A39" t="s">
        <v>145</v>
      </c>
      <c r="B39" t="s">
        <v>341</v>
      </c>
      <c r="C39" t="s">
        <v>146</v>
      </c>
      <c r="D39" s="1">
        <v>44432</v>
      </c>
      <c r="E39" t="s">
        <v>20</v>
      </c>
      <c r="F39">
        <v>2021</v>
      </c>
      <c r="G39">
        <v>0</v>
      </c>
      <c r="H39" t="s">
        <v>362</v>
      </c>
    </row>
    <row r="40" spans="1:8" x14ac:dyDescent="0.25">
      <c r="A40" t="s">
        <v>147</v>
      </c>
      <c r="B40" t="s">
        <v>342</v>
      </c>
      <c r="C40" t="s">
        <v>148</v>
      </c>
      <c r="D40" s="1">
        <v>44468</v>
      </c>
      <c r="E40" t="s">
        <v>20</v>
      </c>
      <c r="F40">
        <v>2021</v>
      </c>
      <c r="G40">
        <v>0</v>
      </c>
      <c r="H40" t="s">
        <v>364</v>
      </c>
    </row>
    <row r="41" spans="1:8" x14ac:dyDescent="0.25">
      <c r="A41" t="s">
        <v>149</v>
      </c>
      <c r="B41" t="s">
        <v>343</v>
      </c>
      <c r="C41" t="s">
        <v>150</v>
      </c>
      <c r="D41" s="1">
        <v>44477</v>
      </c>
      <c r="E41" t="s">
        <v>104</v>
      </c>
      <c r="F41">
        <v>2021</v>
      </c>
      <c r="G41">
        <v>0</v>
      </c>
      <c r="H41" t="s">
        <v>365</v>
      </c>
    </row>
    <row r="42" spans="1:8" x14ac:dyDescent="0.25">
      <c r="A42" t="s">
        <v>151</v>
      </c>
      <c r="B42" t="s">
        <v>344</v>
      </c>
      <c r="C42" t="s">
        <v>152</v>
      </c>
      <c r="D42" s="1">
        <v>44483</v>
      </c>
      <c r="E42" t="s">
        <v>20</v>
      </c>
      <c r="F42">
        <v>2021</v>
      </c>
      <c r="G42">
        <v>0</v>
      </c>
      <c r="H42" t="s">
        <v>362</v>
      </c>
    </row>
    <row r="43" spans="1:8" x14ac:dyDescent="0.25">
      <c r="A43" t="s">
        <v>153</v>
      </c>
      <c r="B43" t="s">
        <v>345</v>
      </c>
      <c r="C43" t="s">
        <v>154</v>
      </c>
      <c r="D43" s="1">
        <v>44501</v>
      </c>
      <c r="E43" t="s">
        <v>155</v>
      </c>
      <c r="F43">
        <v>2021</v>
      </c>
      <c r="G43">
        <v>0</v>
      </c>
      <c r="H43" t="s">
        <v>363</v>
      </c>
    </row>
    <row r="44" spans="1:8" x14ac:dyDescent="0.25">
      <c r="A44" t="s">
        <v>156</v>
      </c>
      <c r="B44" t="s">
        <v>346</v>
      </c>
      <c r="C44" t="s">
        <v>157</v>
      </c>
      <c r="D44" s="1">
        <v>44505</v>
      </c>
      <c r="E44" t="s">
        <v>20</v>
      </c>
      <c r="F44">
        <v>2021</v>
      </c>
      <c r="G44">
        <v>1</v>
      </c>
      <c r="H44" t="s">
        <v>364</v>
      </c>
    </row>
    <row r="45" spans="1:8" x14ac:dyDescent="0.25">
      <c r="A45" t="s">
        <v>158</v>
      </c>
      <c r="B45" t="s">
        <v>347</v>
      </c>
      <c r="C45" t="s">
        <v>159</v>
      </c>
      <c r="D45" s="1">
        <v>44511</v>
      </c>
      <c r="E45" t="s">
        <v>104</v>
      </c>
      <c r="F45">
        <v>2021</v>
      </c>
      <c r="G45">
        <v>0</v>
      </c>
      <c r="H45" t="s">
        <v>365</v>
      </c>
    </row>
    <row r="46" spans="1:8" x14ac:dyDescent="0.25">
      <c r="A46" t="s">
        <v>160</v>
      </c>
      <c r="B46" t="s">
        <v>348</v>
      </c>
      <c r="C46" t="s">
        <v>161</v>
      </c>
      <c r="D46" s="1">
        <v>44600</v>
      </c>
      <c r="E46" t="s">
        <v>303</v>
      </c>
      <c r="F46">
        <v>2022</v>
      </c>
      <c r="G46">
        <v>0</v>
      </c>
      <c r="H46" t="s">
        <v>363</v>
      </c>
    </row>
    <row r="47" spans="1:8" x14ac:dyDescent="0.25">
      <c r="A47" t="s">
        <v>162</v>
      </c>
      <c r="B47" t="s">
        <v>349</v>
      </c>
      <c r="C47" t="s">
        <v>163</v>
      </c>
      <c r="D47" s="1">
        <v>44602</v>
      </c>
      <c r="E47" t="s">
        <v>20</v>
      </c>
      <c r="F47">
        <v>2022</v>
      </c>
      <c r="G47">
        <v>0</v>
      </c>
      <c r="H47" t="s">
        <v>362</v>
      </c>
    </row>
    <row r="48" spans="1:8" x14ac:dyDescent="0.25">
      <c r="A48" t="s">
        <v>164</v>
      </c>
      <c r="B48" t="s">
        <v>350</v>
      </c>
      <c r="C48" t="s">
        <v>165</v>
      </c>
      <c r="D48" s="1">
        <v>44631</v>
      </c>
      <c r="E48" t="s">
        <v>104</v>
      </c>
      <c r="F48">
        <v>2022</v>
      </c>
      <c r="G48">
        <v>0</v>
      </c>
      <c r="H48" t="s">
        <v>363</v>
      </c>
    </row>
    <row r="49" spans="1:8" x14ac:dyDescent="0.25">
      <c r="A49" t="s">
        <v>166</v>
      </c>
      <c r="B49" t="s">
        <v>351</v>
      </c>
      <c r="C49" t="s">
        <v>167</v>
      </c>
      <c r="D49" s="1">
        <v>44678</v>
      </c>
      <c r="E49" t="s">
        <v>20</v>
      </c>
      <c r="F49">
        <v>2022</v>
      </c>
      <c r="G49">
        <v>0</v>
      </c>
      <c r="H49" t="s">
        <v>364</v>
      </c>
    </row>
    <row r="50" spans="1:8" x14ac:dyDescent="0.25">
      <c r="A50" t="s">
        <v>168</v>
      </c>
      <c r="B50" t="s">
        <v>352</v>
      </c>
      <c r="C50" t="s">
        <v>169</v>
      </c>
      <c r="D50" s="1">
        <v>44678</v>
      </c>
      <c r="E50" t="s">
        <v>104</v>
      </c>
      <c r="F50">
        <v>2022</v>
      </c>
      <c r="G50">
        <v>0</v>
      </c>
      <c r="H50" t="s">
        <v>362</v>
      </c>
    </row>
    <row r="51" spans="1:8" x14ac:dyDescent="0.25">
      <c r="A51" t="s">
        <v>170</v>
      </c>
      <c r="B51" t="s">
        <v>353</v>
      </c>
      <c r="C51" t="s">
        <v>171</v>
      </c>
      <c r="D51" s="1">
        <v>44684</v>
      </c>
      <c r="E51" t="s">
        <v>303</v>
      </c>
      <c r="F51">
        <v>2022</v>
      </c>
      <c r="G51">
        <v>0</v>
      </c>
      <c r="H51" t="s">
        <v>362</v>
      </c>
    </row>
    <row r="52" spans="1:8" x14ac:dyDescent="0.25">
      <c r="A52" t="s">
        <v>172</v>
      </c>
      <c r="B52" t="s">
        <v>354</v>
      </c>
      <c r="C52" t="s">
        <v>173</v>
      </c>
      <c r="D52" s="1">
        <v>44734</v>
      </c>
      <c r="E52" t="s">
        <v>95</v>
      </c>
      <c r="F52">
        <v>2022</v>
      </c>
      <c r="G52">
        <v>0</v>
      </c>
      <c r="H52" t="s">
        <v>364</v>
      </c>
    </row>
    <row r="53" spans="1:8" x14ac:dyDescent="0.25">
      <c r="A53" t="s">
        <v>174</v>
      </c>
      <c r="B53" t="s">
        <v>355</v>
      </c>
      <c r="C53" t="s">
        <v>175</v>
      </c>
      <c r="D53" s="1">
        <v>44739</v>
      </c>
      <c r="E53" t="s">
        <v>104</v>
      </c>
      <c r="F53">
        <v>2022</v>
      </c>
      <c r="G53">
        <v>0</v>
      </c>
      <c r="H53" t="s">
        <v>362</v>
      </c>
    </row>
    <row r="54" spans="1:8" x14ac:dyDescent="0.25">
      <c r="A54" t="s">
        <v>179</v>
      </c>
      <c r="B54" t="s">
        <v>356</v>
      </c>
      <c r="C54" t="s">
        <v>180</v>
      </c>
      <c r="D54" s="1">
        <v>44764</v>
      </c>
      <c r="E54" t="s">
        <v>20</v>
      </c>
      <c r="F54">
        <v>2022</v>
      </c>
      <c r="G54">
        <v>0</v>
      </c>
      <c r="H54" t="s">
        <v>362</v>
      </c>
    </row>
    <row r="55" spans="1:8" x14ac:dyDescent="0.25">
      <c r="A55" t="s">
        <v>182</v>
      </c>
      <c r="B55" t="s">
        <v>357</v>
      </c>
      <c r="C55" t="s">
        <v>183</v>
      </c>
      <c r="D55" s="1">
        <v>44803</v>
      </c>
      <c r="E55" t="s">
        <v>104</v>
      </c>
      <c r="F55">
        <v>2022</v>
      </c>
      <c r="G55">
        <v>0</v>
      </c>
      <c r="H55" t="s">
        <v>362</v>
      </c>
    </row>
    <row r="56" spans="1:8" x14ac:dyDescent="0.25">
      <c r="A56" t="s">
        <v>184</v>
      </c>
      <c r="B56" t="s">
        <v>358</v>
      </c>
      <c r="C56" t="s">
        <v>185</v>
      </c>
      <c r="D56" s="1">
        <v>44811</v>
      </c>
      <c r="E56" t="s">
        <v>20</v>
      </c>
      <c r="F56">
        <v>2022</v>
      </c>
      <c r="G56">
        <v>0</v>
      </c>
      <c r="H56" t="s">
        <v>362</v>
      </c>
    </row>
    <row r="57" spans="1:8" x14ac:dyDescent="0.25">
      <c r="A57" t="s">
        <v>186</v>
      </c>
      <c r="B57" t="s">
        <v>359</v>
      </c>
      <c r="C57" t="s">
        <v>187</v>
      </c>
      <c r="D57" s="1">
        <v>44832</v>
      </c>
      <c r="E57" t="s">
        <v>104</v>
      </c>
      <c r="F57">
        <v>2022</v>
      </c>
      <c r="G57">
        <v>0</v>
      </c>
      <c r="H57" t="s">
        <v>364</v>
      </c>
    </row>
    <row r="58" spans="1:8" x14ac:dyDescent="0.25">
      <c r="A58" t="s">
        <v>188</v>
      </c>
      <c r="B58" t="s">
        <v>360</v>
      </c>
      <c r="C58" t="s">
        <v>189</v>
      </c>
      <c r="D58" s="1">
        <v>44880</v>
      </c>
      <c r="E58" t="s">
        <v>190</v>
      </c>
      <c r="F58">
        <v>2022</v>
      </c>
      <c r="G58">
        <v>1</v>
      </c>
      <c r="H58" t="s">
        <v>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0BD8-ADA7-48AC-BC13-229E50CA012D}">
  <dimension ref="A1:F20"/>
  <sheetViews>
    <sheetView workbookViewId="0">
      <selection activeCell="L25" sqref="L25"/>
    </sheetView>
  </sheetViews>
  <sheetFormatPr defaultRowHeight="15" x14ac:dyDescent="0.25"/>
  <cols>
    <col min="1" max="1" width="10.85546875" bestFit="1" customWidth="1"/>
    <col min="2" max="2" width="4.7109375" bestFit="1" customWidth="1"/>
    <col min="3" max="3" width="4.28515625" bestFit="1" customWidth="1"/>
    <col min="4" max="4" width="5.140625" bestFit="1" customWidth="1"/>
    <col min="5" max="5" width="4.85546875" bestFit="1" customWidth="1"/>
    <col min="6" max="6" width="6.85546875" bestFit="1" customWidth="1"/>
  </cols>
  <sheetData>
    <row r="1" spans="1:6" x14ac:dyDescent="0.25">
      <c r="A1" t="s">
        <v>302</v>
      </c>
      <c r="B1" t="s">
        <v>297</v>
      </c>
      <c r="C1" t="s">
        <v>299</v>
      </c>
      <c r="D1" t="s">
        <v>301</v>
      </c>
      <c r="E1" t="s">
        <v>300</v>
      </c>
      <c r="F1" t="s">
        <v>235</v>
      </c>
    </row>
    <row r="2" spans="1:6" x14ac:dyDescent="0.25">
      <c r="A2" t="s">
        <v>18</v>
      </c>
      <c r="B2">
        <v>0</v>
      </c>
      <c r="C2">
        <v>2</v>
      </c>
      <c r="D2">
        <v>0</v>
      </c>
      <c r="E2">
        <v>0</v>
      </c>
      <c r="F2">
        <v>0</v>
      </c>
    </row>
    <row r="3" spans="1:6" x14ac:dyDescent="0.25">
      <c r="A3" t="s">
        <v>24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32</v>
      </c>
      <c r="B4">
        <v>0</v>
      </c>
      <c r="C4">
        <v>0</v>
      </c>
      <c r="D4">
        <v>1</v>
      </c>
      <c r="E4">
        <v>0</v>
      </c>
      <c r="F4">
        <v>0</v>
      </c>
    </row>
    <row r="5" spans="1:6" x14ac:dyDescent="0.25">
      <c r="A5" t="s">
        <v>42</v>
      </c>
      <c r="B5">
        <v>0</v>
      </c>
      <c r="C5">
        <v>0</v>
      </c>
      <c r="D5">
        <v>0</v>
      </c>
      <c r="E5">
        <v>0</v>
      </c>
      <c r="F5">
        <v>1</v>
      </c>
    </row>
    <row r="6" spans="1:6" x14ac:dyDescent="0.25">
      <c r="A6" t="s">
        <v>44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50</v>
      </c>
      <c r="B7">
        <v>0</v>
      </c>
      <c r="C7">
        <v>0</v>
      </c>
      <c r="D7">
        <v>0</v>
      </c>
      <c r="E7">
        <v>0</v>
      </c>
      <c r="F7">
        <v>1</v>
      </c>
    </row>
    <row r="8" spans="1:6" x14ac:dyDescent="0.25">
      <c r="A8" t="s">
        <v>54</v>
      </c>
      <c r="B8">
        <v>0</v>
      </c>
      <c r="C8">
        <v>0</v>
      </c>
      <c r="D8">
        <v>0</v>
      </c>
      <c r="E8">
        <v>0</v>
      </c>
      <c r="F8">
        <v>1</v>
      </c>
    </row>
    <row r="9" spans="1:6" x14ac:dyDescent="0.25">
      <c r="A9" t="s">
        <v>57</v>
      </c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60</v>
      </c>
      <c r="B10">
        <v>0</v>
      </c>
      <c r="C10">
        <v>0</v>
      </c>
      <c r="D10">
        <v>0</v>
      </c>
      <c r="E10">
        <v>1</v>
      </c>
      <c r="F10">
        <v>0</v>
      </c>
    </row>
    <row r="11" spans="1:6" x14ac:dyDescent="0.25">
      <c r="A11" t="s">
        <v>71</v>
      </c>
      <c r="B11">
        <v>0</v>
      </c>
      <c r="C11">
        <v>1</v>
      </c>
      <c r="D11">
        <v>0</v>
      </c>
      <c r="E11">
        <v>0</v>
      </c>
      <c r="F11">
        <v>0</v>
      </c>
    </row>
    <row r="12" spans="1:6" x14ac:dyDescent="0.25">
      <c r="A12" t="s">
        <v>81</v>
      </c>
      <c r="B12">
        <v>0</v>
      </c>
      <c r="C12">
        <v>1</v>
      </c>
      <c r="D12">
        <v>0</v>
      </c>
      <c r="E12">
        <v>0</v>
      </c>
      <c r="F12">
        <v>0</v>
      </c>
    </row>
    <row r="13" spans="1:6" x14ac:dyDescent="0.25">
      <c r="A13" t="s">
        <v>87</v>
      </c>
      <c r="B13">
        <v>0</v>
      </c>
      <c r="C13">
        <v>1</v>
      </c>
      <c r="D13">
        <v>0</v>
      </c>
      <c r="E13">
        <v>0</v>
      </c>
      <c r="F13">
        <v>0</v>
      </c>
    </row>
    <row r="14" spans="1:6" x14ac:dyDescent="0.25">
      <c r="A14" t="s">
        <v>89</v>
      </c>
      <c r="B14">
        <v>0</v>
      </c>
      <c r="C14">
        <v>1</v>
      </c>
      <c r="D14">
        <v>0</v>
      </c>
      <c r="E14">
        <v>0</v>
      </c>
      <c r="F14">
        <v>0</v>
      </c>
    </row>
    <row r="15" spans="1:6" x14ac:dyDescent="0.25">
      <c r="A15" t="s">
        <v>117</v>
      </c>
      <c r="B15">
        <v>0</v>
      </c>
      <c r="C15">
        <v>1</v>
      </c>
      <c r="D15">
        <v>0</v>
      </c>
      <c r="E15">
        <v>0</v>
      </c>
      <c r="F15">
        <v>0</v>
      </c>
    </row>
    <row r="16" spans="1:6" x14ac:dyDescent="0.25">
      <c r="A16" t="s">
        <v>121</v>
      </c>
      <c r="B16">
        <v>0</v>
      </c>
      <c r="C16">
        <v>1</v>
      </c>
      <c r="D16">
        <v>0</v>
      </c>
      <c r="E16">
        <v>0</v>
      </c>
      <c r="F16">
        <v>0</v>
      </c>
    </row>
    <row r="17" spans="1:6" x14ac:dyDescent="0.25">
      <c r="A17" t="s">
        <v>156</v>
      </c>
      <c r="B17">
        <v>0</v>
      </c>
      <c r="C17">
        <v>1</v>
      </c>
      <c r="D17">
        <v>0</v>
      </c>
      <c r="E17">
        <v>0</v>
      </c>
      <c r="F17">
        <v>0</v>
      </c>
    </row>
    <row r="18" spans="1:6" x14ac:dyDescent="0.25">
      <c r="A18" t="s">
        <v>188</v>
      </c>
      <c r="B18">
        <v>0</v>
      </c>
      <c r="C18">
        <v>1</v>
      </c>
      <c r="D18">
        <v>0</v>
      </c>
      <c r="E18">
        <v>0</v>
      </c>
      <c r="F18">
        <v>0</v>
      </c>
    </row>
    <row r="19" spans="1:6" x14ac:dyDescent="0.25">
      <c r="A19" t="s">
        <v>191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25">
      <c r="A20" t="s">
        <v>193</v>
      </c>
      <c r="B20">
        <v>1</v>
      </c>
      <c r="C20">
        <v>1</v>
      </c>
      <c r="D20">
        <v>0</v>
      </c>
      <c r="E20">
        <v>0</v>
      </c>
      <c r="F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11F1-18A2-4E6A-B6D0-F5353CC7A7F8}">
  <dimension ref="A1:L23"/>
  <sheetViews>
    <sheetView workbookViewId="0">
      <selection sqref="A1:B23"/>
    </sheetView>
  </sheetViews>
  <sheetFormatPr defaultRowHeight="15" x14ac:dyDescent="0.25"/>
  <cols>
    <col min="1" max="1" width="7.42578125" bestFit="1" customWidth="1"/>
    <col min="2" max="2" width="11.7109375" bestFit="1" customWidth="1"/>
    <col min="3" max="3" width="17.85546875" bestFit="1" customWidth="1"/>
    <col min="4" max="4" width="7" bestFit="1" customWidth="1"/>
    <col min="5" max="5" width="14.42578125" bestFit="1" customWidth="1"/>
    <col min="6" max="6" width="21.85546875" bestFit="1" customWidth="1"/>
    <col min="7" max="7" width="12" bestFit="1" customWidth="1"/>
    <col min="8" max="8" width="31.42578125" bestFit="1" customWidth="1"/>
    <col min="9" max="9" width="18.28515625" bestFit="1" customWidth="1"/>
    <col min="10" max="10" width="49.28515625" bestFit="1" customWidth="1"/>
    <col min="11" max="11" width="17.5703125" bestFit="1" customWidth="1"/>
    <col min="12" max="12" width="52.5703125" bestFit="1" customWidth="1"/>
  </cols>
  <sheetData>
    <row r="1" spans="1:12" x14ac:dyDescent="0.25">
      <c r="A1" t="s">
        <v>0</v>
      </c>
      <c r="B1" t="s">
        <v>298</v>
      </c>
      <c r="C1" t="s">
        <v>195</v>
      </c>
      <c r="D1" t="s">
        <v>196</v>
      </c>
      <c r="E1" t="s">
        <v>197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</row>
    <row r="2" spans="1:12" x14ac:dyDescent="0.25">
      <c r="A2" t="s">
        <v>18</v>
      </c>
      <c r="B2" t="s">
        <v>299</v>
      </c>
      <c r="C2" t="s">
        <v>204</v>
      </c>
      <c r="D2">
        <v>86929</v>
      </c>
      <c r="E2" t="s">
        <v>205</v>
      </c>
      <c r="F2" t="s">
        <v>206</v>
      </c>
      <c r="G2">
        <v>0.50169678703309595</v>
      </c>
      <c r="H2" t="s">
        <v>207</v>
      </c>
      <c r="I2" t="s">
        <v>208</v>
      </c>
      <c r="J2" t="s">
        <v>209</v>
      </c>
      <c r="K2" t="s">
        <v>210</v>
      </c>
      <c r="L2" t="s">
        <v>211</v>
      </c>
    </row>
    <row r="3" spans="1:12" x14ac:dyDescent="0.25">
      <c r="A3" t="s">
        <v>18</v>
      </c>
      <c r="B3" t="s">
        <v>299</v>
      </c>
      <c r="C3" t="s">
        <v>213</v>
      </c>
      <c r="D3">
        <v>58058</v>
      </c>
      <c r="E3" t="s">
        <v>214</v>
      </c>
      <c r="F3" t="s">
        <v>215</v>
      </c>
      <c r="G3">
        <v>0.42197457714698999</v>
      </c>
      <c r="H3" t="s">
        <v>216</v>
      </c>
      <c r="I3" t="s">
        <v>208</v>
      </c>
      <c r="J3" t="s">
        <v>217</v>
      </c>
      <c r="K3" t="s">
        <v>210</v>
      </c>
      <c r="L3" t="s">
        <v>212</v>
      </c>
    </row>
    <row r="4" spans="1:12" x14ac:dyDescent="0.25">
      <c r="A4" t="s">
        <v>24</v>
      </c>
      <c r="B4" t="s">
        <v>297</v>
      </c>
      <c r="C4" t="s">
        <v>220</v>
      </c>
      <c r="D4">
        <v>147078</v>
      </c>
      <c r="E4" t="s">
        <v>221</v>
      </c>
      <c r="F4" t="s">
        <v>222</v>
      </c>
      <c r="G4">
        <v>0.50964114279497896</v>
      </c>
      <c r="H4" t="s">
        <v>297</v>
      </c>
      <c r="I4" t="s">
        <v>223</v>
      </c>
      <c r="J4" t="s">
        <v>224</v>
      </c>
      <c r="K4" t="s">
        <v>210</v>
      </c>
      <c r="L4" t="s">
        <v>211</v>
      </c>
    </row>
    <row r="5" spans="1:12" x14ac:dyDescent="0.25">
      <c r="A5" t="s">
        <v>32</v>
      </c>
      <c r="B5" t="s">
        <v>301</v>
      </c>
      <c r="C5" t="s">
        <v>226</v>
      </c>
      <c r="D5">
        <v>11016</v>
      </c>
      <c r="E5" t="s">
        <v>227</v>
      </c>
      <c r="F5" t="s">
        <v>228</v>
      </c>
      <c r="G5">
        <v>0.61719317356572201</v>
      </c>
      <c r="H5" t="s">
        <v>229</v>
      </c>
      <c r="I5" t="s">
        <v>225</v>
      </c>
      <c r="J5" t="s">
        <v>230</v>
      </c>
      <c r="K5" s="2" t="s">
        <v>219</v>
      </c>
      <c r="L5" t="s">
        <v>231</v>
      </c>
    </row>
    <row r="6" spans="1:12" x14ac:dyDescent="0.25">
      <c r="A6" t="s">
        <v>42</v>
      </c>
      <c r="B6" t="s">
        <v>235</v>
      </c>
      <c r="C6" t="s">
        <v>232</v>
      </c>
      <c r="D6">
        <v>9339</v>
      </c>
      <c r="E6" t="s">
        <v>233</v>
      </c>
      <c r="F6" t="s">
        <v>234</v>
      </c>
      <c r="G6">
        <v>0.51761430560017097</v>
      </c>
      <c r="H6" t="s">
        <v>235</v>
      </c>
      <c r="I6" t="s">
        <v>225</v>
      </c>
      <c r="J6" t="s">
        <v>236</v>
      </c>
      <c r="K6" t="s">
        <v>219</v>
      </c>
      <c r="L6" t="s">
        <v>212</v>
      </c>
    </row>
    <row r="7" spans="1:12" x14ac:dyDescent="0.25">
      <c r="A7" t="s">
        <v>44</v>
      </c>
      <c r="B7" t="s">
        <v>297</v>
      </c>
      <c r="C7" t="s">
        <v>237</v>
      </c>
      <c r="D7">
        <v>92601</v>
      </c>
      <c r="E7" t="s">
        <v>238</v>
      </c>
      <c r="F7" t="s">
        <v>239</v>
      </c>
      <c r="G7">
        <v>0.52907635986652402</v>
      </c>
      <c r="H7" t="s">
        <v>297</v>
      </c>
      <c r="I7" t="s">
        <v>223</v>
      </c>
      <c r="J7" t="s">
        <v>240</v>
      </c>
      <c r="K7" t="s">
        <v>210</v>
      </c>
      <c r="L7" t="s">
        <v>211</v>
      </c>
    </row>
    <row r="8" spans="1:12" x14ac:dyDescent="0.25">
      <c r="A8" t="s">
        <v>50</v>
      </c>
      <c r="B8" t="s">
        <v>235</v>
      </c>
      <c r="C8" t="s">
        <v>241</v>
      </c>
      <c r="D8">
        <v>3376</v>
      </c>
      <c r="E8" t="s">
        <v>242</v>
      </c>
      <c r="F8" t="s">
        <v>243</v>
      </c>
      <c r="G8">
        <v>0.52162322274881501</v>
      </c>
      <c r="H8" t="s">
        <v>235</v>
      </c>
      <c r="I8" t="s">
        <v>225</v>
      </c>
      <c r="J8" t="s">
        <v>244</v>
      </c>
      <c r="K8" t="s">
        <v>219</v>
      </c>
      <c r="L8" t="s">
        <v>212</v>
      </c>
    </row>
    <row r="9" spans="1:12" x14ac:dyDescent="0.25">
      <c r="A9" t="s">
        <v>54</v>
      </c>
      <c r="B9" t="s">
        <v>235</v>
      </c>
      <c r="C9" t="s">
        <v>245</v>
      </c>
      <c r="D9">
        <v>5292</v>
      </c>
      <c r="E9" t="s">
        <v>246</v>
      </c>
      <c r="F9" t="s">
        <v>247</v>
      </c>
      <c r="G9">
        <v>0.47241118669690002</v>
      </c>
      <c r="H9" t="s">
        <v>235</v>
      </c>
      <c r="I9" t="s">
        <v>225</v>
      </c>
      <c r="J9" t="s">
        <v>248</v>
      </c>
      <c r="K9" t="s">
        <v>219</v>
      </c>
      <c r="L9" t="s">
        <v>212</v>
      </c>
    </row>
    <row r="10" spans="1:12" x14ac:dyDescent="0.25">
      <c r="A10" t="s">
        <v>57</v>
      </c>
      <c r="B10" t="s">
        <v>297</v>
      </c>
      <c r="C10" t="s">
        <v>249</v>
      </c>
      <c r="D10">
        <v>87080</v>
      </c>
      <c r="E10" t="s">
        <v>250</v>
      </c>
      <c r="F10" t="s">
        <v>251</v>
      </c>
      <c r="G10">
        <v>0.50233118971061097</v>
      </c>
      <c r="H10" t="s">
        <v>297</v>
      </c>
      <c r="I10" t="s">
        <v>252</v>
      </c>
      <c r="J10" t="s">
        <v>253</v>
      </c>
      <c r="K10" t="s">
        <v>210</v>
      </c>
      <c r="L10" t="s">
        <v>211</v>
      </c>
    </row>
    <row r="11" spans="1:12" x14ac:dyDescent="0.25">
      <c r="A11" t="s">
        <v>60</v>
      </c>
      <c r="B11" t="s">
        <v>300</v>
      </c>
      <c r="C11" t="s">
        <v>254</v>
      </c>
      <c r="D11">
        <v>30868</v>
      </c>
      <c r="E11" t="s">
        <v>255</v>
      </c>
      <c r="F11" t="s">
        <v>256</v>
      </c>
      <c r="G11">
        <v>0.51503174808863506</v>
      </c>
      <c r="H11" t="s">
        <v>257</v>
      </c>
      <c r="I11" t="s">
        <v>218</v>
      </c>
      <c r="J11" t="s">
        <v>218</v>
      </c>
      <c r="K11" t="s">
        <v>258</v>
      </c>
      <c r="L11" t="s">
        <v>211</v>
      </c>
    </row>
    <row r="12" spans="1:12" x14ac:dyDescent="0.25">
      <c r="A12" t="s">
        <v>71</v>
      </c>
      <c r="B12" t="s">
        <v>299</v>
      </c>
      <c r="C12" t="s">
        <v>259</v>
      </c>
      <c r="D12">
        <v>87876</v>
      </c>
      <c r="E12" t="s">
        <v>260</v>
      </c>
      <c r="F12" t="s">
        <v>261</v>
      </c>
      <c r="G12">
        <v>0.50011379671355005</v>
      </c>
      <c r="H12" t="s">
        <v>207</v>
      </c>
      <c r="I12" t="s">
        <v>208</v>
      </c>
      <c r="J12" t="s">
        <v>209</v>
      </c>
      <c r="K12" t="s">
        <v>210</v>
      </c>
      <c r="L12" t="s">
        <v>211</v>
      </c>
    </row>
    <row r="13" spans="1:12" x14ac:dyDescent="0.25">
      <c r="A13" t="s">
        <v>81</v>
      </c>
      <c r="B13" t="s">
        <v>299</v>
      </c>
      <c r="C13" t="s">
        <v>262</v>
      </c>
      <c r="D13">
        <v>37221</v>
      </c>
      <c r="E13" t="s">
        <v>263</v>
      </c>
      <c r="F13" t="s">
        <v>264</v>
      </c>
      <c r="G13">
        <v>0.47467827301791998</v>
      </c>
      <c r="H13" t="s">
        <v>207</v>
      </c>
      <c r="I13" t="s">
        <v>218</v>
      </c>
      <c r="J13" t="s">
        <v>218</v>
      </c>
      <c r="K13" t="s">
        <v>258</v>
      </c>
      <c r="L13" t="s">
        <v>211</v>
      </c>
    </row>
    <row r="14" spans="1:12" x14ac:dyDescent="0.25">
      <c r="A14" t="s">
        <v>87</v>
      </c>
      <c r="B14" t="s">
        <v>299</v>
      </c>
      <c r="C14" t="s">
        <v>265</v>
      </c>
      <c r="D14">
        <v>87875</v>
      </c>
      <c r="E14" t="s">
        <v>266</v>
      </c>
      <c r="F14" t="s">
        <v>267</v>
      </c>
      <c r="G14">
        <v>0.49998293029871899</v>
      </c>
      <c r="H14" t="s">
        <v>207</v>
      </c>
      <c r="I14" t="s">
        <v>208</v>
      </c>
      <c r="J14" t="s">
        <v>209</v>
      </c>
      <c r="K14" t="s">
        <v>210</v>
      </c>
      <c r="L14" t="s">
        <v>211</v>
      </c>
    </row>
    <row r="15" spans="1:12" x14ac:dyDescent="0.25">
      <c r="A15" t="s">
        <v>89</v>
      </c>
      <c r="B15" t="s">
        <v>299</v>
      </c>
      <c r="C15" t="s">
        <v>268</v>
      </c>
      <c r="D15">
        <v>88406</v>
      </c>
      <c r="E15" t="s">
        <v>269</v>
      </c>
      <c r="F15" t="s">
        <v>270</v>
      </c>
      <c r="G15">
        <v>0.50099540755152305</v>
      </c>
      <c r="H15" t="s">
        <v>207</v>
      </c>
      <c r="I15" t="s">
        <v>208</v>
      </c>
      <c r="J15" t="s">
        <v>209</v>
      </c>
      <c r="K15" t="s">
        <v>210</v>
      </c>
      <c r="L15" t="s">
        <v>211</v>
      </c>
    </row>
    <row r="16" spans="1:12" x14ac:dyDescent="0.25">
      <c r="A16" t="s">
        <v>117</v>
      </c>
      <c r="B16" t="s">
        <v>299</v>
      </c>
      <c r="C16" t="s">
        <v>271</v>
      </c>
      <c r="D16">
        <v>55749</v>
      </c>
      <c r="E16" t="s">
        <v>272</v>
      </c>
      <c r="F16" t="s">
        <v>273</v>
      </c>
      <c r="G16">
        <v>0.42285960286283097</v>
      </c>
      <c r="H16" t="s">
        <v>216</v>
      </c>
      <c r="I16" t="s">
        <v>208</v>
      </c>
      <c r="J16" t="s">
        <v>217</v>
      </c>
      <c r="K16" t="s">
        <v>210</v>
      </c>
      <c r="L16" t="s">
        <v>212</v>
      </c>
    </row>
    <row r="17" spans="1:12" x14ac:dyDescent="0.25">
      <c r="A17" t="s">
        <v>121</v>
      </c>
      <c r="B17" t="s">
        <v>299</v>
      </c>
      <c r="C17" t="s">
        <v>274</v>
      </c>
      <c r="D17">
        <v>55953</v>
      </c>
      <c r="E17" t="s">
        <v>275</v>
      </c>
      <c r="F17" t="s">
        <v>276</v>
      </c>
      <c r="G17">
        <v>0.42317659464193103</v>
      </c>
      <c r="H17" t="s">
        <v>216</v>
      </c>
      <c r="I17" t="s">
        <v>208</v>
      </c>
      <c r="J17" t="s">
        <v>217</v>
      </c>
      <c r="K17" t="s">
        <v>210</v>
      </c>
      <c r="L17" t="s">
        <v>212</v>
      </c>
    </row>
    <row r="18" spans="1:12" x14ac:dyDescent="0.25">
      <c r="A18" t="s">
        <v>156</v>
      </c>
      <c r="B18" t="s">
        <v>299</v>
      </c>
      <c r="C18" t="s">
        <v>277</v>
      </c>
      <c r="D18">
        <v>91648</v>
      </c>
      <c r="E18" t="s">
        <v>278</v>
      </c>
      <c r="F18" t="s">
        <v>279</v>
      </c>
      <c r="G18">
        <v>0.49930167597765301</v>
      </c>
      <c r="H18" t="s">
        <v>207</v>
      </c>
      <c r="I18" t="s">
        <v>208</v>
      </c>
      <c r="J18" t="s">
        <v>209</v>
      </c>
      <c r="K18" t="s">
        <v>210</v>
      </c>
      <c r="L18" t="s">
        <v>211</v>
      </c>
    </row>
    <row r="19" spans="1:12" x14ac:dyDescent="0.25">
      <c r="A19" t="s">
        <v>188</v>
      </c>
      <c r="B19" t="s">
        <v>299</v>
      </c>
      <c r="C19" t="s">
        <v>280</v>
      </c>
      <c r="D19">
        <v>58071</v>
      </c>
      <c r="E19" t="s">
        <v>281</v>
      </c>
      <c r="F19" t="s">
        <v>282</v>
      </c>
      <c r="G19">
        <v>0.42451481806753799</v>
      </c>
      <c r="H19" t="s">
        <v>216</v>
      </c>
      <c r="I19" t="s">
        <v>283</v>
      </c>
      <c r="J19" t="s">
        <v>284</v>
      </c>
      <c r="K19" t="s">
        <v>210</v>
      </c>
      <c r="L19" t="s">
        <v>212</v>
      </c>
    </row>
    <row r="20" spans="1:12" x14ac:dyDescent="0.25">
      <c r="A20" t="s">
        <v>191</v>
      </c>
      <c r="B20" t="s">
        <v>297</v>
      </c>
      <c r="C20" t="s">
        <v>285</v>
      </c>
      <c r="D20">
        <v>92612</v>
      </c>
      <c r="E20" t="s">
        <v>286</v>
      </c>
      <c r="F20" t="s">
        <v>287</v>
      </c>
      <c r="G20">
        <v>0.52905670971364405</v>
      </c>
      <c r="H20" t="s">
        <v>297</v>
      </c>
      <c r="I20" t="s">
        <v>223</v>
      </c>
      <c r="J20" t="s">
        <v>240</v>
      </c>
      <c r="K20" t="s">
        <v>210</v>
      </c>
      <c r="L20" t="s">
        <v>211</v>
      </c>
    </row>
    <row r="21" spans="1:12" x14ac:dyDescent="0.25">
      <c r="A21" t="s">
        <v>191</v>
      </c>
      <c r="B21" t="s">
        <v>299</v>
      </c>
      <c r="C21" t="s">
        <v>288</v>
      </c>
      <c r="D21">
        <v>87335</v>
      </c>
      <c r="E21" t="s">
        <v>289</v>
      </c>
      <c r="F21" t="s">
        <v>290</v>
      </c>
      <c r="G21">
        <v>0.50076143585045996</v>
      </c>
      <c r="H21" t="s">
        <v>207</v>
      </c>
      <c r="I21" t="s">
        <v>208</v>
      </c>
      <c r="J21" t="s">
        <v>209</v>
      </c>
      <c r="K21" t="s">
        <v>210</v>
      </c>
      <c r="L21" t="s">
        <v>211</v>
      </c>
    </row>
    <row r="22" spans="1:12" x14ac:dyDescent="0.25">
      <c r="A22" t="s">
        <v>193</v>
      </c>
      <c r="B22" t="s">
        <v>299</v>
      </c>
      <c r="C22" t="s">
        <v>291</v>
      </c>
      <c r="D22">
        <v>91836</v>
      </c>
      <c r="E22" t="s">
        <v>292</v>
      </c>
      <c r="F22" t="s">
        <v>293</v>
      </c>
      <c r="G22">
        <v>0.49788753865586399</v>
      </c>
      <c r="H22" t="s">
        <v>207</v>
      </c>
      <c r="I22" t="s">
        <v>208</v>
      </c>
      <c r="J22" t="s">
        <v>209</v>
      </c>
      <c r="K22" t="s">
        <v>210</v>
      </c>
      <c r="L22" t="s">
        <v>211</v>
      </c>
    </row>
    <row r="23" spans="1:12" x14ac:dyDescent="0.25">
      <c r="A23" t="s">
        <v>193</v>
      </c>
      <c r="B23" t="s">
        <v>297</v>
      </c>
      <c r="C23" t="s">
        <v>294</v>
      </c>
      <c r="D23">
        <v>87075</v>
      </c>
      <c r="E23" t="s">
        <v>295</v>
      </c>
      <c r="F23" t="s">
        <v>296</v>
      </c>
      <c r="G23">
        <v>0.502325581395348</v>
      </c>
      <c r="H23" t="s">
        <v>297</v>
      </c>
      <c r="I23" t="s">
        <v>252</v>
      </c>
      <c r="J23" t="s">
        <v>253</v>
      </c>
      <c r="K23" t="s">
        <v>210</v>
      </c>
      <c r="L23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055132-A81D-446B-ACE6-9022ED6DFC8F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3468FC1B-799F-4E6A-8878-EAFFDCE5F5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ECD4EE-D1D4-4CBB-B23F-E6C8A7FC25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Sheet2</vt:lpstr>
      <vt:lpstr>ST654</vt:lpstr>
      <vt:lpstr>pivot_table_plasmid</vt:lpstr>
      <vt:lpstr>mob_typer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2026-03-09T21:37:11Z</dcterms:created>
  <dcterms:modified xsi:type="dcterms:W3CDTF">2026-03-29T04:56:26Z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