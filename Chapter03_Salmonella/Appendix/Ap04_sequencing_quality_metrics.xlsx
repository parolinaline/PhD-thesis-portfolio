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GitHub/PhD-thesis-portfolio/Chapter03_Salmonella/Appendix/"/>
    </mc:Choice>
  </mc:AlternateContent>
  <xr:revisionPtr revIDLastSave="795" documentId="8_{2A1FD828-4472-45D3-BDE4-21FF78597BEA}" xr6:coauthVersionLast="47" xr6:coauthVersionMax="47" xr10:uidLastSave="{F52D85DC-8FD6-4924-97C0-392CFE55940F}"/>
  <bookViews>
    <workbookView xWindow="-120" yWindow="-120" windowWidth="29040" windowHeight="15720" xr2:uid="{82C723D7-6977-4C1C-B29B-35C01101607D}"/>
  </bookViews>
  <sheets>
    <sheet name="Bovismorbificans_Quast" sheetId="1" r:id="rId1"/>
    <sheet name="Give_Quast" sheetId="2" r:id="rId2"/>
    <sheet name="Bovis_nanoplot" sheetId="3" r:id="rId3"/>
    <sheet name="Give_nanoplot" sheetId="7" r:id="rId4"/>
  </sheets>
  <externalReferences>
    <externalReference r:id="rId5"/>
    <externalReference r:id="rId6"/>
  </externalReferences>
  <definedNames>
    <definedName name="_xlnm._FilterDatabase" localSheetId="2" hidden="1">Bovis_nanoplot!$A$1:$P$371</definedName>
    <definedName name="_xlnm._FilterDatabase" localSheetId="0" hidden="1">Bovismorbificans_Quast!$A$1:$A$371</definedName>
    <definedName name="_xlnm._FilterDatabase" localSheetId="3" hidden="1">Give_nanoplot!$A$1:$O$79</definedName>
    <definedName name="_xlnm._FilterDatabase" localSheetId="1" hidden="1">Give_Quast!$A$1:$A$80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0" i="1" l="1"/>
  <c r="B361" i="1"/>
  <c r="B362" i="1"/>
  <c r="B269" i="1"/>
  <c r="B332" i="1"/>
  <c r="B145" i="1"/>
  <c r="B363" i="1"/>
  <c r="B364" i="1"/>
  <c r="B333" i="1"/>
  <c r="B334" i="1"/>
  <c r="B365" i="1"/>
  <c r="B146" i="1"/>
  <c r="B366" i="1"/>
  <c r="B270" i="1"/>
  <c r="B147" i="1"/>
  <c r="B271" i="1"/>
  <c r="B367" i="1"/>
  <c r="B335" i="1"/>
  <c r="B368" i="1"/>
  <c r="B336" i="1"/>
  <c r="B110" i="1"/>
  <c r="B148" i="1"/>
  <c r="B337" i="1"/>
  <c r="B149" i="1"/>
  <c r="B338" i="1"/>
  <c r="B240" i="1"/>
  <c r="B369" i="1"/>
  <c r="B339" i="1"/>
  <c r="B11" i="1"/>
  <c r="B370" i="1"/>
  <c r="B340" i="1"/>
  <c r="B272" i="1"/>
  <c r="B150" i="1"/>
  <c r="B36" i="1"/>
  <c r="B37" i="1"/>
  <c r="B12" i="1"/>
  <c r="B273" i="1"/>
  <c r="B38" i="1"/>
  <c r="B111" i="1"/>
  <c r="B39" i="1"/>
  <c r="B274" i="1"/>
  <c r="B40" i="1"/>
  <c r="B341" i="1"/>
  <c r="B151" i="1"/>
  <c r="B241" i="1"/>
  <c r="B242" i="1"/>
  <c r="B243" i="1"/>
  <c r="B41" i="1"/>
  <c r="B244" i="1"/>
  <c r="B13" i="1"/>
  <c r="B112" i="1"/>
  <c r="B14" i="1"/>
  <c r="B42" i="1"/>
  <c r="B245" i="1"/>
  <c r="B113" i="1"/>
  <c r="B152" i="1"/>
  <c r="B153" i="1"/>
  <c r="B43" i="1"/>
  <c r="B114" i="1"/>
  <c r="B154" i="1"/>
  <c r="B155" i="1"/>
  <c r="B156" i="1"/>
  <c r="B157" i="1"/>
  <c r="B4" i="1"/>
  <c r="B158" i="1"/>
  <c r="B159" i="1"/>
  <c r="B15" i="1"/>
  <c r="B342" i="1"/>
  <c r="B16" i="1"/>
  <c r="B160" i="1"/>
  <c r="B161" i="1"/>
  <c r="B162" i="1"/>
  <c r="B44" i="1"/>
  <c r="B275" i="1"/>
  <c r="B5" i="1"/>
  <c r="B45" i="1"/>
  <c r="B163" i="1"/>
  <c r="B164" i="1"/>
  <c r="B115" i="1"/>
  <c r="B17" i="1"/>
  <c r="B18" i="1"/>
  <c r="B165" i="1"/>
  <c r="B166" i="1"/>
  <c r="B276" i="1"/>
  <c r="B343" i="1"/>
  <c r="B19" i="1"/>
  <c r="B344" i="1"/>
  <c r="B277" i="1"/>
  <c r="B167" i="1"/>
  <c r="B345" i="1"/>
  <c r="B46" i="1"/>
  <c r="B116" i="1"/>
  <c r="B278" i="1"/>
  <c r="B279" i="1"/>
  <c r="B117" i="1"/>
  <c r="B346" i="1"/>
  <c r="B118" i="1"/>
  <c r="B168" i="1"/>
  <c r="B20" i="1"/>
  <c r="B47" i="1"/>
  <c r="B169" i="1"/>
  <c r="B170" i="1"/>
  <c r="B48" i="1"/>
  <c r="B171" i="1"/>
  <c r="B49" i="1"/>
  <c r="B172" i="1"/>
  <c r="B119" i="1"/>
  <c r="B50" i="1"/>
  <c r="B51" i="1"/>
  <c r="B52" i="1"/>
  <c r="B21" i="1"/>
  <c r="B22" i="1"/>
  <c r="B53" i="1"/>
  <c r="B54" i="1"/>
  <c r="B173" i="1"/>
  <c r="B120" i="1"/>
  <c r="B174" i="1"/>
  <c r="B347" i="1"/>
  <c r="B175" i="1"/>
  <c r="B176" i="1"/>
  <c r="B55" i="1"/>
  <c r="B121" i="1"/>
  <c r="B56" i="1"/>
  <c r="B177" i="1"/>
  <c r="B122" i="1"/>
  <c r="B57" i="1"/>
  <c r="B6" i="1"/>
  <c r="B246" i="1"/>
  <c r="B178" i="1"/>
  <c r="B179" i="1"/>
  <c r="B247" i="1"/>
  <c r="B58" i="1"/>
  <c r="B180" i="1"/>
  <c r="B123" i="1"/>
  <c r="B59" i="1"/>
  <c r="B23" i="1"/>
  <c r="B24" i="1"/>
  <c r="B181" i="1"/>
  <c r="B182" i="1"/>
  <c r="B25" i="1"/>
  <c r="B183" i="1"/>
  <c r="B184" i="1"/>
  <c r="B60" i="1"/>
  <c r="B7" i="1"/>
  <c r="B61" i="1"/>
  <c r="B185" i="1"/>
  <c r="B186" i="1"/>
  <c r="B187" i="1"/>
  <c r="B188" i="1"/>
  <c r="B280" i="1"/>
  <c r="B124" i="1"/>
  <c r="B248" i="1"/>
  <c r="B189" i="1"/>
  <c r="B62" i="1"/>
  <c r="B190" i="1"/>
  <c r="B281" i="1"/>
  <c r="B63" i="1"/>
  <c r="B191" i="1"/>
  <c r="B192" i="1"/>
  <c r="B64" i="1"/>
  <c r="B193" i="1"/>
  <c r="B65" i="1"/>
  <c r="B194" i="1"/>
  <c r="B195" i="1"/>
  <c r="B196" i="1"/>
  <c r="B197" i="1"/>
  <c r="B8" i="1"/>
  <c r="B66" i="1"/>
  <c r="B26" i="1"/>
  <c r="B67" i="1"/>
  <c r="B198" i="1"/>
  <c r="B199" i="1"/>
  <c r="B200" i="1"/>
  <c r="B201" i="1"/>
  <c r="B125" i="1"/>
  <c r="B126" i="1"/>
  <c r="B282" i="1"/>
  <c r="B68" i="1"/>
  <c r="B283" i="1"/>
  <c r="B284" i="1"/>
  <c r="B202" i="1"/>
  <c r="B249" i="1"/>
  <c r="B127" i="1"/>
  <c r="B285" i="1"/>
  <c r="B286" i="1"/>
  <c r="B287" i="1"/>
  <c r="B203" i="1"/>
  <c r="B128" i="1"/>
  <c r="B204" i="1"/>
  <c r="B69" i="1"/>
  <c r="B250" i="1"/>
  <c r="B251" i="1"/>
  <c r="B205" i="1"/>
  <c r="B206" i="1"/>
  <c r="B207" i="1"/>
  <c r="B70" i="1"/>
  <c r="B129" i="1"/>
  <c r="B71" i="1"/>
  <c r="B208" i="1"/>
  <c r="B209" i="1"/>
  <c r="B72" i="1"/>
  <c r="B210" i="1"/>
  <c r="B211" i="1"/>
  <c r="B252" i="1"/>
  <c r="B73" i="1"/>
  <c r="B74" i="1"/>
  <c r="B75" i="1"/>
  <c r="B76" i="1"/>
  <c r="B288" i="1"/>
  <c r="B289" i="1"/>
  <c r="B290" i="1"/>
  <c r="B348" i="1"/>
  <c r="B77" i="1"/>
  <c r="B291" i="1"/>
  <c r="B292" i="1"/>
  <c r="B212" i="1"/>
  <c r="B213" i="1"/>
  <c r="B214" i="1"/>
  <c r="B293" i="1"/>
  <c r="B294" i="1"/>
  <c r="B130" i="1"/>
  <c r="B131" i="1"/>
  <c r="B78" i="1"/>
  <c r="B79" i="1"/>
  <c r="B80" i="1"/>
  <c r="B81" i="1"/>
  <c r="B215" i="1"/>
  <c r="B82" i="1"/>
  <c r="B216" i="1"/>
  <c r="B132" i="1"/>
  <c r="B253" i="1"/>
  <c r="B295" i="1"/>
  <c r="B83" i="1"/>
  <c r="B217" i="1"/>
  <c r="B84" i="1"/>
  <c r="B218" i="1"/>
  <c r="B296" i="1"/>
  <c r="B219" i="1"/>
  <c r="B85" i="1"/>
  <c r="B297" i="1"/>
  <c r="B86" i="1"/>
  <c r="B133" i="1"/>
  <c r="B87" i="1"/>
  <c r="B27" i="1"/>
  <c r="B298" i="1"/>
  <c r="B88" i="1"/>
  <c r="B134" i="1"/>
  <c r="B28" i="1"/>
  <c r="B89" i="1"/>
  <c r="B349" i="1"/>
  <c r="B220" i="1"/>
  <c r="B29" i="1"/>
  <c r="B299" i="1"/>
  <c r="B90" i="1"/>
  <c r="B91" i="1"/>
  <c r="B92" i="1"/>
  <c r="B30" i="1"/>
  <c r="B93" i="1"/>
  <c r="B31" i="1"/>
  <c r="B94" i="1"/>
  <c r="B95" i="1"/>
  <c r="B9" i="1"/>
  <c r="B221" i="1"/>
  <c r="B300" i="1"/>
  <c r="B32" i="1"/>
  <c r="B96" i="1"/>
  <c r="B301" i="1"/>
  <c r="B222" i="1"/>
  <c r="B135" i="1"/>
  <c r="B136" i="1"/>
  <c r="B97" i="1"/>
  <c r="B137" i="1"/>
  <c r="B98" i="1"/>
  <c r="B99" i="1"/>
  <c r="B254" i="1"/>
  <c r="B100" i="1"/>
  <c r="B101" i="1"/>
  <c r="B302" i="1"/>
  <c r="B10" i="1"/>
  <c r="B138" i="1"/>
  <c r="B223" i="1"/>
  <c r="B102" i="1"/>
  <c r="B350" i="1"/>
  <c r="B351" i="1"/>
  <c r="B303" i="1"/>
  <c r="B352" i="1"/>
  <c r="B224" i="1"/>
  <c r="B304" i="1"/>
  <c r="B353" i="1"/>
  <c r="B255" i="1"/>
  <c r="B305" i="1"/>
  <c r="B306" i="1"/>
  <c r="B256" i="1"/>
  <c r="B354" i="1"/>
  <c r="B355" i="1"/>
  <c r="B356" i="1"/>
  <c r="B225" i="1"/>
  <c r="B357" i="1"/>
  <c r="B226" i="1"/>
  <c r="B33" i="1"/>
  <c r="B103" i="1"/>
  <c r="B139" i="1"/>
  <c r="B3" i="1"/>
  <c r="B104" i="1"/>
  <c r="B307" i="1"/>
  <c r="B140" i="1"/>
  <c r="B371" i="1"/>
  <c r="B141" i="1"/>
  <c r="B142" i="1"/>
  <c r="B227" i="1"/>
  <c r="B228" i="1"/>
  <c r="B229" i="1"/>
  <c r="B34" i="1"/>
  <c r="B105" i="1"/>
  <c r="B230" i="1"/>
  <c r="B106" i="1"/>
  <c r="B231" i="1"/>
  <c r="B232" i="1"/>
  <c r="B107" i="1"/>
  <c r="B257" i="1"/>
  <c r="B233" i="1"/>
  <c r="B258" i="1"/>
  <c r="B143" i="1"/>
  <c r="B234" i="1"/>
  <c r="B235" i="1"/>
  <c r="B259" i="1"/>
  <c r="B108" i="1"/>
  <c r="B236" i="1"/>
  <c r="B308" i="1"/>
  <c r="B35" i="1"/>
  <c r="B260" i="1"/>
  <c r="B261" i="1"/>
  <c r="B262" i="1"/>
  <c r="B237" i="1"/>
  <c r="B309" i="1"/>
  <c r="B358" i="1"/>
  <c r="B310" i="1"/>
  <c r="B311" i="1"/>
  <c r="B263" i="1"/>
  <c r="B109" i="1"/>
  <c r="B264" i="1"/>
  <c r="B312" i="1"/>
  <c r="B313" i="1"/>
  <c r="B265" i="1"/>
  <c r="B314" i="1"/>
  <c r="B315" i="1"/>
  <c r="B316" i="1"/>
  <c r="B144" i="1"/>
  <c r="B317" i="1"/>
  <c r="B238" i="1"/>
  <c r="B318" i="1"/>
  <c r="B266" i="1"/>
  <c r="B319" i="1"/>
  <c r="B320" i="1"/>
  <c r="B321" i="1"/>
  <c r="B322" i="1"/>
  <c r="B239" i="1"/>
  <c r="B323" i="1"/>
  <c r="B267" i="1"/>
  <c r="B324" i="1"/>
  <c r="B325" i="1"/>
  <c r="B326" i="1"/>
  <c r="B268" i="1"/>
  <c r="B327" i="1"/>
  <c r="B328" i="1"/>
  <c r="B329" i="1"/>
  <c r="B330" i="1"/>
  <c r="B331" i="1"/>
  <c r="B359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2" i="3"/>
  <c r="R80" i="2"/>
  <c r="P80" i="2"/>
  <c r="S1" i="1"/>
  <c r="Q1" i="1"/>
  <c r="O15" i="7"/>
  <c r="O13" i="7"/>
  <c r="O26" i="7"/>
  <c r="O5" i="7"/>
  <c r="O7" i="7"/>
  <c r="O48" i="7"/>
  <c r="O70" i="7"/>
  <c r="O40" i="7"/>
  <c r="O72" i="7"/>
  <c r="O47" i="7"/>
  <c r="O37" i="7"/>
  <c r="O57" i="7"/>
  <c r="O9" i="7"/>
  <c r="O43" i="7"/>
  <c r="O31" i="7"/>
  <c r="O28" i="7"/>
  <c r="O11" i="7"/>
  <c r="O16" i="7"/>
  <c r="O19" i="7"/>
  <c r="O34" i="7"/>
  <c r="O76" i="7"/>
  <c r="O33" i="7"/>
  <c r="O3" i="7"/>
  <c r="O71" i="7"/>
  <c r="O2" i="7"/>
  <c r="O4" i="7"/>
  <c r="O69" i="7"/>
  <c r="O14" i="7"/>
  <c r="O32" i="7"/>
  <c r="O23" i="7"/>
  <c r="O51" i="7"/>
  <c r="O62" i="7"/>
  <c r="O63" i="7"/>
  <c r="O59" i="7"/>
  <c r="O8" i="7"/>
  <c r="O77" i="7"/>
  <c r="O68" i="7"/>
  <c r="O66" i="7"/>
  <c r="O22" i="7"/>
  <c r="O64" i="7"/>
  <c r="O30" i="7"/>
  <c r="O18" i="7"/>
  <c r="O21" i="7"/>
  <c r="O20" i="7"/>
  <c r="O44" i="7"/>
  <c r="O67" i="7"/>
  <c r="O58" i="7"/>
  <c r="O46" i="7"/>
  <c r="O74" i="7"/>
  <c r="O54" i="7"/>
  <c r="O25" i="7"/>
  <c r="O50" i="7"/>
  <c r="O42" i="7"/>
  <c r="O35" i="7"/>
  <c r="O39" i="7"/>
  <c r="O10" i="7"/>
  <c r="O17" i="7"/>
  <c r="O53" i="7"/>
  <c r="O12" i="7"/>
  <c r="O61" i="7"/>
  <c r="O56" i="7"/>
  <c r="O52" i="7"/>
  <c r="O45" i="7"/>
  <c r="O36" i="7"/>
  <c r="O49" i="7"/>
  <c r="O55" i="7"/>
  <c r="O38" i="7"/>
  <c r="O73" i="7"/>
  <c r="O78" i="7"/>
  <c r="O60" i="7"/>
  <c r="O75" i="7"/>
  <c r="O41" i="7"/>
  <c r="O79" i="7"/>
  <c r="O65" i="7"/>
  <c r="O24" i="7"/>
  <c r="O27" i="7"/>
  <c r="O6" i="7"/>
  <c r="O29" i="7"/>
  <c r="P41" i="3"/>
  <c r="P254" i="3"/>
  <c r="P22" i="3"/>
  <c r="P213" i="3"/>
  <c r="P270" i="3"/>
  <c r="P244" i="3"/>
  <c r="P333" i="3"/>
  <c r="P241" i="3"/>
  <c r="P10" i="3"/>
  <c r="P40" i="3"/>
  <c r="P56" i="3"/>
  <c r="P34" i="3"/>
  <c r="P112" i="3"/>
  <c r="P102" i="3"/>
  <c r="P79" i="3"/>
  <c r="P142" i="3"/>
  <c r="P8" i="3"/>
  <c r="P61" i="3"/>
  <c r="P189" i="3"/>
  <c r="P144" i="3"/>
  <c r="P217" i="3"/>
  <c r="P197" i="3"/>
  <c r="P180" i="3"/>
  <c r="P322" i="3"/>
  <c r="P23" i="3"/>
  <c r="P263" i="3"/>
  <c r="P104" i="3"/>
  <c r="P324" i="3"/>
  <c r="P201" i="3"/>
  <c r="P303" i="3"/>
  <c r="P302" i="3"/>
  <c r="P295" i="3"/>
  <c r="P17" i="3"/>
  <c r="P85" i="3"/>
  <c r="P12" i="3"/>
  <c r="P31" i="3"/>
  <c r="P249" i="3"/>
  <c r="P139" i="3"/>
  <c r="P179" i="3"/>
  <c r="P86" i="3"/>
  <c r="P130" i="3"/>
  <c r="P64" i="3"/>
  <c r="P44" i="3"/>
  <c r="P264" i="3"/>
  <c r="P190" i="3"/>
  <c r="P350" i="3"/>
  <c r="P257" i="3"/>
  <c r="P170" i="3"/>
  <c r="P225" i="3"/>
  <c r="P9" i="3"/>
  <c r="P136" i="3"/>
  <c r="P157" i="3"/>
  <c r="P29" i="3"/>
  <c r="P331" i="3"/>
  <c r="P178" i="3"/>
  <c r="P365" i="3"/>
  <c r="P356" i="3"/>
  <c r="P6" i="3"/>
  <c r="P69" i="3"/>
  <c r="P229" i="3"/>
  <c r="P195" i="3"/>
  <c r="P226" i="3"/>
  <c r="P305" i="3"/>
  <c r="P2" i="3"/>
  <c r="P218" i="3"/>
  <c r="P101" i="3"/>
  <c r="P60" i="3"/>
  <c r="P87" i="3"/>
  <c r="P91" i="3"/>
  <c r="P173" i="3"/>
  <c r="P273" i="3"/>
  <c r="P341" i="3"/>
  <c r="P131" i="3"/>
  <c r="P16" i="3"/>
  <c r="P84" i="3"/>
  <c r="P240" i="3"/>
  <c r="P235" i="3"/>
  <c r="P338" i="3"/>
  <c r="P310" i="3"/>
  <c r="P172" i="3"/>
  <c r="P97" i="3"/>
  <c r="P255" i="3"/>
  <c r="P292" i="3"/>
  <c r="P188" i="3"/>
  <c r="P370" i="3"/>
  <c r="P26" i="3"/>
  <c r="P368" i="3"/>
  <c r="P369" i="3"/>
  <c r="P339" i="3"/>
  <c r="P367" i="3"/>
  <c r="P120" i="3"/>
  <c r="P204" i="3"/>
  <c r="P355" i="3"/>
  <c r="P214" i="3"/>
  <c r="P271" i="3"/>
  <c r="P222" i="3"/>
  <c r="P265" i="3"/>
  <c r="P220" i="3"/>
  <c r="P57" i="3"/>
  <c r="P231" i="3"/>
  <c r="P163" i="3"/>
  <c r="P246" i="3"/>
  <c r="P148" i="3"/>
  <c r="P233" i="3"/>
  <c r="P132" i="3"/>
  <c r="P198" i="3"/>
  <c r="P111" i="3"/>
  <c r="P94" i="3"/>
  <c r="P48" i="3"/>
  <c r="P52" i="3"/>
  <c r="P96" i="3"/>
  <c r="P95" i="3"/>
  <c r="P93" i="3"/>
  <c r="P122" i="3"/>
  <c r="P267" i="3"/>
  <c r="P151" i="3"/>
  <c r="P160" i="3"/>
  <c r="P98" i="3"/>
  <c r="P298" i="3"/>
  <c r="P208" i="3"/>
  <c r="P81" i="3"/>
  <c r="P140" i="3"/>
  <c r="P88" i="3"/>
  <c r="P348" i="3"/>
  <c r="P289" i="3"/>
  <c r="P38" i="3"/>
  <c r="P4" i="3"/>
  <c r="P347" i="3"/>
  <c r="P290" i="3"/>
  <c r="P334" i="3"/>
  <c r="P361" i="3"/>
  <c r="P53" i="3"/>
  <c r="P159" i="3"/>
  <c r="P278" i="3"/>
  <c r="P11" i="3"/>
  <c r="P77" i="3"/>
  <c r="P18" i="3"/>
  <c r="P237" i="3"/>
  <c r="P321" i="3"/>
  <c r="P74" i="3"/>
  <c r="P166" i="3"/>
  <c r="P215" i="3"/>
  <c r="P51" i="3"/>
  <c r="P90" i="3"/>
  <c r="P13" i="3"/>
  <c r="P245" i="3"/>
  <c r="P359" i="3"/>
  <c r="P165" i="3"/>
  <c r="P171" i="3"/>
  <c r="P192" i="3"/>
  <c r="P49" i="3"/>
  <c r="P252" i="3"/>
  <c r="P345" i="3"/>
  <c r="P72" i="3"/>
  <c r="P152" i="3"/>
  <c r="P114" i="3"/>
  <c r="P343" i="3"/>
  <c r="P342" i="3"/>
  <c r="P326" i="3"/>
  <c r="P89" i="3"/>
  <c r="P234" i="3"/>
  <c r="P109" i="3"/>
  <c r="P296" i="3"/>
  <c r="P185" i="3"/>
  <c r="P352" i="3"/>
  <c r="P191" i="3"/>
  <c r="P121" i="3"/>
  <c r="P80" i="3"/>
  <c r="P70" i="3"/>
  <c r="P253" i="3"/>
  <c r="P211" i="3"/>
  <c r="P260" i="3"/>
  <c r="P340" i="3"/>
  <c r="P248" i="3"/>
  <c r="P313" i="3"/>
  <c r="P155" i="3"/>
  <c r="P202" i="3"/>
  <c r="P118" i="3"/>
  <c r="P258" i="3"/>
  <c r="P300" i="3"/>
  <c r="P293" i="3"/>
  <c r="P311" i="3"/>
  <c r="P209" i="3"/>
  <c r="P177" i="3"/>
  <c r="P162" i="3"/>
  <c r="P261" i="3"/>
  <c r="P276" i="3"/>
  <c r="P182" i="3"/>
  <c r="P299" i="3"/>
  <c r="P232" i="3"/>
  <c r="P250" i="3"/>
  <c r="P169" i="3"/>
  <c r="P221" i="3"/>
  <c r="P330" i="3"/>
  <c r="P301" i="3"/>
  <c r="P46" i="3"/>
  <c r="P167" i="3"/>
  <c r="P275" i="3"/>
  <c r="P243" i="3"/>
  <c r="P184" i="3"/>
  <c r="P116" i="3"/>
  <c r="P329" i="3"/>
  <c r="P306" i="3"/>
  <c r="P75" i="3"/>
  <c r="P154" i="3"/>
  <c r="P288" i="3"/>
  <c r="P336" i="3"/>
  <c r="P223" i="3"/>
  <c r="P168" i="3"/>
  <c r="P312" i="3"/>
  <c r="P266" i="3"/>
  <c r="P5" i="3"/>
  <c r="P28" i="3"/>
  <c r="P291" i="3"/>
  <c r="P106" i="3"/>
  <c r="P332" i="3"/>
  <c r="P284" i="3"/>
  <c r="P219" i="3"/>
  <c r="P147" i="3"/>
  <c r="P230" i="3"/>
  <c r="P314" i="3"/>
  <c r="P335" i="3"/>
  <c r="P100" i="3"/>
  <c r="P45" i="3"/>
  <c r="P62" i="3"/>
  <c r="P175" i="3"/>
  <c r="P193" i="3"/>
  <c r="P99" i="3"/>
  <c r="P344" i="3"/>
  <c r="P323" i="3"/>
  <c r="P103" i="3"/>
  <c r="P66" i="3"/>
  <c r="P55" i="3"/>
  <c r="P105" i="3"/>
  <c r="P161" i="3"/>
  <c r="P135" i="3"/>
  <c r="P92" i="3"/>
  <c r="P236" i="3"/>
  <c r="P156" i="3"/>
  <c r="P251" i="3"/>
  <c r="P256" i="3"/>
  <c r="P317" i="3"/>
  <c r="P15" i="3"/>
  <c r="P36" i="3"/>
  <c r="P158" i="3"/>
  <c r="P30" i="3"/>
  <c r="P164" i="3"/>
  <c r="P153" i="3"/>
  <c r="P150" i="3"/>
  <c r="P337" i="3"/>
  <c r="P283" i="3"/>
  <c r="P27" i="3"/>
  <c r="P21" i="3"/>
  <c r="P63" i="3"/>
  <c r="P83" i="3"/>
  <c r="P134" i="3"/>
  <c r="P117" i="3"/>
  <c r="P71" i="3"/>
  <c r="P274" i="3"/>
  <c r="P19" i="3"/>
  <c r="P25" i="3"/>
  <c r="P58" i="3"/>
  <c r="P287" i="3"/>
  <c r="P138" i="3"/>
  <c r="P108" i="3"/>
  <c r="P35" i="3"/>
  <c r="P47" i="3"/>
  <c r="P262" i="3"/>
  <c r="P181" i="3"/>
  <c r="P309" i="3"/>
  <c r="P194" i="3"/>
  <c r="P176" i="3"/>
  <c r="P126" i="3"/>
  <c r="P7" i="3"/>
  <c r="P224" i="3"/>
  <c r="P65" i="3"/>
  <c r="P123" i="3"/>
  <c r="P216" i="3"/>
  <c r="P50" i="3"/>
  <c r="P228" i="3"/>
  <c r="P199" i="3"/>
  <c r="P59" i="3"/>
  <c r="P238" i="3"/>
  <c r="P366" i="3"/>
  <c r="P358" i="3"/>
  <c r="P360" i="3"/>
  <c r="P196" i="3"/>
  <c r="P277" i="3"/>
  <c r="P318" i="3"/>
  <c r="P354" i="3"/>
  <c r="P280" i="3"/>
  <c r="P353" i="3"/>
  <c r="P363" i="3"/>
  <c r="P364" i="3"/>
  <c r="P319" i="3"/>
  <c r="P362" i="3"/>
  <c r="P328" i="3"/>
  <c r="P78" i="3"/>
  <c r="P205" i="3"/>
  <c r="P54" i="3"/>
  <c r="P32" i="3"/>
  <c r="P141" i="3"/>
  <c r="P3" i="3"/>
  <c r="P133" i="3"/>
  <c r="P307" i="3"/>
  <c r="P76" i="3"/>
  <c r="P107" i="3"/>
  <c r="P146" i="3"/>
  <c r="P308" i="3"/>
  <c r="P315" i="3"/>
  <c r="P227" i="3"/>
  <c r="P210" i="3"/>
  <c r="P42" i="3"/>
  <c r="P20" i="3"/>
  <c r="P186" i="3"/>
  <c r="P124" i="3"/>
  <c r="P212" i="3"/>
  <c r="P285" i="3"/>
  <c r="P43" i="3"/>
  <c r="P294" i="3"/>
  <c r="P239" i="3"/>
  <c r="P304" i="3"/>
  <c r="P37" i="3"/>
  <c r="P183" i="3"/>
  <c r="P247" i="3"/>
  <c r="P206" i="3"/>
  <c r="P39" i="3"/>
  <c r="P272" i="3"/>
  <c r="P115" i="3"/>
  <c r="P113" i="3"/>
  <c r="P286" i="3"/>
  <c r="P119" i="3"/>
  <c r="P325" i="3"/>
  <c r="P242" i="3"/>
  <c r="P269" i="3"/>
  <c r="P327" i="3"/>
  <c r="P357" i="3"/>
  <c r="P281" i="3"/>
  <c r="P174" i="3"/>
  <c r="P82" i="3"/>
  <c r="P128" i="3"/>
  <c r="P351" i="3"/>
  <c r="P73" i="3"/>
  <c r="P349" i="3"/>
  <c r="P297" i="3"/>
  <c r="P268" i="3"/>
  <c r="P14" i="3"/>
  <c r="P145" i="3"/>
  <c r="P67" i="3"/>
  <c r="P207" i="3"/>
  <c r="P110" i="3"/>
  <c r="P279" i="3"/>
  <c r="P282" i="3"/>
  <c r="P137" i="3"/>
  <c r="P24" i="3"/>
  <c r="P200" i="3"/>
  <c r="P316" i="3"/>
  <c r="P149" i="3"/>
  <c r="P203" i="3"/>
  <c r="P320" i="3"/>
  <c r="P187" i="3"/>
  <c r="P143" i="3"/>
  <c r="P68" i="3"/>
  <c r="P127" i="3"/>
  <c r="P33" i="3"/>
  <c r="P346" i="3"/>
  <c r="P129" i="3"/>
  <c r="P259" i="3"/>
  <c r="P125" i="3"/>
</calcChain>
</file>

<file path=xl/sharedStrings.xml><?xml version="1.0" encoding="utf-8"?>
<sst xmlns="http://schemas.openxmlformats.org/spreadsheetml/2006/main" count="999" uniqueCount="566">
  <si>
    <t>Assembly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</si>
  <si>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</si>
  <si>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</si>
  <si>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</si>
  <si>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</si>
  <si>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</si>
  <si>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</si>
  <si>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</si>
  <si>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</si>
  <si>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</si>
  <si>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</si>
  <si>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</si>
  <si>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</si>
  <si>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</si>
  <si>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Largest contig</t>
  </si>
  <si>
    <t>Total length</t>
  </si>
  <si>
    <t>GC (%)</t>
  </si>
  <si>
    <t>N50</t>
  </si>
  <si>
    <t>N90</t>
  </si>
  <si>
    <t>auN</t>
  </si>
  <si>
    <t>L50</t>
  </si>
  <si>
    <t>L90</t>
  </si>
  <si>
    <t># N's per 100 kbp</t>
  </si>
  <si>
    <t>SGV002_medaka</t>
  </si>
  <si>
    <t>SGV003_medaka</t>
  </si>
  <si>
    <t>SGV004_medaka</t>
  </si>
  <si>
    <t>SGV005_medaka</t>
  </si>
  <si>
    <t>SGV006_medaka</t>
  </si>
  <si>
    <t>SGV007_medaka</t>
  </si>
  <si>
    <t>SGV008_medaka</t>
  </si>
  <si>
    <t>SGV009_medaka</t>
  </si>
  <si>
    <t>SGV010_medaka</t>
  </si>
  <si>
    <t>SGV011_medaka</t>
  </si>
  <si>
    <t>SGV012_medaka</t>
  </si>
  <si>
    <t>SGV013_medaka</t>
  </si>
  <si>
    <t>SGV014_medaka</t>
  </si>
  <si>
    <t>SGV016_medaka</t>
  </si>
  <si>
    <t>SGV017_medaka</t>
  </si>
  <si>
    <t>SGV018_medaka</t>
  </si>
  <si>
    <t>SGV019_medaka</t>
  </si>
  <si>
    <t>SGV020_medaka</t>
  </si>
  <si>
    <t>SGV021_medaka</t>
  </si>
  <si>
    <t>SGV022_medaka</t>
  </si>
  <si>
    <t>SGV023_medaka</t>
  </si>
  <si>
    <t>SGV025_medaka</t>
  </si>
  <si>
    <t>SGV026_medaka</t>
  </si>
  <si>
    <t>SGV027_medaka</t>
  </si>
  <si>
    <t>SGV028_medaka</t>
  </si>
  <si>
    <t>SGV029_medaka</t>
  </si>
  <si>
    <t>SGV030_medaka</t>
  </si>
  <si>
    <t>SGV031_medaka</t>
  </si>
  <si>
    <t>SGV032_medaka</t>
  </si>
  <si>
    <t>SGV033_medaka</t>
  </si>
  <si>
    <t>SGV034_medaka</t>
  </si>
  <si>
    <t>SGV035_medaka</t>
  </si>
  <si>
    <t>SGV036_medaka</t>
  </si>
  <si>
    <t>SGV037_medaka</t>
  </si>
  <si>
    <t>SGV038_medaka</t>
  </si>
  <si>
    <t>SGV039_medaka</t>
  </si>
  <si>
    <t>SGV040_medaka</t>
  </si>
  <si>
    <t>SGV041_medaka</t>
  </si>
  <si>
    <t>SGV042_medaka</t>
  </si>
  <si>
    <t>SGV043_medaka</t>
  </si>
  <si>
    <t>SGV044_medaka</t>
  </si>
  <si>
    <t>SGV045_medaka</t>
  </si>
  <si>
    <t>SGV046_medaka</t>
  </si>
  <si>
    <t>SGV047_medaka</t>
  </si>
  <si>
    <t>SGV048_medaka</t>
  </si>
  <si>
    <t>SGV049_medaka</t>
  </si>
  <si>
    <t>SGV050_medaka</t>
  </si>
  <si>
    <t>SGV051_medaka</t>
  </si>
  <si>
    <t>SGV052_medaka</t>
  </si>
  <si>
    <t>SGV053_medaka</t>
  </si>
  <si>
    <t>SGV054_medaka</t>
  </si>
  <si>
    <t>SGV055_medaka</t>
  </si>
  <si>
    <t>SGV056_medaka</t>
  </si>
  <si>
    <t>SGV057_medaka</t>
  </si>
  <si>
    <t>SGV058_medaka</t>
  </si>
  <si>
    <t>SGV059_medaka</t>
  </si>
  <si>
    <t>SGV060_medaka</t>
  </si>
  <si>
    <t>SGV061_medaka</t>
  </si>
  <si>
    <t>SGV062_medaka</t>
  </si>
  <si>
    <t>SGV063_medaka</t>
  </si>
  <si>
    <t>SGV064_medaka</t>
  </si>
  <si>
    <t>SGV065_medaka</t>
  </si>
  <si>
    <t>SGV066_medaka</t>
  </si>
  <si>
    <t>SGV067_medaka</t>
  </si>
  <si>
    <t>SGV068_medaka</t>
  </si>
  <si>
    <t>SGV069_medaka</t>
  </si>
  <si>
    <t>SGV070_medaka</t>
  </si>
  <si>
    <t>SGV071_medaka</t>
  </si>
  <si>
    <t>SGV072_medaka</t>
  </si>
  <si>
    <t>SGV073_medaka</t>
  </si>
  <si>
    <t>SGV074_medaka</t>
  </si>
  <si>
    <t>SGV075_medaka</t>
  </si>
  <si>
    <t>SGV077_medaka</t>
  </si>
  <si>
    <t>SGV078_medaka</t>
  </si>
  <si>
    <t>SGV079_medaka</t>
  </si>
  <si>
    <t>SGV080_medaka</t>
  </si>
  <si>
    <t>SGV081_medaka</t>
  </si>
  <si>
    <t>SGV082_medaka</t>
  </si>
  <si>
    <t>ID</t>
  </si>
  <si>
    <t>mean_len</t>
  </si>
  <si>
    <t>mean_qual</t>
  </si>
  <si>
    <t>median_len</t>
  </si>
  <si>
    <t>median_qual</t>
  </si>
  <si>
    <t>n_reads</t>
  </si>
  <si>
    <t>stdev_len</t>
  </si>
  <si>
    <t>total_bases</t>
  </si>
  <si>
    <t>pct_Q10</t>
  </si>
  <si>
    <t>pct_Q15</t>
  </si>
  <si>
    <t>pct_Q20</t>
  </si>
  <si>
    <t>pct_Q25</t>
  </si>
  <si>
    <t>pct_Q30</t>
  </si>
  <si>
    <t>Sequence depth</t>
  </si>
  <si>
    <t>SBV001</t>
  </si>
  <si>
    <t>SBV002</t>
  </si>
  <si>
    <t>SBV003</t>
  </si>
  <si>
    <t>SBV004</t>
  </si>
  <si>
    <t>SBV005</t>
  </si>
  <si>
    <t>SBV006</t>
  </si>
  <si>
    <t>SBV007</t>
  </si>
  <si>
    <t>SBV008</t>
  </si>
  <si>
    <t>SBV009</t>
  </si>
  <si>
    <t>SBV010</t>
  </si>
  <si>
    <t>SBV011</t>
  </si>
  <si>
    <t>SBV012</t>
  </si>
  <si>
    <t>SBV013</t>
  </si>
  <si>
    <t>SBV014</t>
  </si>
  <si>
    <t>SBV015</t>
  </si>
  <si>
    <t>SBV016</t>
  </si>
  <si>
    <t>SBV017</t>
  </si>
  <si>
    <t>SBV018</t>
  </si>
  <si>
    <t>SBV019</t>
  </si>
  <si>
    <t>SBV020</t>
  </si>
  <si>
    <t>SBV021</t>
  </si>
  <si>
    <t>SBV022</t>
  </si>
  <si>
    <t>SBV023</t>
  </si>
  <si>
    <t>SBV024</t>
  </si>
  <si>
    <t>SBV025</t>
  </si>
  <si>
    <t>SBV026</t>
  </si>
  <si>
    <t>SBV027</t>
  </si>
  <si>
    <t>SBV028</t>
  </si>
  <si>
    <t>SBV029</t>
  </si>
  <si>
    <t>SBV030</t>
  </si>
  <si>
    <t>SBV031</t>
  </si>
  <si>
    <t>SBV032</t>
  </si>
  <si>
    <t>SBV033</t>
  </si>
  <si>
    <t>SBV035</t>
  </si>
  <si>
    <t>SBV036</t>
  </si>
  <si>
    <t>SBV037</t>
  </si>
  <si>
    <t>SBV038</t>
  </si>
  <si>
    <t>SBV039</t>
  </si>
  <si>
    <t>SBV040</t>
  </si>
  <si>
    <t>SBV041</t>
  </si>
  <si>
    <t>SBV042</t>
  </si>
  <si>
    <t>SBV043</t>
  </si>
  <si>
    <t>SBV044</t>
  </si>
  <si>
    <t>SBV045</t>
  </si>
  <si>
    <t>SBV046</t>
  </si>
  <si>
    <t>SBV047</t>
  </si>
  <si>
    <t>SBV048</t>
  </si>
  <si>
    <t>SBV049</t>
  </si>
  <si>
    <t>SBV050</t>
  </si>
  <si>
    <t>SBV051</t>
  </si>
  <si>
    <t>SBV052</t>
  </si>
  <si>
    <t>SBV053</t>
  </si>
  <si>
    <t>SBV054</t>
  </si>
  <si>
    <t>SBV055</t>
  </si>
  <si>
    <t>SBV056</t>
  </si>
  <si>
    <t>SBV057</t>
  </si>
  <si>
    <t>SBV058</t>
  </si>
  <si>
    <t>SBV059</t>
  </si>
  <si>
    <t>SBV060</t>
  </si>
  <si>
    <t>SBV061</t>
  </si>
  <si>
    <t>SBV062</t>
  </si>
  <si>
    <t>SBV063</t>
  </si>
  <si>
    <t>SBV064</t>
  </si>
  <si>
    <t>SBV065</t>
  </si>
  <si>
    <t>SBV066</t>
  </si>
  <si>
    <t>SBV067</t>
  </si>
  <si>
    <t>SBV068</t>
  </si>
  <si>
    <t>SBV069</t>
  </si>
  <si>
    <t>SBV070</t>
  </si>
  <si>
    <t>SBV071</t>
  </si>
  <si>
    <t>SBV072</t>
  </si>
  <si>
    <t>SBV073</t>
  </si>
  <si>
    <t>SBV074</t>
  </si>
  <si>
    <t>SBV075</t>
  </si>
  <si>
    <t>SBV076</t>
  </si>
  <si>
    <t>SBV077</t>
  </si>
  <si>
    <t>SBV078</t>
  </si>
  <si>
    <t>SBV079</t>
  </si>
  <si>
    <t>SBV080</t>
  </si>
  <si>
    <t>SBV081</t>
  </si>
  <si>
    <t>SBV082</t>
  </si>
  <si>
    <t>SBV083</t>
  </si>
  <si>
    <t>SBV084</t>
  </si>
  <si>
    <t>SBV085</t>
  </si>
  <si>
    <t>SBV086</t>
  </si>
  <si>
    <t>SBV087</t>
  </si>
  <si>
    <t>SBV088</t>
  </si>
  <si>
    <t>SBV089</t>
  </si>
  <si>
    <t>SBV090</t>
  </si>
  <si>
    <t>SBV091</t>
  </si>
  <si>
    <t>SBV092</t>
  </si>
  <si>
    <t>SBV093</t>
  </si>
  <si>
    <t>SBV094</t>
  </si>
  <si>
    <t>SBV095</t>
  </si>
  <si>
    <t>SBV096</t>
  </si>
  <si>
    <t>SBV097</t>
  </si>
  <si>
    <t>SBV098</t>
  </si>
  <si>
    <t>SBV099</t>
  </si>
  <si>
    <t>SBV100</t>
  </si>
  <si>
    <t>SBV101</t>
  </si>
  <si>
    <t>SBV102</t>
  </si>
  <si>
    <t>SBV103</t>
  </si>
  <si>
    <t>SBV104</t>
  </si>
  <si>
    <t>SBV105</t>
  </si>
  <si>
    <t>SBV106</t>
  </si>
  <si>
    <t>SBV107</t>
  </si>
  <si>
    <t>SBV108</t>
  </si>
  <si>
    <t>SBV109</t>
  </si>
  <si>
    <t>SBV110</t>
  </si>
  <si>
    <t>SBV111</t>
  </si>
  <si>
    <t>SBV112</t>
  </si>
  <si>
    <t>SBV113</t>
  </si>
  <si>
    <t>SBV114</t>
  </si>
  <si>
    <t>SBV115</t>
  </si>
  <si>
    <t>SBV116</t>
  </si>
  <si>
    <t>SBV117</t>
  </si>
  <si>
    <t>SBV118</t>
  </si>
  <si>
    <t>SBV119</t>
  </si>
  <si>
    <t>SBV120</t>
  </si>
  <si>
    <t>SBV121</t>
  </si>
  <si>
    <t>SBV122</t>
  </si>
  <si>
    <t>SBV123</t>
  </si>
  <si>
    <t>SBV124</t>
  </si>
  <si>
    <t>SBV125</t>
  </si>
  <si>
    <t>SBV126</t>
  </si>
  <si>
    <t>SBV127</t>
  </si>
  <si>
    <t>SBV128</t>
  </si>
  <si>
    <t>SBV129</t>
  </si>
  <si>
    <t>SBV130</t>
  </si>
  <si>
    <t>SBV131</t>
  </si>
  <si>
    <t>SBV132</t>
  </si>
  <si>
    <t>SBV133</t>
  </si>
  <si>
    <t>SBV134</t>
  </si>
  <si>
    <t>SBV135</t>
  </si>
  <si>
    <t>SBV136</t>
  </si>
  <si>
    <t>SBV137</t>
  </si>
  <si>
    <t>SBV138</t>
  </si>
  <si>
    <t>SBV139</t>
  </si>
  <si>
    <t>SBV140</t>
  </si>
  <si>
    <t>SBV141</t>
  </si>
  <si>
    <t>SBV142</t>
  </si>
  <si>
    <t>SBV143</t>
  </si>
  <si>
    <t>SBV144</t>
  </si>
  <si>
    <t>SBV145</t>
  </si>
  <si>
    <t>SBV146</t>
  </si>
  <si>
    <t>SBV147</t>
  </si>
  <si>
    <t>SBV148</t>
  </si>
  <si>
    <t>SBV149</t>
  </si>
  <si>
    <t>SBV150</t>
  </si>
  <si>
    <t>SBV151</t>
  </si>
  <si>
    <t>SBV152</t>
  </si>
  <si>
    <t>SBV153</t>
  </si>
  <si>
    <t>SBV154</t>
  </si>
  <si>
    <t>SBV155</t>
  </si>
  <si>
    <t>SBV156</t>
  </si>
  <si>
    <t>SBV157</t>
  </si>
  <si>
    <t>SBV158</t>
  </si>
  <si>
    <t>SBV159</t>
  </si>
  <si>
    <t>SBV160</t>
  </si>
  <si>
    <t>SBV161</t>
  </si>
  <si>
    <t>SBV162</t>
  </si>
  <si>
    <t>SBV163</t>
  </si>
  <si>
    <t>SBV164</t>
  </si>
  <si>
    <t>SBV165</t>
  </si>
  <si>
    <t>SBV166</t>
  </si>
  <si>
    <t>SBV167</t>
  </si>
  <si>
    <t>SBV168</t>
  </si>
  <si>
    <t>SBV169</t>
  </si>
  <si>
    <t>SBV170</t>
  </si>
  <si>
    <t>SBV171</t>
  </si>
  <si>
    <t>SBV172</t>
  </si>
  <si>
    <t>SBV173</t>
  </si>
  <si>
    <t>SBV174</t>
  </si>
  <si>
    <t>SBV175</t>
  </si>
  <si>
    <t>SBV176</t>
  </si>
  <si>
    <t>SBV177</t>
  </si>
  <si>
    <t>SBV178</t>
  </si>
  <si>
    <t>SBV179</t>
  </si>
  <si>
    <t>SBV180</t>
  </si>
  <si>
    <t>SBV181</t>
  </si>
  <si>
    <t>SBV183</t>
  </si>
  <si>
    <t>SBV184</t>
  </si>
  <si>
    <t>SBV185</t>
  </si>
  <si>
    <t>SBV186</t>
  </si>
  <si>
    <t>SBV187</t>
  </si>
  <si>
    <t>SBV188</t>
  </si>
  <si>
    <t>SBV189</t>
  </si>
  <si>
    <t>SBV190</t>
  </si>
  <si>
    <t>SBV191</t>
  </si>
  <si>
    <t>SBV192</t>
  </si>
  <si>
    <t>SBV193</t>
  </si>
  <si>
    <t>SBV194</t>
  </si>
  <si>
    <t>SBV195</t>
  </si>
  <si>
    <t>SBV196</t>
  </si>
  <si>
    <t>SBV197</t>
  </si>
  <si>
    <t>SBV198</t>
  </si>
  <si>
    <t>SBV199</t>
  </si>
  <si>
    <t>SBV200</t>
  </si>
  <si>
    <t>SBV201</t>
  </si>
  <si>
    <t>SBV202</t>
  </si>
  <si>
    <t>SBV203</t>
  </si>
  <si>
    <t>SBV204</t>
  </si>
  <si>
    <t>SBV205</t>
  </si>
  <si>
    <t>SBV206</t>
  </si>
  <si>
    <t>SBV207</t>
  </si>
  <si>
    <t>SBV208</t>
  </si>
  <si>
    <t>SBV209</t>
  </si>
  <si>
    <t>SBV210</t>
  </si>
  <si>
    <t>SBV211</t>
  </si>
  <si>
    <t>SBV212</t>
  </si>
  <si>
    <t>SBV213</t>
  </si>
  <si>
    <t>SBV214</t>
  </si>
  <si>
    <t>SBV215</t>
  </si>
  <si>
    <t>SBV216</t>
  </si>
  <si>
    <t>SBV217</t>
  </si>
  <si>
    <t>SBV218</t>
  </si>
  <si>
    <t>SBV219</t>
  </si>
  <si>
    <t>SBV220</t>
  </si>
  <si>
    <t>SBV221</t>
  </si>
  <si>
    <t>SBV222</t>
  </si>
  <si>
    <t>SBV223</t>
  </si>
  <si>
    <t>SBV224</t>
  </si>
  <si>
    <t>SBV225</t>
  </si>
  <si>
    <t>SBV226</t>
  </si>
  <si>
    <t>SBV227</t>
  </si>
  <si>
    <t>SBV228</t>
  </si>
  <si>
    <t>SBV229</t>
  </si>
  <si>
    <t>SBV230</t>
  </si>
  <si>
    <t>SBV231</t>
  </si>
  <si>
    <t>SBV232</t>
  </si>
  <si>
    <t>SBV233</t>
  </si>
  <si>
    <t>SBV234</t>
  </si>
  <si>
    <t>SBV235</t>
  </si>
  <si>
    <t>SBV236</t>
  </si>
  <si>
    <t>SBV237</t>
  </si>
  <si>
    <t>SBV238</t>
  </si>
  <si>
    <t>SBV239</t>
  </si>
  <si>
    <t>SBV240</t>
  </si>
  <si>
    <t>SBV241</t>
  </si>
  <si>
    <t>SBV242</t>
  </si>
  <si>
    <t>SBV243</t>
  </si>
  <si>
    <t>SBV244</t>
  </si>
  <si>
    <t>SBV245</t>
  </si>
  <si>
    <t>SBV246</t>
  </si>
  <si>
    <t>SBV247</t>
  </si>
  <si>
    <t>SBV248</t>
  </si>
  <si>
    <t>SBV249</t>
  </si>
  <si>
    <t>SBV251</t>
  </si>
  <si>
    <t>SBV252</t>
  </si>
  <si>
    <t>SBV253</t>
  </si>
  <si>
    <t>SBV254</t>
  </si>
  <si>
    <t>SBV255</t>
  </si>
  <si>
    <t>SBV256</t>
  </si>
  <si>
    <t>SBV257</t>
  </si>
  <si>
    <t>SBV258</t>
  </si>
  <si>
    <t>SBV259</t>
  </si>
  <si>
    <t>SBV260</t>
  </si>
  <si>
    <t>SBV261</t>
  </si>
  <si>
    <t>SBV262</t>
  </si>
  <si>
    <t>SBV263</t>
  </si>
  <si>
    <t>SBV265</t>
  </si>
  <si>
    <t>SBV266</t>
  </si>
  <si>
    <t>SBV267</t>
  </si>
  <si>
    <t>SBV268</t>
  </si>
  <si>
    <t>SBV269</t>
  </si>
  <si>
    <t>SBV270</t>
  </si>
  <si>
    <t>SBV271</t>
  </si>
  <si>
    <t>SBV272</t>
  </si>
  <si>
    <t>SBV273</t>
  </si>
  <si>
    <t>SBV274</t>
  </si>
  <si>
    <t>SBV275</t>
  </si>
  <si>
    <t>SBV276</t>
  </si>
  <si>
    <t>SBV277</t>
  </si>
  <si>
    <t>SBV278</t>
  </si>
  <si>
    <t>SBV279</t>
  </si>
  <si>
    <t>SBV280</t>
  </si>
  <si>
    <t>SBV281</t>
  </si>
  <si>
    <t>SBV282</t>
  </si>
  <si>
    <t>SBV283</t>
  </si>
  <si>
    <t>SBV284</t>
  </si>
  <si>
    <t>SBV285</t>
  </si>
  <si>
    <t>SBV286</t>
  </si>
  <si>
    <t>SBV287</t>
  </si>
  <si>
    <t>SBV288</t>
  </si>
  <si>
    <t>SBV289</t>
  </si>
  <si>
    <t>SBV290</t>
  </si>
  <si>
    <t>SBV291</t>
  </si>
  <si>
    <t>SBV292</t>
  </si>
  <si>
    <t>SBV293</t>
  </si>
  <si>
    <t>SBV294</t>
  </si>
  <si>
    <t>SBV295</t>
  </si>
  <si>
    <t>SBV296</t>
  </si>
  <si>
    <t>SBV297</t>
  </si>
  <si>
    <t>SBV298</t>
  </si>
  <si>
    <t>SBV299</t>
  </si>
  <si>
    <t>SBV300</t>
  </si>
  <si>
    <t>SBV301</t>
  </si>
  <si>
    <t>SBV302</t>
  </si>
  <si>
    <t>SBV304</t>
  </si>
  <si>
    <t>SBV305</t>
  </si>
  <si>
    <t>SBV306</t>
  </si>
  <si>
    <t>SBV307</t>
  </si>
  <si>
    <t>SBV308</t>
  </si>
  <si>
    <t>SBV309</t>
  </si>
  <si>
    <t>SBV310</t>
  </si>
  <si>
    <t>SBV311</t>
  </si>
  <si>
    <t>SBV312</t>
  </si>
  <si>
    <t>SBV313</t>
  </si>
  <si>
    <t>SBV314</t>
  </si>
  <si>
    <t>SBV315</t>
  </si>
  <si>
    <t>SBV316</t>
  </si>
  <si>
    <t>SBV317</t>
  </si>
  <si>
    <t>SBV318</t>
  </si>
  <si>
    <t>SBV319</t>
  </si>
  <si>
    <t>SBV320</t>
  </si>
  <si>
    <t>SBV321</t>
  </si>
  <si>
    <t>SBV322</t>
  </si>
  <si>
    <t>SBV323</t>
  </si>
  <si>
    <t>SBV324</t>
  </si>
  <si>
    <t>SBV325</t>
  </si>
  <si>
    <t>SBV326</t>
  </si>
  <si>
    <t>SBV327</t>
  </si>
  <si>
    <t>SBV328</t>
  </si>
  <si>
    <t>SBV329</t>
  </si>
  <si>
    <t>SBV330</t>
  </si>
  <si>
    <t>SBV331</t>
  </si>
  <si>
    <t>SBV332</t>
  </si>
  <si>
    <t>SBV333</t>
  </si>
  <si>
    <t>SBV334</t>
  </si>
  <si>
    <t>SBV335</t>
  </si>
  <si>
    <t>SBV336</t>
  </si>
  <si>
    <t>SBV337</t>
  </si>
  <si>
    <t>SBV338</t>
  </si>
  <si>
    <t>SBV339</t>
  </si>
  <si>
    <t>SBV340</t>
  </si>
  <si>
    <t>SBV341</t>
  </si>
  <si>
    <t>SBV342</t>
  </si>
  <si>
    <t>SBV343</t>
  </si>
  <si>
    <t>SBV344</t>
  </si>
  <si>
    <t>SBV345</t>
  </si>
  <si>
    <t>SBV347</t>
  </si>
  <si>
    <t>SBV348</t>
  </si>
  <si>
    <t>SBV349</t>
  </si>
  <si>
    <t>SBV350</t>
  </si>
  <si>
    <t>SBV351</t>
  </si>
  <si>
    <t>SBV352</t>
  </si>
  <si>
    <t>SBV353</t>
  </si>
  <si>
    <t>SBV354</t>
  </si>
  <si>
    <t>SBV355</t>
  </si>
  <si>
    <t>SBV356</t>
  </si>
  <si>
    <t>SBV357</t>
  </si>
  <si>
    <t>SBV358</t>
  </si>
  <si>
    <t>SBV359</t>
  </si>
  <si>
    <t>SBV361</t>
  </si>
  <si>
    <t>SBV362</t>
  </si>
  <si>
    <t>SBV363</t>
  </si>
  <si>
    <t>SBV364</t>
  </si>
  <si>
    <t>SBV365</t>
  </si>
  <si>
    <t>SBV366</t>
  </si>
  <si>
    <t>SBV367</t>
  </si>
  <si>
    <t>SBV368</t>
  </si>
  <si>
    <t>SBV369</t>
  </si>
  <si>
    <t>SBV370</t>
  </si>
  <si>
    <t>SBV371</t>
  </si>
  <si>
    <t>SBV372</t>
  </si>
  <si>
    <t>SBV373</t>
  </si>
  <si>
    <t>SBV374</t>
  </si>
  <si>
    <t>SBV375</t>
  </si>
  <si>
    <t>SBV376</t>
  </si>
  <si>
    <t>AVERAGE</t>
  </si>
  <si>
    <t>SGV029</t>
  </si>
  <si>
    <t>SGV027</t>
  </si>
  <si>
    <t>SGV030</t>
  </si>
  <si>
    <t>SGV006</t>
  </si>
  <si>
    <t>SGV082</t>
  </si>
  <si>
    <t>SGV007</t>
  </si>
  <si>
    <t>SGV039</t>
  </si>
  <si>
    <t>SGV016</t>
  </si>
  <si>
    <t>SGV060</t>
  </si>
  <si>
    <t>SGV020</t>
  </si>
  <si>
    <t>SGV063</t>
  </si>
  <si>
    <t>SGV004</t>
  </si>
  <si>
    <t>SGV032</t>
  </si>
  <si>
    <t>SGV003</t>
  </si>
  <si>
    <t>SGV021</t>
  </si>
  <si>
    <t>SGV061</t>
  </si>
  <si>
    <t>SGV046</t>
  </si>
  <si>
    <t>SGV022</t>
  </si>
  <si>
    <t>SGV048</t>
  </si>
  <si>
    <t>SGV047</t>
  </si>
  <si>
    <t>SGV043</t>
  </si>
  <si>
    <t>SGV034</t>
  </si>
  <si>
    <t>SGV080</t>
  </si>
  <si>
    <t>SGV055</t>
  </si>
  <si>
    <t>SGV005</t>
  </si>
  <si>
    <t>SGV081</t>
  </si>
  <si>
    <t>SGV019</t>
  </si>
  <si>
    <t>SGV002</t>
  </si>
  <si>
    <t>SGV045</t>
  </si>
  <si>
    <t>SGV018</t>
  </si>
  <si>
    <t>SGV033</t>
  </si>
  <si>
    <t>SGV026</t>
  </si>
  <si>
    <t>SGV023</t>
  </si>
  <si>
    <t>SGV058</t>
  </si>
  <si>
    <t>SGV068</t>
  </si>
  <si>
    <t>SGV013</t>
  </si>
  <si>
    <t>SGV071</t>
  </si>
  <si>
    <t>SGV059</t>
  </si>
  <si>
    <t>SGV010</t>
  </si>
  <si>
    <t>SGV077</t>
  </si>
  <si>
    <t>SGV057</t>
  </si>
  <si>
    <t>SGV017</t>
  </si>
  <si>
    <t>SGV049</t>
  </si>
  <si>
    <t>SGV067</t>
  </si>
  <si>
    <t>SGV052</t>
  </si>
  <si>
    <t>SGV012</t>
  </si>
  <si>
    <t>SGV008</t>
  </si>
  <si>
    <t>SGV069</t>
  </si>
  <si>
    <t>SGV056</t>
  </si>
  <si>
    <t>SGV035</t>
  </si>
  <si>
    <t>SGV066</t>
  </si>
  <si>
    <t>SGV062</t>
  </si>
  <si>
    <t>SGV054</t>
  </si>
  <si>
    <t>SGV070</t>
  </si>
  <si>
    <t>SGV065</t>
  </si>
  <si>
    <t>SGV014</t>
  </si>
  <si>
    <t>SGV051</t>
  </si>
  <si>
    <t>SGV038</t>
  </si>
  <si>
    <t>SGV074</t>
  </si>
  <si>
    <t>SGV064</t>
  </si>
  <si>
    <t>SGV036</t>
  </si>
  <si>
    <t>SGV037</t>
  </si>
  <si>
    <t>SGV044</t>
  </si>
  <si>
    <t>SGV079</t>
  </si>
  <si>
    <t>SGV042</t>
  </si>
  <si>
    <t>SGV050</t>
  </si>
  <si>
    <t>SGV041</t>
  </si>
  <si>
    <t>SGV031</t>
  </si>
  <si>
    <t>SGV009</t>
  </si>
  <si>
    <t>SGV028</t>
  </si>
  <si>
    <t>SGV011</t>
  </si>
  <si>
    <t>SGV072</t>
  </si>
  <si>
    <t>SGV053</t>
  </si>
  <si>
    <t>SGV075</t>
  </si>
  <si>
    <t>SGV025</t>
  </si>
  <si>
    <t>SGV040</t>
  </si>
  <si>
    <t>SGV073</t>
  </si>
  <si>
    <t>SGV078</t>
  </si>
  <si>
    <t>not included in SNP analyses due to low sequence depth</t>
  </si>
  <si>
    <t>ST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</si>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</sst>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2" borderId="0" xfId="0" applyFill="1"/>
    <xf numFmtId="4" fontId="0" fillId="2" borderId="0" xfId="0" applyNumberFormat="1" applyFill="1"/>
    <xf numFmtId="2" fontId="0" fillId="2" borderId="0" xfId="0" applyNumberFormat="1" applyFill="1"/>
    <xf numFmtId="0" fontId="0" fillId="0" borderId="0" xfId="0" applyFill="1"/>
    <xf numFmtId="4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sseyuni-my.sharepoint.com/personal/21004751_massey_ac_nz/Documents/Desktop/SBV_isolates.xlsx" TargetMode="External"/><Relationship Id="rId1" Type="http://schemas.openxmlformats.org/officeDocument/2006/relationships/externalLinkPath" Target="https://masseyuni-my.sharepoint.com/personal/21004751_massey_ac_nz/Documents/Desktop/SBV_isolat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1004751\OneDrive%20-%20Massey%20University\Student%20Projects%20-%20Aline%20Parolin%20Calarga%20PhD%20Project%20-%20Aline%20Parolin%20Calarga%20PhD%20Project\Thesis\Chapter%2003%20Salmonella\BEAST_prep\Metadata_isolates.csv" TargetMode="External"/><Relationship Id="rId1" Type="http://schemas.openxmlformats.org/officeDocument/2006/relationships/externalLinkPath" Target="file:///C:\Users\21004751\OneDrive%20-%20Massey%20University\Student%20Projects%20-%20Aline%20Parolin%20Calarga%20PhD%20Project%20-%20Aline%20Parolin%20Calarga%20PhD%20Project\Thesis\Chapter%2003%20Salmonella\BEAST_prep\Metadata_isolat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V Isolates"/>
    </sheetNames>
    <sheetDataSet>
      <sheetData sheetId="0">
        <row r="2">
          <cell r="A2" t="str">
            <v>SBV001</v>
          </cell>
          <cell r="B2" t="str">
            <v>plate05</v>
          </cell>
        </row>
        <row r="3">
          <cell r="A3" t="str">
            <v>SBV002</v>
          </cell>
          <cell r="B3" t="str">
            <v>plate01</v>
          </cell>
        </row>
        <row r="4">
          <cell r="A4" t="str">
            <v>SBV003</v>
          </cell>
          <cell r="B4" t="str">
            <v>plate01</v>
          </cell>
        </row>
        <row r="5">
          <cell r="A5" t="str">
            <v>SBV004</v>
          </cell>
          <cell r="B5" t="str">
            <v>plate01</v>
          </cell>
        </row>
        <row r="6">
          <cell r="A6" t="str">
            <v>SBV005</v>
          </cell>
          <cell r="B6" t="str">
            <v>plate01</v>
          </cell>
        </row>
        <row r="7">
          <cell r="A7" t="str">
            <v>SBV006</v>
          </cell>
          <cell r="B7" t="str">
            <v>plate01</v>
          </cell>
        </row>
        <row r="8">
          <cell r="A8" t="str">
            <v>SBV007</v>
          </cell>
          <cell r="B8" t="str">
            <v>plate01</v>
          </cell>
        </row>
        <row r="9">
          <cell r="A9" t="str">
            <v>SBV008</v>
          </cell>
          <cell r="B9" t="str">
            <v>plate01</v>
          </cell>
        </row>
        <row r="10">
          <cell r="A10" t="str">
            <v>SBV009</v>
          </cell>
          <cell r="B10" t="str">
            <v>plate01</v>
          </cell>
        </row>
        <row r="11">
          <cell r="A11" t="str">
            <v>SBV010</v>
          </cell>
          <cell r="B11" t="str">
            <v>plate01</v>
          </cell>
        </row>
        <row r="12">
          <cell r="A12" t="str">
            <v>SBV011</v>
          </cell>
          <cell r="B12" t="str">
            <v>plate01</v>
          </cell>
        </row>
        <row r="13">
          <cell r="A13" t="str">
            <v>SBV012</v>
          </cell>
          <cell r="B13" t="str">
            <v>plate01</v>
          </cell>
        </row>
        <row r="14">
          <cell r="A14" t="str">
            <v>SBV013</v>
          </cell>
          <cell r="B14" t="str">
            <v>plate01</v>
          </cell>
        </row>
        <row r="15">
          <cell r="A15" t="str">
            <v>SBV014</v>
          </cell>
          <cell r="B15" t="str">
            <v>plate01</v>
          </cell>
        </row>
        <row r="16">
          <cell r="A16" t="str">
            <v>SBV015</v>
          </cell>
          <cell r="B16" t="str">
            <v>plate01</v>
          </cell>
        </row>
        <row r="17">
          <cell r="A17" t="str">
            <v>SBV016</v>
          </cell>
          <cell r="B17" t="str">
            <v>plate01</v>
          </cell>
        </row>
        <row r="18">
          <cell r="A18" t="str">
            <v>SBV017</v>
          </cell>
          <cell r="B18" t="str">
            <v>plate01</v>
          </cell>
        </row>
        <row r="19">
          <cell r="A19" t="str">
            <v>SBV018</v>
          </cell>
          <cell r="B19" t="str">
            <v>plate01</v>
          </cell>
        </row>
        <row r="20">
          <cell r="A20" t="str">
            <v>SBV019</v>
          </cell>
          <cell r="B20" t="str">
            <v>plate01</v>
          </cell>
        </row>
        <row r="21">
          <cell r="A21" t="str">
            <v>SBV020</v>
          </cell>
          <cell r="B21" t="str">
            <v>plate01</v>
          </cell>
        </row>
        <row r="22">
          <cell r="A22" t="str">
            <v>SBV021</v>
          </cell>
          <cell r="B22" t="str">
            <v>plate01</v>
          </cell>
        </row>
        <row r="23">
          <cell r="A23" t="str">
            <v>SBV022</v>
          </cell>
          <cell r="B23" t="str">
            <v>plate01</v>
          </cell>
        </row>
        <row r="24">
          <cell r="A24" t="str">
            <v>SBV023</v>
          </cell>
          <cell r="B24" t="str">
            <v>plate01</v>
          </cell>
        </row>
        <row r="25">
          <cell r="A25" t="str">
            <v>SBV024</v>
          </cell>
          <cell r="B25" t="str">
            <v>plate01</v>
          </cell>
        </row>
        <row r="26">
          <cell r="A26" t="str">
            <v>SBV025</v>
          </cell>
          <cell r="B26" t="str">
            <v>plate01</v>
          </cell>
        </row>
        <row r="27">
          <cell r="A27" t="str">
            <v>SBV026</v>
          </cell>
          <cell r="B27" t="str">
            <v>plate01</v>
          </cell>
        </row>
        <row r="28">
          <cell r="A28" t="str">
            <v>SBV027</v>
          </cell>
          <cell r="B28" t="str">
            <v>plate01</v>
          </cell>
        </row>
        <row r="29">
          <cell r="A29" t="str">
            <v>SBV028</v>
          </cell>
          <cell r="B29" t="str">
            <v>plate01</v>
          </cell>
        </row>
        <row r="30">
          <cell r="A30" t="str">
            <v>SBV029</v>
          </cell>
          <cell r="B30" t="str">
            <v>plate01</v>
          </cell>
        </row>
        <row r="31">
          <cell r="A31" t="str">
            <v>SBV030</v>
          </cell>
          <cell r="B31" t="str">
            <v>plate01</v>
          </cell>
        </row>
        <row r="32">
          <cell r="A32" t="str">
            <v>SBV031</v>
          </cell>
          <cell r="B32" t="str">
            <v>plate01</v>
          </cell>
        </row>
        <row r="33">
          <cell r="A33" t="str">
            <v>SBV032</v>
          </cell>
          <cell r="B33" t="str">
            <v>plate01</v>
          </cell>
        </row>
        <row r="34">
          <cell r="A34" t="str">
            <v>SBV033</v>
          </cell>
          <cell r="B34" t="str">
            <v>plate01</v>
          </cell>
        </row>
        <row r="35">
          <cell r="A35" t="str">
            <v>SBV035</v>
          </cell>
          <cell r="B35" t="str">
            <v>plate01</v>
          </cell>
        </row>
        <row r="36">
          <cell r="A36" t="str">
            <v>SBV036</v>
          </cell>
          <cell r="B36" t="str">
            <v>plate01</v>
          </cell>
        </row>
        <row r="37">
          <cell r="A37" t="str">
            <v>SBV037</v>
          </cell>
          <cell r="B37" t="str">
            <v>plate01</v>
          </cell>
        </row>
        <row r="38">
          <cell r="A38" t="str">
            <v>SBV038</v>
          </cell>
          <cell r="B38" t="str">
            <v>plate01</v>
          </cell>
        </row>
        <row r="39">
          <cell r="A39" t="str">
            <v>SBV039</v>
          </cell>
          <cell r="B39" t="str">
            <v>plate01</v>
          </cell>
        </row>
        <row r="40">
          <cell r="A40" t="str">
            <v>SBV040</v>
          </cell>
          <cell r="B40" t="str">
            <v>plate03</v>
          </cell>
        </row>
        <row r="41">
          <cell r="A41" t="str">
            <v>SBV041</v>
          </cell>
          <cell r="B41" t="str">
            <v>plate01</v>
          </cell>
        </row>
        <row r="42">
          <cell r="A42" t="str">
            <v>SBV042</v>
          </cell>
          <cell r="B42" t="str">
            <v>plate01</v>
          </cell>
        </row>
        <row r="43">
          <cell r="A43" t="str">
            <v>SBV043</v>
          </cell>
          <cell r="B43" t="str">
            <v>plate01</v>
          </cell>
        </row>
        <row r="44">
          <cell r="A44" t="str">
            <v>SBV044</v>
          </cell>
          <cell r="B44" t="str">
            <v>plate01</v>
          </cell>
        </row>
        <row r="45">
          <cell r="A45" t="str">
            <v>SBV045</v>
          </cell>
          <cell r="B45" t="str">
            <v>plate01</v>
          </cell>
        </row>
        <row r="46">
          <cell r="A46" t="str">
            <v>SBV046</v>
          </cell>
          <cell r="B46" t="str">
            <v>plate01</v>
          </cell>
        </row>
        <row r="47">
          <cell r="A47" t="str">
            <v>SBV047</v>
          </cell>
          <cell r="B47" t="str">
            <v>plate01</v>
          </cell>
        </row>
        <row r="48">
          <cell r="A48" t="str">
            <v>SBV048</v>
          </cell>
          <cell r="B48" t="str">
            <v>plate01</v>
          </cell>
        </row>
        <row r="49">
          <cell r="A49" t="str">
            <v>SBV049</v>
          </cell>
          <cell r="B49" t="str">
            <v>plate01</v>
          </cell>
        </row>
        <row r="50">
          <cell r="A50" t="str">
            <v>SBV050</v>
          </cell>
          <cell r="B50" t="str">
            <v>plate01</v>
          </cell>
        </row>
        <row r="51">
          <cell r="A51" t="str">
            <v>SBV051</v>
          </cell>
          <cell r="B51" t="str">
            <v>plate01</v>
          </cell>
        </row>
        <row r="52">
          <cell r="A52" t="str">
            <v>SBV052</v>
          </cell>
          <cell r="B52" t="str">
            <v>plate01</v>
          </cell>
        </row>
        <row r="53">
          <cell r="A53" t="str">
            <v>SBV053</v>
          </cell>
          <cell r="B53" t="str">
            <v>plate01</v>
          </cell>
        </row>
        <row r="54">
          <cell r="A54" t="str">
            <v>SBV054</v>
          </cell>
          <cell r="B54" t="str">
            <v>plate01</v>
          </cell>
        </row>
        <row r="55">
          <cell r="A55" t="str">
            <v>SBV055</v>
          </cell>
          <cell r="B55" t="str">
            <v>plate01</v>
          </cell>
        </row>
        <row r="56">
          <cell r="A56" t="str">
            <v>SBV056</v>
          </cell>
          <cell r="B56" t="str">
            <v>plate01</v>
          </cell>
        </row>
        <row r="57">
          <cell r="A57" t="str">
            <v>SBV057</v>
          </cell>
          <cell r="B57" t="str">
            <v>plate01</v>
          </cell>
        </row>
        <row r="58">
          <cell r="A58" t="str">
            <v>SBV058</v>
          </cell>
          <cell r="B58" t="str">
            <v>plate01</v>
          </cell>
        </row>
        <row r="59">
          <cell r="A59" t="str">
            <v>SBV059</v>
          </cell>
          <cell r="B59" t="str">
            <v>plate01</v>
          </cell>
        </row>
        <row r="60">
          <cell r="A60" t="str">
            <v>SBV060</v>
          </cell>
          <cell r="B60" t="str">
            <v>plate01</v>
          </cell>
        </row>
        <row r="61">
          <cell r="A61" t="str">
            <v>SBV061</v>
          </cell>
          <cell r="B61" t="str">
            <v>plate01</v>
          </cell>
        </row>
        <row r="62">
          <cell r="A62" t="str">
            <v>SBV062</v>
          </cell>
          <cell r="B62" t="str">
            <v>plate01</v>
          </cell>
        </row>
        <row r="63">
          <cell r="A63" t="str">
            <v>SBV063</v>
          </cell>
          <cell r="B63" t="str">
            <v>plate01</v>
          </cell>
        </row>
        <row r="64">
          <cell r="A64" t="str">
            <v>SBV064</v>
          </cell>
          <cell r="B64" t="str">
            <v>plate01</v>
          </cell>
        </row>
        <row r="65">
          <cell r="A65" t="str">
            <v>SBV065</v>
          </cell>
          <cell r="B65" t="str">
            <v>plate03</v>
          </cell>
        </row>
        <row r="66">
          <cell r="A66" t="str">
            <v>SBV067</v>
          </cell>
          <cell r="B66" t="str">
            <v>plate01</v>
          </cell>
        </row>
        <row r="67">
          <cell r="A67" t="str">
            <v>SBV068</v>
          </cell>
          <cell r="B67" t="str">
            <v>plate01</v>
          </cell>
        </row>
        <row r="68">
          <cell r="A68" t="str">
            <v>SBV069</v>
          </cell>
          <cell r="B68" t="str">
            <v>plate01</v>
          </cell>
        </row>
        <row r="69">
          <cell r="A69" t="str">
            <v>SBV070</v>
          </cell>
          <cell r="B69" t="str">
            <v>plate01</v>
          </cell>
        </row>
        <row r="70">
          <cell r="A70" t="str">
            <v>SBV071</v>
          </cell>
          <cell r="B70" t="str">
            <v>plate01</v>
          </cell>
        </row>
        <row r="71">
          <cell r="A71" t="str">
            <v>SBV072</v>
          </cell>
          <cell r="B71" t="str">
            <v>plate02</v>
          </cell>
        </row>
        <row r="72">
          <cell r="A72" t="str">
            <v>SBV073</v>
          </cell>
          <cell r="B72" t="str">
            <v>plate03</v>
          </cell>
        </row>
        <row r="73">
          <cell r="A73" t="str">
            <v>SBV074</v>
          </cell>
          <cell r="B73" t="str">
            <v>plate03</v>
          </cell>
        </row>
        <row r="74">
          <cell r="A74" t="str">
            <v>SBV075</v>
          </cell>
          <cell r="B74" t="str">
            <v>plate02</v>
          </cell>
        </row>
        <row r="75">
          <cell r="A75" t="str">
            <v>SBV076</v>
          </cell>
          <cell r="B75" t="str">
            <v>plate02</v>
          </cell>
        </row>
        <row r="76">
          <cell r="A76" t="str">
            <v>SBV077</v>
          </cell>
          <cell r="B76" t="str">
            <v>plate02</v>
          </cell>
        </row>
        <row r="77">
          <cell r="A77" t="str">
            <v>SBV078</v>
          </cell>
          <cell r="B77" t="str">
            <v>plate02</v>
          </cell>
        </row>
        <row r="78">
          <cell r="A78" t="str">
            <v>SBV079</v>
          </cell>
          <cell r="B78" t="str">
            <v>plate02</v>
          </cell>
        </row>
        <row r="79">
          <cell r="A79" t="str">
            <v>SBV080</v>
          </cell>
          <cell r="B79" t="str">
            <v>plate02</v>
          </cell>
        </row>
        <row r="80">
          <cell r="A80" t="str">
            <v>SBV081</v>
          </cell>
          <cell r="B80" t="str">
            <v>plate02</v>
          </cell>
        </row>
        <row r="81">
          <cell r="A81" t="str">
            <v>SBV082</v>
          </cell>
          <cell r="B81" t="str">
            <v>plate02</v>
          </cell>
        </row>
        <row r="82">
          <cell r="A82" t="str">
            <v>SBV083</v>
          </cell>
          <cell r="B82" t="str">
            <v>plate02</v>
          </cell>
        </row>
        <row r="83">
          <cell r="A83" t="str">
            <v>SBV084</v>
          </cell>
          <cell r="B83" t="str">
            <v>plate02</v>
          </cell>
        </row>
        <row r="84">
          <cell r="A84" t="str">
            <v>SBV085</v>
          </cell>
          <cell r="B84" t="str">
            <v>plate03</v>
          </cell>
        </row>
        <row r="85">
          <cell r="A85" t="str">
            <v>SBV086</v>
          </cell>
          <cell r="B85" t="str">
            <v>plate02</v>
          </cell>
        </row>
        <row r="86">
          <cell r="A86" t="str">
            <v>SBV087</v>
          </cell>
          <cell r="B86" t="str">
            <v>plate02</v>
          </cell>
        </row>
        <row r="87">
          <cell r="A87" t="str">
            <v>SBV088</v>
          </cell>
          <cell r="B87" t="str">
            <v>plate02</v>
          </cell>
        </row>
        <row r="88">
          <cell r="A88" t="str">
            <v>SBV089</v>
          </cell>
          <cell r="B88" t="str">
            <v>plate02</v>
          </cell>
        </row>
        <row r="89">
          <cell r="A89" t="str">
            <v>SBV090</v>
          </cell>
          <cell r="B89" t="str">
            <v>plate02</v>
          </cell>
        </row>
        <row r="90">
          <cell r="A90" t="str">
            <v>SBV091</v>
          </cell>
          <cell r="B90" t="str">
            <v>plate02</v>
          </cell>
        </row>
        <row r="91">
          <cell r="A91" t="str">
            <v>SBV092</v>
          </cell>
          <cell r="B91" t="str">
            <v>plate02</v>
          </cell>
        </row>
        <row r="92">
          <cell r="A92" t="str">
            <v>SBV093</v>
          </cell>
          <cell r="B92" t="str">
            <v>plate02</v>
          </cell>
        </row>
        <row r="93">
          <cell r="A93" t="str">
            <v>SBV094</v>
          </cell>
          <cell r="B93" t="str">
            <v>plate02</v>
          </cell>
        </row>
        <row r="94">
          <cell r="A94" t="str">
            <v>SBV095</v>
          </cell>
          <cell r="B94" t="str">
            <v>plate02</v>
          </cell>
        </row>
        <row r="95">
          <cell r="A95" t="str">
            <v>SBV096</v>
          </cell>
          <cell r="B95" t="str">
            <v>plate02</v>
          </cell>
        </row>
        <row r="96">
          <cell r="A96" t="str">
            <v>SBV097</v>
          </cell>
          <cell r="B96" t="str">
            <v>plate02</v>
          </cell>
        </row>
        <row r="97">
          <cell r="A97" t="str">
            <v>SBV098</v>
          </cell>
          <cell r="B97" t="str">
            <v>plate02</v>
          </cell>
        </row>
        <row r="98">
          <cell r="A98" t="str">
            <v>SBV099</v>
          </cell>
          <cell r="B98" t="str">
            <v>plate02</v>
          </cell>
        </row>
        <row r="99">
          <cell r="A99" t="str">
            <v>SBV100</v>
          </cell>
          <cell r="B99" t="str">
            <v>plate02</v>
          </cell>
        </row>
        <row r="100">
          <cell r="A100" t="str">
            <v>SBV101</v>
          </cell>
          <cell r="B100" t="str">
            <v>plate02</v>
          </cell>
        </row>
        <row r="101">
          <cell r="A101" t="str">
            <v>SBV102</v>
          </cell>
          <cell r="B101" t="str">
            <v>plate02</v>
          </cell>
        </row>
        <row r="102">
          <cell r="A102" t="str">
            <v>SBV103</v>
          </cell>
          <cell r="B102" t="str">
            <v>plate02</v>
          </cell>
        </row>
        <row r="103">
          <cell r="A103" t="str">
            <v>SBV104</v>
          </cell>
          <cell r="B103" t="str">
            <v>plate02</v>
          </cell>
        </row>
        <row r="104">
          <cell r="A104" t="str">
            <v>SBV105</v>
          </cell>
          <cell r="B104" t="str">
            <v>plate02</v>
          </cell>
        </row>
        <row r="105">
          <cell r="A105" t="str">
            <v>SBV106</v>
          </cell>
          <cell r="B105" t="str">
            <v>plate02</v>
          </cell>
        </row>
        <row r="106">
          <cell r="A106" t="str">
            <v>SBV107</v>
          </cell>
          <cell r="B106" t="str">
            <v>plate02</v>
          </cell>
        </row>
        <row r="107">
          <cell r="A107" t="str">
            <v>SBV108</v>
          </cell>
          <cell r="B107" t="str">
            <v>plate02</v>
          </cell>
        </row>
        <row r="108">
          <cell r="A108" t="str">
            <v>SBV109</v>
          </cell>
          <cell r="B108" t="str">
            <v>plate02</v>
          </cell>
        </row>
        <row r="109">
          <cell r="A109" t="str">
            <v>SBV110</v>
          </cell>
          <cell r="B109" t="str">
            <v>plate02</v>
          </cell>
        </row>
        <row r="110">
          <cell r="A110" t="str">
            <v>SBV111</v>
          </cell>
          <cell r="B110" t="str">
            <v>plate02</v>
          </cell>
        </row>
        <row r="111">
          <cell r="A111" t="str">
            <v>SBV112</v>
          </cell>
          <cell r="B111" t="str">
            <v>plate02</v>
          </cell>
        </row>
        <row r="112">
          <cell r="A112" t="str">
            <v>SBV113</v>
          </cell>
          <cell r="B112" t="str">
            <v>plate02</v>
          </cell>
        </row>
        <row r="113">
          <cell r="A113" t="str">
            <v>SBV114</v>
          </cell>
          <cell r="B113" t="str">
            <v>plate02</v>
          </cell>
        </row>
        <row r="114">
          <cell r="A114" t="str">
            <v>SBV115</v>
          </cell>
          <cell r="B114" t="str">
            <v>plate02</v>
          </cell>
        </row>
        <row r="115">
          <cell r="A115" t="str">
            <v>SBV116</v>
          </cell>
          <cell r="B115" t="str">
            <v>plate02</v>
          </cell>
        </row>
        <row r="116">
          <cell r="A116" t="str">
            <v>SBV117</v>
          </cell>
          <cell r="B116" t="str">
            <v>plate02</v>
          </cell>
        </row>
        <row r="117">
          <cell r="A117" t="str">
            <v>SBV118</v>
          </cell>
          <cell r="B117" t="str">
            <v>plate02</v>
          </cell>
        </row>
        <row r="118">
          <cell r="A118" t="str">
            <v>SBV119</v>
          </cell>
          <cell r="B118" t="str">
            <v>plate02</v>
          </cell>
        </row>
        <row r="119">
          <cell r="A119" t="str">
            <v>SBV120</v>
          </cell>
          <cell r="B119" t="str">
            <v>plate02</v>
          </cell>
        </row>
        <row r="120">
          <cell r="A120" t="str">
            <v>SBV121</v>
          </cell>
          <cell r="B120" t="str">
            <v>plate02</v>
          </cell>
        </row>
        <row r="121">
          <cell r="A121" t="str">
            <v>SBV122</v>
          </cell>
          <cell r="B121" t="str">
            <v>plate02</v>
          </cell>
        </row>
        <row r="122">
          <cell r="A122" t="str">
            <v>SBV123</v>
          </cell>
          <cell r="B122" t="str">
            <v>plate02</v>
          </cell>
        </row>
        <row r="123">
          <cell r="A123" t="str">
            <v>SBV124</v>
          </cell>
          <cell r="B123" t="str">
            <v>plate02</v>
          </cell>
        </row>
        <row r="124">
          <cell r="A124" t="str">
            <v>SBV125</v>
          </cell>
          <cell r="B124" t="str">
            <v>plate02</v>
          </cell>
        </row>
        <row r="125">
          <cell r="A125" t="str">
            <v>SBV126</v>
          </cell>
          <cell r="B125" t="str">
            <v>plate03</v>
          </cell>
        </row>
        <row r="126">
          <cell r="A126" t="str">
            <v>SBV127</v>
          </cell>
          <cell r="B126" t="str">
            <v>plate02</v>
          </cell>
        </row>
        <row r="127">
          <cell r="A127" t="str">
            <v>SBV128</v>
          </cell>
          <cell r="B127" t="str">
            <v>plate02</v>
          </cell>
        </row>
        <row r="128">
          <cell r="A128" t="str">
            <v>SBV130</v>
          </cell>
          <cell r="B128" t="str">
            <v>plate02</v>
          </cell>
        </row>
        <row r="129">
          <cell r="A129" t="str">
            <v>SBV131</v>
          </cell>
          <cell r="B129" t="str">
            <v>plate03</v>
          </cell>
        </row>
        <row r="130">
          <cell r="A130" t="str">
            <v>SBV132</v>
          </cell>
          <cell r="B130" t="str">
            <v>plate02</v>
          </cell>
        </row>
        <row r="131">
          <cell r="A131" t="str">
            <v>SBV133</v>
          </cell>
          <cell r="B131" t="str">
            <v>plate02</v>
          </cell>
        </row>
        <row r="132">
          <cell r="A132" t="str">
            <v>SBV134</v>
          </cell>
          <cell r="B132" t="str">
            <v>plate02</v>
          </cell>
        </row>
        <row r="133">
          <cell r="A133" t="str">
            <v>SBV135</v>
          </cell>
          <cell r="B133" t="str">
            <v>plate02</v>
          </cell>
        </row>
        <row r="134">
          <cell r="A134" t="str">
            <v>SBV136</v>
          </cell>
          <cell r="B134" t="str">
            <v>plate02</v>
          </cell>
        </row>
        <row r="135">
          <cell r="A135" t="str">
            <v>SBV137</v>
          </cell>
          <cell r="B135" t="str">
            <v>plate03</v>
          </cell>
        </row>
        <row r="136">
          <cell r="A136" t="str">
            <v>SBV138</v>
          </cell>
          <cell r="B136" t="str">
            <v>plate02</v>
          </cell>
        </row>
        <row r="137">
          <cell r="A137" t="str">
            <v>SBV139</v>
          </cell>
          <cell r="B137" t="str">
            <v>plate02</v>
          </cell>
        </row>
        <row r="138">
          <cell r="A138" t="str">
            <v>SBV140</v>
          </cell>
          <cell r="B138" t="str">
            <v>plate02</v>
          </cell>
        </row>
        <row r="139">
          <cell r="A139" t="str">
            <v>SBV141</v>
          </cell>
          <cell r="B139" t="str">
            <v>plate02</v>
          </cell>
        </row>
        <row r="140">
          <cell r="A140" t="str">
            <v>SBV142</v>
          </cell>
          <cell r="B140" t="str">
            <v>plate02</v>
          </cell>
        </row>
        <row r="141">
          <cell r="A141" t="str">
            <v>SBV143</v>
          </cell>
          <cell r="B141" t="str">
            <v>plate02</v>
          </cell>
        </row>
        <row r="142">
          <cell r="A142" t="str">
            <v>SBV144</v>
          </cell>
          <cell r="B142" t="str">
            <v>plate02</v>
          </cell>
        </row>
        <row r="143">
          <cell r="A143" t="str">
            <v>SBV145</v>
          </cell>
          <cell r="B143" t="str">
            <v>plate02</v>
          </cell>
        </row>
        <row r="144">
          <cell r="A144" t="str">
            <v>SBV146</v>
          </cell>
          <cell r="B144" t="str">
            <v>plate02</v>
          </cell>
        </row>
        <row r="145">
          <cell r="A145" t="str">
            <v>SBV147</v>
          </cell>
          <cell r="B145" t="str">
            <v>plate02</v>
          </cell>
        </row>
        <row r="146">
          <cell r="A146" t="str">
            <v>SBV148</v>
          </cell>
          <cell r="B146" t="str">
            <v>plate02</v>
          </cell>
        </row>
        <row r="147">
          <cell r="A147" t="str">
            <v>SBV149</v>
          </cell>
          <cell r="B147" t="str">
            <v>plate03</v>
          </cell>
        </row>
        <row r="148">
          <cell r="A148" t="str">
            <v>SBV150</v>
          </cell>
          <cell r="B148" t="str">
            <v>plate02</v>
          </cell>
        </row>
        <row r="149">
          <cell r="A149" t="str">
            <v>SBV151</v>
          </cell>
          <cell r="B149" t="str">
            <v>plate02</v>
          </cell>
        </row>
        <row r="150">
          <cell r="A150" t="str">
            <v>SBV152</v>
          </cell>
          <cell r="B150" t="str">
            <v>plate02</v>
          </cell>
        </row>
        <row r="151">
          <cell r="A151" t="str">
            <v>SBV153</v>
          </cell>
          <cell r="B151" t="str">
            <v>plate02</v>
          </cell>
        </row>
        <row r="152">
          <cell r="A152" t="str">
            <v>SBV154</v>
          </cell>
          <cell r="B152" t="str">
            <v>plate03</v>
          </cell>
        </row>
        <row r="153">
          <cell r="A153" t="str">
            <v>SBV155</v>
          </cell>
          <cell r="B153" t="str">
            <v>plate03</v>
          </cell>
        </row>
        <row r="154">
          <cell r="A154" t="str">
            <v>SBV156</v>
          </cell>
          <cell r="B154" t="str">
            <v>plate02</v>
          </cell>
        </row>
        <row r="155">
          <cell r="A155" t="str">
            <v>SBV157</v>
          </cell>
          <cell r="B155" t="str">
            <v>plate02</v>
          </cell>
        </row>
        <row r="156">
          <cell r="A156" t="str">
            <v>SBV158</v>
          </cell>
          <cell r="B156" t="str">
            <v>plate02</v>
          </cell>
        </row>
        <row r="157">
          <cell r="A157" t="str">
            <v>SBV159</v>
          </cell>
          <cell r="B157" t="str">
            <v>plate02</v>
          </cell>
        </row>
        <row r="158">
          <cell r="A158" t="str">
            <v>SBV160</v>
          </cell>
          <cell r="B158" t="str">
            <v>plate02</v>
          </cell>
        </row>
        <row r="159">
          <cell r="A159" t="str">
            <v>SBV161</v>
          </cell>
          <cell r="B159" t="str">
            <v>plate02</v>
          </cell>
        </row>
        <row r="160">
          <cell r="A160" t="str">
            <v>SBV162</v>
          </cell>
          <cell r="B160" t="str">
            <v>plate02</v>
          </cell>
        </row>
        <row r="161">
          <cell r="A161" t="str">
            <v>SBV163</v>
          </cell>
          <cell r="B161" t="str">
            <v>plate02</v>
          </cell>
        </row>
        <row r="162">
          <cell r="A162" t="str">
            <v>SBV164</v>
          </cell>
          <cell r="B162" t="str">
            <v>plate02</v>
          </cell>
        </row>
        <row r="163">
          <cell r="A163" t="str">
            <v>SBV165</v>
          </cell>
          <cell r="B163" t="str">
            <v>plate02</v>
          </cell>
        </row>
        <row r="164">
          <cell r="A164" t="str">
            <v>SBV166</v>
          </cell>
          <cell r="B164" t="str">
            <v>plate02</v>
          </cell>
        </row>
        <row r="165">
          <cell r="A165" t="str">
            <v>SBV167</v>
          </cell>
          <cell r="B165" t="str">
            <v>plate02</v>
          </cell>
        </row>
        <row r="166">
          <cell r="A166" t="str">
            <v>SBV168</v>
          </cell>
          <cell r="B166" t="str">
            <v>plate02</v>
          </cell>
        </row>
        <row r="167">
          <cell r="A167" t="str">
            <v>SBV169</v>
          </cell>
          <cell r="B167" t="str">
            <v>plate02</v>
          </cell>
        </row>
        <row r="168">
          <cell r="A168" t="str">
            <v>SBV170</v>
          </cell>
          <cell r="B168" t="str">
            <v>plate02</v>
          </cell>
        </row>
        <row r="169">
          <cell r="A169" t="str">
            <v>SBV171</v>
          </cell>
          <cell r="B169" t="str">
            <v>plate02</v>
          </cell>
        </row>
        <row r="170">
          <cell r="A170" t="str">
            <v>SBV172</v>
          </cell>
          <cell r="B170" t="str">
            <v>plate02</v>
          </cell>
        </row>
        <row r="171">
          <cell r="A171" t="str">
            <v>SBV173</v>
          </cell>
          <cell r="B171" t="str">
            <v>plate02</v>
          </cell>
        </row>
        <row r="172">
          <cell r="A172" t="str">
            <v>SBV174</v>
          </cell>
          <cell r="B172" t="str">
            <v>plate02</v>
          </cell>
        </row>
        <row r="173">
          <cell r="A173" t="str">
            <v>SBV175</v>
          </cell>
          <cell r="B173" t="str">
            <v>plate02</v>
          </cell>
        </row>
        <row r="174">
          <cell r="A174" t="str">
            <v>SBV176</v>
          </cell>
          <cell r="B174" t="str">
            <v>plate02</v>
          </cell>
        </row>
        <row r="175">
          <cell r="A175" t="str">
            <v>SBV177</v>
          </cell>
          <cell r="B175" t="str">
            <v>plate03</v>
          </cell>
        </row>
        <row r="176">
          <cell r="A176" t="str">
            <v>SBV178</v>
          </cell>
          <cell r="B176" t="str">
            <v>plate03</v>
          </cell>
        </row>
        <row r="177">
          <cell r="A177" t="str">
            <v>SBV179</v>
          </cell>
          <cell r="B177" t="str">
            <v>plate03</v>
          </cell>
        </row>
        <row r="178">
          <cell r="A178" t="str">
            <v>SBV180</v>
          </cell>
          <cell r="B178" t="str">
            <v>plate03</v>
          </cell>
        </row>
        <row r="179">
          <cell r="A179" t="str">
            <v>SBV181</v>
          </cell>
          <cell r="B179" t="str">
            <v>plate03</v>
          </cell>
        </row>
        <row r="180">
          <cell r="A180" t="str">
            <v>SBV183</v>
          </cell>
          <cell r="B180" t="str">
            <v>plate03</v>
          </cell>
        </row>
        <row r="181">
          <cell r="A181" t="str">
            <v>SBV184</v>
          </cell>
          <cell r="B181" t="str">
            <v>plate03</v>
          </cell>
        </row>
        <row r="182">
          <cell r="A182" t="str">
            <v>SBV185</v>
          </cell>
          <cell r="B182" t="str">
            <v>plate03</v>
          </cell>
        </row>
        <row r="183">
          <cell r="A183" t="str">
            <v>SBV186</v>
          </cell>
          <cell r="B183" t="str">
            <v>plate03</v>
          </cell>
        </row>
        <row r="184">
          <cell r="A184" t="str">
            <v>SBV187</v>
          </cell>
          <cell r="B184" t="str">
            <v>plate03</v>
          </cell>
        </row>
        <row r="185">
          <cell r="A185" t="str">
            <v>SBV188</v>
          </cell>
          <cell r="B185" t="str">
            <v>plate03</v>
          </cell>
        </row>
        <row r="186">
          <cell r="A186" t="str">
            <v>SBV189</v>
          </cell>
          <cell r="B186" t="str">
            <v>plate03</v>
          </cell>
        </row>
        <row r="187">
          <cell r="A187" t="str">
            <v>SBV190</v>
          </cell>
          <cell r="B187" t="str">
            <v>plate03</v>
          </cell>
        </row>
        <row r="188">
          <cell r="A188" t="str">
            <v>SBV191</v>
          </cell>
          <cell r="B188" t="str">
            <v>plate03</v>
          </cell>
        </row>
        <row r="189">
          <cell r="A189" t="str">
            <v>SBV192</v>
          </cell>
          <cell r="B189" t="str">
            <v>plate03</v>
          </cell>
        </row>
        <row r="190">
          <cell r="A190" t="str">
            <v>SBV193</v>
          </cell>
          <cell r="B190" t="str">
            <v>plate03</v>
          </cell>
        </row>
        <row r="191">
          <cell r="A191" t="str">
            <v>SBV194</v>
          </cell>
          <cell r="B191" t="str">
            <v>plate03</v>
          </cell>
        </row>
        <row r="192">
          <cell r="A192" t="str">
            <v>SBV195</v>
          </cell>
          <cell r="B192" t="str">
            <v>plate03</v>
          </cell>
        </row>
        <row r="193">
          <cell r="A193" t="str">
            <v>SBV196</v>
          </cell>
          <cell r="B193" t="str">
            <v>plate03</v>
          </cell>
        </row>
        <row r="194">
          <cell r="A194" t="str">
            <v>SBV197</v>
          </cell>
          <cell r="B194" t="str">
            <v>plate03</v>
          </cell>
        </row>
        <row r="195">
          <cell r="A195" t="str">
            <v>SBV198</v>
          </cell>
          <cell r="B195" t="str">
            <v>plate03</v>
          </cell>
        </row>
        <row r="196">
          <cell r="A196" t="str">
            <v>SBV199</v>
          </cell>
          <cell r="B196" t="str">
            <v>plate03</v>
          </cell>
        </row>
        <row r="197">
          <cell r="A197" t="str">
            <v>SBV200</v>
          </cell>
          <cell r="B197" t="str">
            <v>plate03</v>
          </cell>
        </row>
        <row r="198">
          <cell r="A198" t="str">
            <v>SBV201</v>
          </cell>
          <cell r="B198" t="str">
            <v>plate03</v>
          </cell>
        </row>
        <row r="199">
          <cell r="A199" t="str">
            <v>SBV202</v>
          </cell>
          <cell r="B199" t="str">
            <v>plate03</v>
          </cell>
        </row>
        <row r="200">
          <cell r="A200" t="str">
            <v>SBV203</v>
          </cell>
          <cell r="B200" t="str">
            <v>plate03</v>
          </cell>
        </row>
        <row r="201">
          <cell r="A201" t="str">
            <v>SBV204</v>
          </cell>
          <cell r="B201" t="str">
            <v>plate03</v>
          </cell>
        </row>
        <row r="202">
          <cell r="A202" t="str">
            <v>SBV205</v>
          </cell>
          <cell r="B202" t="str">
            <v>plate03</v>
          </cell>
        </row>
        <row r="203">
          <cell r="A203" t="str">
            <v>SBV206</v>
          </cell>
          <cell r="B203" t="str">
            <v>plate03</v>
          </cell>
        </row>
        <row r="204">
          <cell r="A204" t="str">
            <v>SBV207</v>
          </cell>
          <cell r="B204" t="str">
            <v>plate03</v>
          </cell>
        </row>
        <row r="205">
          <cell r="A205" t="str">
            <v>SBV208</v>
          </cell>
          <cell r="B205" t="str">
            <v>plate03</v>
          </cell>
        </row>
        <row r="206">
          <cell r="A206" t="str">
            <v>SBV209</v>
          </cell>
          <cell r="B206" t="str">
            <v>plate03</v>
          </cell>
        </row>
        <row r="207">
          <cell r="A207" t="str">
            <v>SBV210</v>
          </cell>
          <cell r="B207" t="str">
            <v>plate03</v>
          </cell>
        </row>
        <row r="208">
          <cell r="A208" t="str">
            <v>SBV211</v>
          </cell>
          <cell r="B208" t="str">
            <v>plate03</v>
          </cell>
        </row>
        <row r="209">
          <cell r="A209" t="str">
            <v>SBV212</v>
          </cell>
          <cell r="B209" t="str">
            <v>plate03</v>
          </cell>
        </row>
        <row r="210">
          <cell r="A210" t="str">
            <v>SBV213</v>
          </cell>
          <cell r="B210" t="str">
            <v>plate03</v>
          </cell>
        </row>
        <row r="211">
          <cell r="A211" t="str">
            <v>SBV214</v>
          </cell>
          <cell r="B211" t="str">
            <v>plate03</v>
          </cell>
        </row>
        <row r="212">
          <cell r="A212" t="str">
            <v>SBV215</v>
          </cell>
          <cell r="B212" t="str">
            <v>plate03</v>
          </cell>
        </row>
        <row r="213">
          <cell r="A213" t="str">
            <v>SBV216</v>
          </cell>
          <cell r="B213" t="str">
            <v>plate03</v>
          </cell>
        </row>
        <row r="214">
          <cell r="A214" t="str">
            <v>SBV217</v>
          </cell>
          <cell r="B214" t="str">
            <v>plate03</v>
          </cell>
        </row>
        <row r="215">
          <cell r="A215" t="str">
            <v>SBV218</v>
          </cell>
          <cell r="B215" t="str">
            <v>plate05</v>
          </cell>
        </row>
        <row r="216">
          <cell r="A216" t="str">
            <v>SBV219</v>
          </cell>
          <cell r="B216" t="str">
            <v>plate03</v>
          </cell>
        </row>
        <row r="217">
          <cell r="A217" t="str">
            <v>SBV220</v>
          </cell>
          <cell r="B217" t="str">
            <v>plate03</v>
          </cell>
        </row>
        <row r="218">
          <cell r="A218" t="str">
            <v>SBV221</v>
          </cell>
          <cell r="B218" t="str">
            <v>plate03</v>
          </cell>
        </row>
        <row r="219">
          <cell r="A219" t="str">
            <v>SBV222</v>
          </cell>
          <cell r="B219" t="str">
            <v>plate03</v>
          </cell>
        </row>
        <row r="220">
          <cell r="A220" t="str">
            <v>SBV223</v>
          </cell>
          <cell r="B220" t="str">
            <v>plate03</v>
          </cell>
        </row>
        <row r="221">
          <cell r="A221" t="str">
            <v>SBV224</v>
          </cell>
          <cell r="B221" t="str">
            <v>plate03</v>
          </cell>
        </row>
        <row r="222">
          <cell r="A222" t="str">
            <v>SBV225</v>
          </cell>
          <cell r="B222" t="str">
            <v>plate03</v>
          </cell>
        </row>
        <row r="223">
          <cell r="A223" t="str">
            <v>SBV226</v>
          </cell>
          <cell r="B223" t="str">
            <v>plate03</v>
          </cell>
        </row>
        <row r="224">
          <cell r="A224" t="str">
            <v>SBV227</v>
          </cell>
          <cell r="B224" t="str">
            <v>plate03</v>
          </cell>
        </row>
        <row r="225">
          <cell r="A225" t="str">
            <v>SBV228</v>
          </cell>
          <cell r="B225" t="str">
            <v>plate03</v>
          </cell>
        </row>
        <row r="226">
          <cell r="A226" t="str">
            <v>SBV229</v>
          </cell>
          <cell r="B226" t="str">
            <v>plate03</v>
          </cell>
        </row>
        <row r="227">
          <cell r="A227" t="str">
            <v>SBV230</v>
          </cell>
          <cell r="B227" t="str">
            <v>plate03</v>
          </cell>
        </row>
        <row r="228">
          <cell r="A228" t="str">
            <v>SBV231</v>
          </cell>
          <cell r="B228" t="str">
            <v>plate03</v>
          </cell>
        </row>
        <row r="229">
          <cell r="A229" t="str">
            <v>SBV232</v>
          </cell>
          <cell r="B229" t="str">
            <v>plate03</v>
          </cell>
        </row>
        <row r="230">
          <cell r="A230" t="str">
            <v>SBV233</v>
          </cell>
          <cell r="B230" t="str">
            <v>plate03</v>
          </cell>
        </row>
        <row r="231">
          <cell r="A231" t="str">
            <v>SBV234</v>
          </cell>
          <cell r="B231" t="str">
            <v>plate05</v>
          </cell>
        </row>
        <row r="232">
          <cell r="A232" t="str">
            <v>SBV235</v>
          </cell>
          <cell r="B232" t="str">
            <v>plate05</v>
          </cell>
        </row>
        <row r="233">
          <cell r="A233" t="str">
            <v>SBV236</v>
          </cell>
          <cell r="B233" t="str">
            <v>plate03</v>
          </cell>
        </row>
        <row r="234">
          <cell r="A234" t="str">
            <v>SBV237</v>
          </cell>
          <cell r="B234" t="str">
            <v>plate03</v>
          </cell>
        </row>
        <row r="235">
          <cell r="A235" t="str">
            <v>SBV238</v>
          </cell>
          <cell r="B235" t="str">
            <v>plate03</v>
          </cell>
        </row>
        <row r="236">
          <cell r="A236" t="str">
            <v>SBV239</v>
          </cell>
          <cell r="B236" t="str">
            <v>plate03</v>
          </cell>
        </row>
        <row r="237">
          <cell r="A237" t="str">
            <v>SBV240</v>
          </cell>
          <cell r="B237" t="str">
            <v>plate05</v>
          </cell>
        </row>
        <row r="238">
          <cell r="A238" t="str">
            <v>SBV241</v>
          </cell>
          <cell r="B238" t="str">
            <v>plate03</v>
          </cell>
        </row>
        <row r="239">
          <cell r="A239" t="str">
            <v>SBV242</v>
          </cell>
          <cell r="B239" t="str">
            <v>plate03</v>
          </cell>
        </row>
        <row r="240">
          <cell r="A240" t="str">
            <v>SBV243</v>
          </cell>
          <cell r="B240" t="str">
            <v>plate03</v>
          </cell>
        </row>
        <row r="241">
          <cell r="A241" t="str">
            <v>SBV244</v>
          </cell>
          <cell r="B241" t="str">
            <v>plate03</v>
          </cell>
        </row>
        <row r="242">
          <cell r="A242" t="str">
            <v>SBV245</v>
          </cell>
          <cell r="B242" t="str">
            <v>plate03</v>
          </cell>
        </row>
        <row r="243">
          <cell r="A243" t="str">
            <v>SBV246</v>
          </cell>
          <cell r="B243" t="str">
            <v>plate03</v>
          </cell>
        </row>
        <row r="244">
          <cell r="A244" t="str">
            <v>SBV247</v>
          </cell>
          <cell r="B244" t="str">
            <v>plate03</v>
          </cell>
        </row>
        <row r="245">
          <cell r="A245" t="str">
            <v>SBV248</v>
          </cell>
          <cell r="B245" t="str">
            <v>plate05</v>
          </cell>
        </row>
        <row r="246">
          <cell r="A246" t="str">
            <v>SBV249</v>
          </cell>
          <cell r="B246" t="str">
            <v>plate03</v>
          </cell>
        </row>
        <row r="247">
          <cell r="A247" t="str">
            <v>SBV251</v>
          </cell>
          <cell r="B247" t="str">
            <v>plate03</v>
          </cell>
        </row>
        <row r="248">
          <cell r="A248" t="str">
            <v>SBV252</v>
          </cell>
          <cell r="B248" t="str">
            <v>plate03</v>
          </cell>
        </row>
        <row r="249">
          <cell r="A249" t="str">
            <v>SBV253</v>
          </cell>
          <cell r="B249" t="str">
            <v>plate03</v>
          </cell>
        </row>
        <row r="250">
          <cell r="A250" t="str">
            <v>SBV254</v>
          </cell>
          <cell r="B250" t="str">
            <v>plate03</v>
          </cell>
        </row>
        <row r="251">
          <cell r="A251" t="str">
            <v>SBV255</v>
          </cell>
          <cell r="B251" t="str">
            <v>plate03</v>
          </cell>
        </row>
        <row r="252">
          <cell r="A252" t="str">
            <v>SBV256</v>
          </cell>
          <cell r="B252" t="str">
            <v>plate03</v>
          </cell>
        </row>
        <row r="253">
          <cell r="A253" t="str">
            <v>SBV257</v>
          </cell>
          <cell r="B253" t="str">
            <v>plate05</v>
          </cell>
        </row>
        <row r="254">
          <cell r="A254" t="str">
            <v>SBV258</v>
          </cell>
          <cell r="B254" t="str">
            <v>plate03</v>
          </cell>
        </row>
        <row r="255">
          <cell r="A255" t="str">
            <v>SBV259</v>
          </cell>
          <cell r="B255" t="str">
            <v>plate03</v>
          </cell>
        </row>
        <row r="256">
          <cell r="A256" t="str">
            <v>SBV260</v>
          </cell>
          <cell r="B256" t="str">
            <v>plate03</v>
          </cell>
        </row>
        <row r="257">
          <cell r="A257" t="str">
            <v>SBV261</v>
          </cell>
          <cell r="B257" t="str">
            <v>plate03</v>
          </cell>
        </row>
        <row r="258">
          <cell r="A258" t="str">
            <v>SBV262</v>
          </cell>
          <cell r="B258" t="str">
            <v>plate03</v>
          </cell>
        </row>
        <row r="259">
          <cell r="A259" t="str">
            <v>SBV263</v>
          </cell>
          <cell r="B259" t="str">
            <v>plate03</v>
          </cell>
        </row>
        <row r="260">
          <cell r="A260" t="str">
            <v>SBV265</v>
          </cell>
          <cell r="B260" t="str">
            <v>plate03</v>
          </cell>
        </row>
        <row r="261">
          <cell r="A261" t="str">
            <v>SBV266</v>
          </cell>
          <cell r="B261" t="str">
            <v>plate03</v>
          </cell>
        </row>
        <row r="262">
          <cell r="A262" t="str">
            <v>SBV267</v>
          </cell>
          <cell r="B262" t="str">
            <v>plate03</v>
          </cell>
        </row>
        <row r="263">
          <cell r="A263" t="str">
            <v>SBV268</v>
          </cell>
          <cell r="B263" t="str">
            <v>plate03</v>
          </cell>
        </row>
        <row r="264">
          <cell r="A264" t="str">
            <v>SBV269</v>
          </cell>
          <cell r="B264" t="str">
            <v>plate05</v>
          </cell>
        </row>
        <row r="265">
          <cell r="A265" t="str">
            <v>SBV270</v>
          </cell>
          <cell r="B265" t="str">
            <v>plate04</v>
          </cell>
        </row>
        <row r="266">
          <cell r="A266" t="str">
            <v>SBV271</v>
          </cell>
          <cell r="B266" t="str">
            <v>plate04</v>
          </cell>
        </row>
        <row r="267">
          <cell r="A267" t="str">
            <v>SBV272</v>
          </cell>
          <cell r="B267" t="str">
            <v>plate04</v>
          </cell>
        </row>
        <row r="268">
          <cell r="A268" t="str">
            <v>SBV273</v>
          </cell>
          <cell r="B268" t="str">
            <v>plate04</v>
          </cell>
        </row>
        <row r="269">
          <cell r="A269" t="str">
            <v>SBV274</v>
          </cell>
          <cell r="B269" t="str">
            <v>plate04</v>
          </cell>
        </row>
        <row r="270">
          <cell r="A270" t="str">
            <v>SBV275</v>
          </cell>
          <cell r="B270" t="str">
            <v>plate04</v>
          </cell>
        </row>
        <row r="271">
          <cell r="A271" t="str">
            <v>SBV276</v>
          </cell>
          <cell r="B271" t="str">
            <v>plate04</v>
          </cell>
        </row>
        <row r="272">
          <cell r="A272" t="str">
            <v>SBV277</v>
          </cell>
          <cell r="B272" t="str">
            <v>plate04</v>
          </cell>
        </row>
        <row r="273">
          <cell r="A273" t="str">
            <v>SBV278</v>
          </cell>
          <cell r="B273" t="str">
            <v>plate04</v>
          </cell>
        </row>
        <row r="274">
          <cell r="A274" t="str">
            <v>SBV279</v>
          </cell>
          <cell r="B274" t="str">
            <v>plate04</v>
          </cell>
        </row>
        <row r="275">
          <cell r="A275" t="str">
            <v>SBV280</v>
          </cell>
          <cell r="B275" t="str">
            <v>plate05</v>
          </cell>
        </row>
        <row r="276">
          <cell r="A276" t="str">
            <v>SBV281</v>
          </cell>
          <cell r="B276" t="str">
            <v>plate04</v>
          </cell>
        </row>
        <row r="277">
          <cell r="A277" t="str">
            <v>SBV282</v>
          </cell>
          <cell r="B277" t="str">
            <v>plate04</v>
          </cell>
        </row>
        <row r="278">
          <cell r="A278" t="str">
            <v>SBV283</v>
          </cell>
          <cell r="B278" t="str">
            <v>plate04</v>
          </cell>
        </row>
        <row r="279">
          <cell r="A279" t="str">
            <v>SBV284</v>
          </cell>
          <cell r="B279" t="str">
            <v>plate04</v>
          </cell>
        </row>
        <row r="280">
          <cell r="A280" t="str">
            <v>SBV285</v>
          </cell>
          <cell r="B280" t="str">
            <v>plate04</v>
          </cell>
        </row>
        <row r="281">
          <cell r="A281" t="str">
            <v>SBV286</v>
          </cell>
          <cell r="B281" t="str">
            <v>plate04</v>
          </cell>
        </row>
        <row r="282">
          <cell r="A282" t="str">
            <v>SBV287</v>
          </cell>
          <cell r="B282" t="str">
            <v>plate04</v>
          </cell>
        </row>
        <row r="283">
          <cell r="A283" t="str">
            <v>SBV288</v>
          </cell>
          <cell r="B283" t="str">
            <v>plate04</v>
          </cell>
        </row>
        <row r="284">
          <cell r="A284" t="str">
            <v>SBV289</v>
          </cell>
          <cell r="B284" t="str">
            <v>plate04</v>
          </cell>
        </row>
        <row r="285">
          <cell r="A285" t="str">
            <v>SBV290</v>
          </cell>
          <cell r="B285" t="str">
            <v>plate04</v>
          </cell>
        </row>
        <row r="286">
          <cell r="A286" t="str">
            <v>SBV291</v>
          </cell>
          <cell r="B286" t="str">
            <v>plate04</v>
          </cell>
        </row>
        <row r="287">
          <cell r="A287" t="str">
            <v>SBV292</v>
          </cell>
          <cell r="B287" t="str">
            <v>plate04</v>
          </cell>
        </row>
        <row r="288">
          <cell r="A288" t="str">
            <v>SBV293</v>
          </cell>
          <cell r="B288" t="str">
            <v>plate04</v>
          </cell>
        </row>
        <row r="289">
          <cell r="A289" t="str">
            <v>SBV294</v>
          </cell>
          <cell r="B289" t="str">
            <v>plate04</v>
          </cell>
        </row>
        <row r="290">
          <cell r="A290" t="str">
            <v>SBV295</v>
          </cell>
          <cell r="B290" t="str">
            <v>plate04</v>
          </cell>
        </row>
        <row r="291">
          <cell r="A291" t="str">
            <v>SBV296</v>
          </cell>
          <cell r="B291" t="str">
            <v>plate04</v>
          </cell>
        </row>
        <row r="292">
          <cell r="A292" t="str">
            <v>SBV297</v>
          </cell>
          <cell r="B292" t="str">
            <v>plate04</v>
          </cell>
        </row>
        <row r="293">
          <cell r="A293" t="str">
            <v>SBV298</v>
          </cell>
          <cell r="B293" t="str">
            <v>plate04</v>
          </cell>
        </row>
        <row r="294">
          <cell r="A294" t="str">
            <v>SBV299</v>
          </cell>
          <cell r="B294" t="str">
            <v>plate04</v>
          </cell>
        </row>
        <row r="295">
          <cell r="A295" t="str">
            <v>SBV300</v>
          </cell>
          <cell r="B295" t="str">
            <v>plate04</v>
          </cell>
        </row>
        <row r="296">
          <cell r="A296" t="str">
            <v>SBV301</v>
          </cell>
          <cell r="B296" t="str">
            <v>plate04</v>
          </cell>
        </row>
        <row r="297">
          <cell r="A297" t="str">
            <v>SBV302</v>
          </cell>
          <cell r="B297" t="str">
            <v>plate04</v>
          </cell>
        </row>
        <row r="298">
          <cell r="A298" t="str">
            <v>SBV304</v>
          </cell>
          <cell r="B298" t="str">
            <v>plate04</v>
          </cell>
        </row>
        <row r="299">
          <cell r="A299" t="str">
            <v>SBV305</v>
          </cell>
          <cell r="B299" t="str">
            <v>plate04</v>
          </cell>
        </row>
        <row r="300">
          <cell r="A300" t="str">
            <v>SBV306</v>
          </cell>
          <cell r="B300" t="str">
            <v>plate04</v>
          </cell>
        </row>
        <row r="301">
          <cell r="A301" t="str">
            <v>SBV307</v>
          </cell>
          <cell r="B301" t="str">
            <v>plate04</v>
          </cell>
        </row>
        <row r="302">
          <cell r="A302" t="str">
            <v>SBV308</v>
          </cell>
          <cell r="B302" t="str">
            <v>plate04</v>
          </cell>
        </row>
        <row r="303">
          <cell r="A303" t="str">
            <v>SBV310</v>
          </cell>
          <cell r="B303" t="str">
            <v>plate04</v>
          </cell>
        </row>
        <row r="304">
          <cell r="A304" t="str">
            <v>SBV311</v>
          </cell>
          <cell r="B304" t="str">
            <v>plate04</v>
          </cell>
        </row>
        <row r="305">
          <cell r="A305" t="str">
            <v>SBV312</v>
          </cell>
          <cell r="B305" t="str">
            <v>plate04</v>
          </cell>
        </row>
        <row r="306">
          <cell r="A306" t="str">
            <v>SBV313</v>
          </cell>
          <cell r="B306" t="str">
            <v>plate04</v>
          </cell>
        </row>
        <row r="307">
          <cell r="A307" t="str">
            <v>SBV314</v>
          </cell>
          <cell r="B307" t="str">
            <v>plate04</v>
          </cell>
        </row>
        <row r="308">
          <cell r="A308" t="str">
            <v>SBV315</v>
          </cell>
          <cell r="B308" t="str">
            <v>plate04</v>
          </cell>
        </row>
        <row r="309">
          <cell r="A309" t="str">
            <v>SBV316</v>
          </cell>
          <cell r="B309" t="str">
            <v>plate04</v>
          </cell>
        </row>
        <row r="310">
          <cell r="A310" t="str">
            <v>SBV317</v>
          </cell>
          <cell r="B310" t="str">
            <v>plate04</v>
          </cell>
        </row>
        <row r="311">
          <cell r="A311" t="str">
            <v>SBV318</v>
          </cell>
          <cell r="B311" t="str">
            <v>plate04</v>
          </cell>
        </row>
        <row r="312">
          <cell r="A312" t="str">
            <v>SBV319</v>
          </cell>
          <cell r="B312" t="str">
            <v>plate04</v>
          </cell>
        </row>
        <row r="313">
          <cell r="A313" t="str">
            <v>SBV320</v>
          </cell>
          <cell r="B313" t="str">
            <v>plate04</v>
          </cell>
        </row>
        <row r="314">
          <cell r="A314" t="str">
            <v>SBV321</v>
          </cell>
          <cell r="B314" t="str">
            <v>plate04</v>
          </cell>
        </row>
        <row r="315">
          <cell r="A315" t="str">
            <v>SBV322</v>
          </cell>
          <cell r="B315" t="str">
            <v>plate04</v>
          </cell>
        </row>
        <row r="316">
          <cell r="A316" t="str">
            <v>SBV323</v>
          </cell>
          <cell r="B316" t="str">
            <v>plate04</v>
          </cell>
        </row>
        <row r="317">
          <cell r="A317" t="str">
            <v>SBV324</v>
          </cell>
          <cell r="B317" t="str">
            <v>plate04</v>
          </cell>
        </row>
        <row r="318">
          <cell r="A318" t="str">
            <v>SBV325</v>
          </cell>
          <cell r="B318" t="str">
            <v>plate04</v>
          </cell>
        </row>
        <row r="319">
          <cell r="A319" t="str">
            <v>SBV326</v>
          </cell>
          <cell r="B319" t="str">
            <v>plate04</v>
          </cell>
        </row>
        <row r="320">
          <cell r="A320" t="str">
            <v>SBV327</v>
          </cell>
          <cell r="B320" t="str">
            <v>plate04</v>
          </cell>
        </row>
        <row r="321">
          <cell r="A321" t="str">
            <v>SBV328</v>
          </cell>
          <cell r="B321" t="str">
            <v>plate04</v>
          </cell>
        </row>
        <row r="322">
          <cell r="A322" t="str">
            <v>SBV329</v>
          </cell>
          <cell r="B322" t="str">
            <v>plate04</v>
          </cell>
        </row>
        <row r="323">
          <cell r="A323" t="str">
            <v>SBV330</v>
          </cell>
          <cell r="B323" t="str">
            <v>plate04</v>
          </cell>
        </row>
        <row r="324">
          <cell r="A324" t="str">
            <v>SBV331</v>
          </cell>
          <cell r="B324" t="str">
            <v>plate04</v>
          </cell>
        </row>
        <row r="325">
          <cell r="A325" t="str">
            <v>SBV332</v>
          </cell>
          <cell r="B325" t="str">
            <v>plate04</v>
          </cell>
        </row>
        <row r="326">
          <cell r="A326" t="str">
            <v>SBV333</v>
          </cell>
          <cell r="B326" t="str">
            <v>plate04</v>
          </cell>
        </row>
        <row r="327">
          <cell r="A327" t="str">
            <v>SBV334</v>
          </cell>
          <cell r="B327" t="str">
            <v>plate04</v>
          </cell>
        </row>
        <row r="328">
          <cell r="A328" t="str">
            <v>SBV335</v>
          </cell>
          <cell r="B328" t="str">
            <v>plate04</v>
          </cell>
        </row>
        <row r="329">
          <cell r="A329" t="str">
            <v>SBV336</v>
          </cell>
          <cell r="B329" t="str">
            <v>plate04</v>
          </cell>
        </row>
        <row r="330">
          <cell r="A330" t="str">
            <v>SBV337</v>
          </cell>
          <cell r="B330" t="str">
            <v>plate04</v>
          </cell>
        </row>
        <row r="331">
          <cell r="A331" t="str">
            <v>SBV338</v>
          </cell>
          <cell r="B331" t="str">
            <v>plate04</v>
          </cell>
        </row>
        <row r="332">
          <cell r="A332" t="str">
            <v>SBV339</v>
          </cell>
          <cell r="B332" t="str">
            <v>plate04</v>
          </cell>
        </row>
        <row r="333">
          <cell r="A333" t="str">
            <v>SBV340</v>
          </cell>
          <cell r="B333" t="str">
            <v>plate04</v>
          </cell>
        </row>
        <row r="334">
          <cell r="A334" t="str">
            <v>SBV341</v>
          </cell>
          <cell r="B334" t="str">
            <v>plate04</v>
          </cell>
        </row>
        <row r="335">
          <cell r="A335" t="str">
            <v>SBV342</v>
          </cell>
          <cell r="B335" t="str">
            <v>plate04</v>
          </cell>
        </row>
        <row r="336">
          <cell r="A336" t="str">
            <v>SBV343</v>
          </cell>
          <cell r="B336" t="str">
            <v>plate04</v>
          </cell>
        </row>
        <row r="337">
          <cell r="A337" t="str">
            <v>SBV344</v>
          </cell>
          <cell r="B337" t="str">
            <v>plate04</v>
          </cell>
        </row>
        <row r="338">
          <cell r="A338" t="str">
            <v>SBV345</v>
          </cell>
          <cell r="B338" t="str">
            <v>plate04</v>
          </cell>
        </row>
        <row r="339">
          <cell r="A339" t="str">
            <v>SBV347</v>
          </cell>
          <cell r="B339" t="str">
            <v>plate04</v>
          </cell>
        </row>
        <row r="340">
          <cell r="A340" t="str">
            <v>SBV348</v>
          </cell>
          <cell r="B340" t="str">
            <v>plate04</v>
          </cell>
        </row>
        <row r="341">
          <cell r="A341" t="str">
            <v>SBV349</v>
          </cell>
          <cell r="B341" t="str">
            <v>plate04</v>
          </cell>
        </row>
        <row r="342">
          <cell r="A342" t="str">
            <v>SBV350</v>
          </cell>
          <cell r="B342" t="str">
            <v>plate04</v>
          </cell>
        </row>
        <row r="343">
          <cell r="A343" t="str">
            <v>SBV351</v>
          </cell>
          <cell r="B343" t="str">
            <v>plate04</v>
          </cell>
        </row>
        <row r="344">
          <cell r="A344" t="str">
            <v>SBV352</v>
          </cell>
          <cell r="B344" t="str">
            <v>plate04</v>
          </cell>
        </row>
        <row r="345">
          <cell r="A345" t="str">
            <v>SBV353</v>
          </cell>
          <cell r="B345" t="str">
            <v>plate04</v>
          </cell>
        </row>
        <row r="346">
          <cell r="A346" t="str">
            <v>SBV354</v>
          </cell>
          <cell r="B346" t="str">
            <v>plate04</v>
          </cell>
        </row>
        <row r="347">
          <cell r="A347" t="str">
            <v>SBV355</v>
          </cell>
          <cell r="B347" t="str">
            <v>plate04</v>
          </cell>
        </row>
        <row r="348">
          <cell r="A348" t="str">
            <v>SBV356</v>
          </cell>
          <cell r="B348" t="str">
            <v>plate04</v>
          </cell>
        </row>
        <row r="349">
          <cell r="A349" t="str">
            <v>SBV357</v>
          </cell>
          <cell r="B349" t="str">
            <v>plate04</v>
          </cell>
        </row>
        <row r="350">
          <cell r="A350" t="str">
            <v>SBV358</v>
          </cell>
          <cell r="B350" t="str">
            <v>plate04</v>
          </cell>
        </row>
        <row r="351">
          <cell r="A351" t="str">
            <v>SBV359</v>
          </cell>
          <cell r="B351" t="str">
            <v>plate04</v>
          </cell>
        </row>
        <row r="352">
          <cell r="A352" t="str">
            <v>SBV361</v>
          </cell>
          <cell r="B352" t="str">
            <v>plate04</v>
          </cell>
        </row>
        <row r="353">
          <cell r="A353" t="str">
            <v>SBV362</v>
          </cell>
          <cell r="B353" t="str">
            <v>plate04</v>
          </cell>
        </row>
        <row r="354">
          <cell r="A354" t="str">
            <v>SBV363</v>
          </cell>
          <cell r="B354" t="str">
            <v>plate04</v>
          </cell>
        </row>
        <row r="355">
          <cell r="A355" t="str">
            <v>SBV364</v>
          </cell>
          <cell r="B355" t="str">
            <v>plate04</v>
          </cell>
        </row>
        <row r="356">
          <cell r="A356" t="str">
            <v>SBV365</v>
          </cell>
          <cell r="B356" t="str">
            <v>plate04</v>
          </cell>
        </row>
        <row r="357">
          <cell r="A357" t="str">
            <v>SBV366</v>
          </cell>
          <cell r="B357" t="str">
            <v>plate04</v>
          </cell>
        </row>
        <row r="358">
          <cell r="A358" t="str">
            <v>SBV367</v>
          </cell>
          <cell r="B358" t="str">
            <v>plate04</v>
          </cell>
        </row>
        <row r="359">
          <cell r="A359" t="str">
            <v>SBV368</v>
          </cell>
          <cell r="B359" t="str">
            <v>plate04</v>
          </cell>
        </row>
        <row r="360">
          <cell r="A360" t="str">
            <v>SBV369</v>
          </cell>
          <cell r="B360" t="str">
            <v>plate04</v>
          </cell>
        </row>
        <row r="361">
          <cell r="A361" t="str">
            <v>SBV370</v>
          </cell>
          <cell r="B361" t="str">
            <v>plate05</v>
          </cell>
        </row>
        <row r="362">
          <cell r="A362" t="str">
            <v>SBV371</v>
          </cell>
          <cell r="B362" t="str">
            <v>plate05</v>
          </cell>
        </row>
        <row r="363">
          <cell r="A363" t="str">
            <v>SBV372</v>
          </cell>
          <cell r="B363" t="str">
            <v>plate05</v>
          </cell>
        </row>
        <row r="364">
          <cell r="A364" t="str">
            <v>SBV373</v>
          </cell>
          <cell r="B364" t="str">
            <v>plate05</v>
          </cell>
        </row>
        <row r="365">
          <cell r="A365" t="str">
            <v>SBV374</v>
          </cell>
          <cell r="B365" t="str">
            <v>plate05</v>
          </cell>
        </row>
        <row r="366">
          <cell r="A366" t="str">
            <v>SBV375</v>
          </cell>
          <cell r="B366" t="str">
            <v>plate05</v>
          </cell>
        </row>
        <row r="367">
          <cell r="A367" t="str">
            <v>SBV376</v>
          </cell>
          <cell r="B367" t="str">
            <v>plate05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adata_isolates"/>
    </sheetNames>
    <sheetDataSet>
      <sheetData sheetId="0" refreshError="1">
        <row r="1">
          <cell r="A1" t="str">
            <v>id</v>
          </cell>
          <cell r="B1" t="str">
            <v>ST</v>
          </cell>
        </row>
        <row r="2">
          <cell r="A2" t="str">
            <v>SBV001</v>
          </cell>
          <cell r="B2">
            <v>1499</v>
          </cell>
        </row>
        <row r="3">
          <cell r="A3" t="str">
            <v>SBV002</v>
          </cell>
          <cell r="B3">
            <v>1499</v>
          </cell>
        </row>
        <row r="4">
          <cell r="A4" t="str">
            <v>SBV003</v>
          </cell>
          <cell r="B4">
            <v>1499</v>
          </cell>
        </row>
        <row r="5">
          <cell r="A5" t="str">
            <v>SBV004</v>
          </cell>
          <cell r="B5">
            <v>1499</v>
          </cell>
        </row>
        <row r="6">
          <cell r="A6" t="str">
            <v>SBV005</v>
          </cell>
          <cell r="B6">
            <v>377</v>
          </cell>
        </row>
        <row r="7">
          <cell r="A7" t="str">
            <v>SBV006</v>
          </cell>
          <cell r="B7">
            <v>1499</v>
          </cell>
        </row>
        <row r="8">
          <cell r="A8" t="str">
            <v>SBV007</v>
          </cell>
          <cell r="B8">
            <v>377</v>
          </cell>
        </row>
        <row r="9">
          <cell r="A9" t="str">
            <v>SBV008</v>
          </cell>
          <cell r="B9">
            <v>1499</v>
          </cell>
        </row>
        <row r="10">
          <cell r="A10" t="str">
            <v>SBV009</v>
          </cell>
          <cell r="B10">
            <v>1499</v>
          </cell>
        </row>
        <row r="11">
          <cell r="A11" t="str">
            <v>SBV010</v>
          </cell>
          <cell r="B11">
            <v>377</v>
          </cell>
        </row>
        <row r="12">
          <cell r="A12" t="str">
            <v>SBV011</v>
          </cell>
          <cell r="B12">
            <v>377</v>
          </cell>
        </row>
        <row r="13">
          <cell r="A13" t="str">
            <v>SBV012</v>
          </cell>
          <cell r="B13">
            <v>1499</v>
          </cell>
        </row>
        <row r="14">
          <cell r="A14" t="str">
            <v>SBV013</v>
          </cell>
          <cell r="B14">
            <v>1499</v>
          </cell>
        </row>
        <row r="15">
          <cell r="A15" t="str">
            <v>SBV014</v>
          </cell>
          <cell r="B15">
            <v>1499</v>
          </cell>
        </row>
        <row r="16">
          <cell r="A16" t="str">
            <v>SBV015</v>
          </cell>
          <cell r="B16">
            <v>1499</v>
          </cell>
        </row>
        <row r="17">
          <cell r="A17" t="str">
            <v>SBV016</v>
          </cell>
          <cell r="B17">
            <v>8346</v>
          </cell>
        </row>
        <row r="18">
          <cell r="A18" t="str">
            <v>SBV017</v>
          </cell>
          <cell r="B18">
            <v>1058</v>
          </cell>
        </row>
        <row r="19">
          <cell r="A19" t="str">
            <v>SBV018</v>
          </cell>
          <cell r="B19">
            <v>1499</v>
          </cell>
        </row>
        <row r="20">
          <cell r="A20" t="str">
            <v>SBV019</v>
          </cell>
          <cell r="B20">
            <v>377</v>
          </cell>
        </row>
        <row r="21">
          <cell r="A21" t="str">
            <v>SBV020</v>
          </cell>
          <cell r="B21">
            <v>1499</v>
          </cell>
        </row>
        <row r="22">
          <cell r="A22" t="str">
            <v>SBV021</v>
          </cell>
          <cell r="B22">
            <v>377</v>
          </cell>
        </row>
        <row r="23">
          <cell r="A23" t="str">
            <v>SBV022</v>
          </cell>
          <cell r="B23">
            <v>377</v>
          </cell>
        </row>
        <row r="24">
          <cell r="A24" t="str">
            <v>SBV023</v>
          </cell>
          <cell r="B24">
            <v>377</v>
          </cell>
        </row>
        <row r="25">
          <cell r="A25" t="str">
            <v>SBV024</v>
          </cell>
          <cell r="B25">
            <v>377</v>
          </cell>
        </row>
        <row r="26">
          <cell r="A26" t="str">
            <v>SBV025</v>
          </cell>
          <cell r="B26">
            <v>377</v>
          </cell>
        </row>
        <row r="27">
          <cell r="A27" t="str">
            <v>SBV026</v>
          </cell>
          <cell r="B27">
            <v>2640</v>
          </cell>
        </row>
        <row r="28">
          <cell r="A28" t="str">
            <v>SBV027</v>
          </cell>
          <cell r="B28">
            <v>377</v>
          </cell>
        </row>
        <row r="29">
          <cell r="A29" t="str">
            <v>SBV028</v>
          </cell>
          <cell r="B29">
            <v>1499</v>
          </cell>
        </row>
        <row r="30">
          <cell r="A30" t="str">
            <v>SBV029</v>
          </cell>
          <cell r="B30">
            <v>377</v>
          </cell>
        </row>
        <row r="31">
          <cell r="A31" t="str">
            <v>SBV030</v>
          </cell>
          <cell r="B31">
            <v>377</v>
          </cell>
        </row>
        <row r="32">
          <cell r="A32" t="str">
            <v>SBV031</v>
          </cell>
          <cell r="B32">
            <v>1499</v>
          </cell>
        </row>
        <row r="33">
          <cell r="A33" t="str">
            <v>SBV032</v>
          </cell>
          <cell r="B33">
            <v>377</v>
          </cell>
        </row>
        <row r="34">
          <cell r="A34" t="str">
            <v>SBV033</v>
          </cell>
          <cell r="B34">
            <v>377</v>
          </cell>
        </row>
        <row r="35">
          <cell r="A35" t="str">
            <v>SBV035</v>
          </cell>
          <cell r="B35">
            <v>377</v>
          </cell>
        </row>
        <row r="36">
          <cell r="A36" t="str">
            <v>SBV036</v>
          </cell>
          <cell r="B36">
            <v>377</v>
          </cell>
        </row>
        <row r="37">
          <cell r="A37" t="str">
            <v>SBV037</v>
          </cell>
          <cell r="B37">
            <v>377</v>
          </cell>
        </row>
        <row r="38">
          <cell r="A38" t="str">
            <v>SBV038</v>
          </cell>
          <cell r="B38">
            <v>377</v>
          </cell>
        </row>
        <row r="39">
          <cell r="A39" t="str">
            <v>SBV039</v>
          </cell>
          <cell r="B39">
            <v>377</v>
          </cell>
        </row>
        <row r="40">
          <cell r="A40" t="str">
            <v>SBV040</v>
          </cell>
          <cell r="B40">
            <v>377</v>
          </cell>
        </row>
        <row r="41">
          <cell r="A41" t="str">
            <v>SBV041</v>
          </cell>
          <cell r="B41">
            <v>377</v>
          </cell>
        </row>
        <row r="42">
          <cell r="A42" t="str">
            <v>SBV042</v>
          </cell>
          <cell r="B42">
            <v>377</v>
          </cell>
        </row>
        <row r="43">
          <cell r="A43" t="str">
            <v>SBV043</v>
          </cell>
          <cell r="B43">
            <v>377</v>
          </cell>
        </row>
        <row r="44">
          <cell r="A44" t="str">
            <v>SBV044</v>
          </cell>
          <cell r="B44">
            <v>377</v>
          </cell>
        </row>
        <row r="45">
          <cell r="A45" t="str">
            <v>SBV045</v>
          </cell>
          <cell r="B45">
            <v>377</v>
          </cell>
        </row>
        <row r="46">
          <cell r="A46" t="str">
            <v>SBV046</v>
          </cell>
          <cell r="B46">
            <v>377</v>
          </cell>
        </row>
        <row r="47">
          <cell r="A47" t="str">
            <v>SBV047</v>
          </cell>
          <cell r="B47">
            <v>377</v>
          </cell>
        </row>
        <row r="48">
          <cell r="A48" t="str">
            <v>SBV048</v>
          </cell>
          <cell r="B48">
            <v>377</v>
          </cell>
        </row>
        <row r="49">
          <cell r="A49" t="str">
            <v>SBV049</v>
          </cell>
          <cell r="B49">
            <v>377</v>
          </cell>
        </row>
        <row r="50">
          <cell r="A50" t="str">
            <v>SBV050</v>
          </cell>
          <cell r="B50">
            <v>377</v>
          </cell>
        </row>
        <row r="51">
          <cell r="A51" t="str">
            <v>SBV051</v>
          </cell>
          <cell r="B51">
            <v>377</v>
          </cell>
        </row>
        <row r="52">
          <cell r="A52" t="str">
            <v>SBV052</v>
          </cell>
          <cell r="B52">
            <v>377</v>
          </cell>
        </row>
        <row r="53">
          <cell r="A53" t="str">
            <v>SBV053</v>
          </cell>
          <cell r="B53">
            <v>377</v>
          </cell>
        </row>
        <row r="54">
          <cell r="A54" t="str">
            <v>SBV054</v>
          </cell>
          <cell r="B54">
            <v>377</v>
          </cell>
        </row>
        <row r="55">
          <cell r="A55" t="str">
            <v>SBV055</v>
          </cell>
          <cell r="B55">
            <v>377</v>
          </cell>
        </row>
        <row r="56">
          <cell r="A56" t="str">
            <v>SBV056</v>
          </cell>
          <cell r="B56" t="str">
            <v>-</v>
          </cell>
        </row>
        <row r="57">
          <cell r="A57" t="str">
            <v>SBV057</v>
          </cell>
          <cell r="B57">
            <v>377</v>
          </cell>
        </row>
        <row r="58">
          <cell r="A58" t="str">
            <v>SBV058</v>
          </cell>
          <cell r="B58">
            <v>377</v>
          </cell>
        </row>
        <row r="59">
          <cell r="A59" t="str">
            <v>SBV059</v>
          </cell>
          <cell r="B59">
            <v>377</v>
          </cell>
        </row>
        <row r="60">
          <cell r="A60" t="str">
            <v>SBV060</v>
          </cell>
          <cell r="B60">
            <v>377</v>
          </cell>
        </row>
        <row r="61">
          <cell r="A61" t="str">
            <v>SBV061</v>
          </cell>
          <cell r="B61">
            <v>377</v>
          </cell>
        </row>
        <row r="62">
          <cell r="A62" t="str">
            <v>SBV062</v>
          </cell>
          <cell r="B62">
            <v>377</v>
          </cell>
        </row>
        <row r="63">
          <cell r="A63" t="str">
            <v>SBV063</v>
          </cell>
          <cell r="B63">
            <v>377</v>
          </cell>
        </row>
        <row r="64">
          <cell r="A64" t="str">
            <v>SBV064</v>
          </cell>
          <cell r="B64">
            <v>377</v>
          </cell>
        </row>
        <row r="65">
          <cell r="A65" t="str">
            <v>SBV065</v>
          </cell>
          <cell r="B65">
            <v>377</v>
          </cell>
        </row>
        <row r="66">
          <cell r="A66" t="str">
            <v>SBV066</v>
          </cell>
          <cell r="B66" t="str">
            <v>-</v>
          </cell>
        </row>
        <row r="67">
          <cell r="A67" t="str">
            <v>SBV067</v>
          </cell>
          <cell r="B67">
            <v>377</v>
          </cell>
        </row>
        <row r="68">
          <cell r="A68" t="str">
            <v>SBV068</v>
          </cell>
          <cell r="B68">
            <v>377</v>
          </cell>
        </row>
        <row r="69">
          <cell r="A69" t="str">
            <v>SBV069</v>
          </cell>
          <cell r="B69">
            <v>377</v>
          </cell>
        </row>
        <row r="70">
          <cell r="A70" t="str">
            <v>SBV070</v>
          </cell>
          <cell r="B70">
            <v>377</v>
          </cell>
        </row>
        <row r="71">
          <cell r="A71" t="str">
            <v>SBV071</v>
          </cell>
          <cell r="B71">
            <v>377</v>
          </cell>
        </row>
        <row r="72">
          <cell r="A72" t="str">
            <v>SBV072</v>
          </cell>
          <cell r="B72">
            <v>377</v>
          </cell>
        </row>
        <row r="73">
          <cell r="A73" t="str">
            <v>SBV073</v>
          </cell>
          <cell r="B73">
            <v>377</v>
          </cell>
        </row>
        <row r="74">
          <cell r="A74" t="str">
            <v>SBV074</v>
          </cell>
          <cell r="B74">
            <v>377</v>
          </cell>
        </row>
        <row r="75">
          <cell r="A75" t="str">
            <v>SBV075</v>
          </cell>
          <cell r="B75">
            <v>377</v>
          </cell>
        </row>
        <row r="76">
          <cell r="A76" t="str">
            <v>SBV076</v>
          </cell>
          <cell r="B76">
            <v>377</v>
          </cell>
        </row>
        <row r="77">
          <cell r="A77" t="str">
            <v>SBV077</v>
          </cell>
          <cell r="B77">
            <v>377</v>
          </cell>
        </row>
        <row r="78">
          <cell r="A78" t="str">
            <v>SBV078</v>
          </cell>
          <cell r="B78">
            <v>377</v>
          </cell>
        </row>
        <row r="79">
          <cell r="A79" t="str">
            <v>SBV079</v>
          </cell>
          <cell r="B79">
            <v>377</v>
          </cell>
        </row>
        <row r="80">
          <cell r="A80" t="str">
            <v>SBV080</v>
          </cell>
          <cell r="B80">
            <v>377</v>
          </cell>
        </row>
        <row r="81">
          <cell r="A81" t="str">
            <v>SBV081</v>
          </cell>
          <cell r="B81">
            <v>377</v>
          </cell>
        </row>
        <row r="82">
          <cell r="A82" t="str">
            <v>SBV082</v>
          </cell>
          <cell r="B82">
            <v>377</v>
          </cell>
        </row>
        <row r="83">
          <cell r="A83" t="str">
            <v>SBV083</v>
          </cell>
          <cell r="B83">
            <v>377</v>
          </cell>
        </row>
        <row r="84">
          <cell r="A84" t="str">
            <v>SBV084</v>
          </cell>
          <cell r="B84">
            <v>377</v>
          </cell>
        </row>
        <row r="85">
          <cell r="A85" t="str">
            <v>SBV085</v>
          </cell>
          <cell r="B85">
            <v>377</v>
          </cell>
        </row>
        <row r="86">
          <cell r="A86" t="str">
            <v>SBV086</v>
          </cell>
          <cell r="B86">
            <v>8346</v>
          </cell>
        </row>
        <row r="87">
          <cell r="A87" t="str">
            <v>SBV087</v>
          </cell>
          <cell r="B87">
            <v>377</v>
          </cell>
        </row>
        <row r="88">
          <cell r="A88" t="str">
            <v>SBV088</v>
          </cell>
          <cell r="B88">
            <v>377</v>
          </cell>
        </row>
        <row r="89">
          <cell r="A89" t="str">
            <v>SBV089</v>
          </cell>
          <cell r="B89">
            <v>377</v>
          </cell>
        </row>
        <row r="90">
          <cell r="A90" t="str">
            <v>SBV090</v>
          </cell>
          <cell r="B90">
            <v>377</v>
          </cell>
        </row>
        <row r="91">
          <cell r="A91" t="str">
            <v>SBV091</v>
          </cell>
          <cell r="B91">
            <v>377</v>
          </cell>
        </row>
        <row r="92">
          <cell r="A92" t="str">
            <v>SBV092</v>
          </cell>
          <cell r="B92">
            <v>377</v>
          </cell>
        </row>
        <row r="93">
          <cell r="A93" t="str">
            <v>SBV093</v>
          </cell>
          <cell r="B93">
            <v>377</v>
          </cell>
        </row>
        <row r="94">
          <cell r="A94" t="str">
            <v>SBV094</v>
          </cell>
          <cell r="B94">
            <v>377</v>
          </cell>
        </row>
        <row r="95">
          <cell r="A95" t="str">
            <v>SBV095</v>
          </cell>
          <cell r="B95">
            <v>377</v>
          </cell>
        </row>
        <row r="96">
          <cell r="A96" t="str">
            <v>SBV096</v>
          </cell>
          <cell r="B96">
            <v>377</v>
          </cell>
        </row>
        <row r="97">
          <cell r="A97" t="str">
            <v>SBV097</v>
          </cell>
          <cell r="B97">
            <v>377</v>
          </cell>
        </row>
        <row r="98">
          <cell r="A98" t="str">
            <v>SBV098</v>
          </cell>
          <cell r="B98">
            <v>377</v>
          </cell>
        </row>
        <row r="99">
          <cell r="A99" t="str">
            <v>SBV099</v>
          </cell>
          <cell r="B99">
            <v>377</v>
          </cell>
        </row>
        <row r="100">
          <cell r="A100" t="str">
            <v>SBV100</v>
          </cell>
          <cell r="B100">
            <v>377</v>
          </cell>
        </row>
        <row r="101">
          <cell r="A101" t="str">
            <v>SBV101</v>
          </cell>
          <cell r="B101">
            <v>377</v>
          </cell>
        </row>
        <row r="102">
          <cell r="A102" t="str">
            <v>SBV102</v>
          </cell>
          <cell r="B102">
            <v>377</v>
          </cell>
        </row>
        <row r="103">
          <cell r="A103" t="str">
            <v>SBV103</v>
          </cell>
          <cell r="B103">
            <v>377</v>
          </cell>
        </row>
        <row r="104">
          <cell r="A104" t="str">
            <v>SBV104</v>
          </cell>
          <cell r="B104">
            <v>377</v>
          </cell>
        </row>
        <row r="105">
          <cell r="A105" t="str">
            <v>SBV105</v>
          </cell>
          <cell r="B105">
            <v>377</v>
          </cell>
        </row>
        <row r="106">
          <cell r="A106" t="str">
            <v>SBV106</v>
          </cell>
          <cell r="B106">
            <v>377</v>
          </cell>
        </row>
        <row r="107">
          <cell r="A107" t="str">
            <v>SBV107</v>
          </cell>
          <cell r="B107">
            <v>377</v>
          </cell>
        </row>
        <row r="108">
          <cell r="A108" t="str">
            <v>SBV108</v>
          </cell>
          <cell r="B108">
            <v>377</v>
          </cell>
        </row>
        <row r="109">
          <cell r="A109" t="str">
            <v>SBV109</v>
          </cell>
          <cell r="B109">
            <v>377</v>
          </cell>
        </row>
        <row r="110">
          <cell r="A110" t="str">
            <v>SBV110</v>
          </cell>
          <cell r="B110">
            <v>377</v>
          </cell>
        </row>
        <row r="111">
          <cell r="A111" t="str">
            <v>SBV111</v>
          </cell>
          <cell r="B111">
            <v>377</v>
          </cell>
        </row>
        <row r="112">
          <cell r="A112" t="str">
            <v>SBV112</v>
          </cell>
          <cell r="B112">
            <v>377</v>
          </cell>
        </row>
        <row r="113">
          <cell r="A113" t="str">
            <v>SBV113</v>
          </cell>
          <cell r="B113">
            <v>377</v>
          </cell>
        </row>
        <row r="114">
          <cell r="A114" t="str">
            <v>SBV114</v>
          </cell>
          <cell r="B114">
            <v>377</v>
          </cell>
        </row>
        <row r="115">
          <cell r="A115" t="str">
            <v>SBV115</v>
          </cell>
          <cell r="B115">
            <v>377</v>
          </cell>
        </row>
        <row r="116">
          <cell r="A116" t="str">
            <v>SBV116</v>
          </cell>
          <cell r="B116">
            <v>377</v>
          </cell>
        </row>
        <row r="117">
          <cell r="A117" t="str">
            <v>SBV117</v>
          </cell>
          <cell r="B117">
            <v>377</v>
          </cell>
        </row>
        <row r="118">
          <cell r="A118" t="str">
            <v>SBV118</v>
          </cell>
          <cell r="B118">
            <v>377</v>
          </cell>
        </row>
        <row r="119">
          <cell r="A119" t="str">
            <v>SBV119</v>
          </cell>
          <cell r="B119">
            <v>377</v>
          </cell>
        </row>
        <row r="120">
          <cell r="A120" t="str">
            <v>SBV120</v>
          </cell>
          <cell r="B120">
            <v>1499</v>
          </cell>
        </row>
        <row r="121">
          <cell r="A121" t="str">
            <v>SBV121</v>
          </cell>
          <cell r="B121">
            <v>377</v>
          </cell>
        </row>
        <row r="122">
          <cell r="A122" t="str">
            <v>SBV122</v>
          </cell>
          <cell r="B122">
            <v>377</v>
          </cell>
        </row>
        <row r="123">
          <cell r="A123" t="str">
            <v>SBV123</v>
          </cell>
          <cell r="B123">
            <v>377</v>
          </cell>
        </row>
        <row r="124">
          <cell r="A124" t="str">
            <v>SBV124</v>
          </cell>
          <cell r="B124">
            <v>377</v>
          </cell>
        </row>
        <row r="125">
          <cell r="A125" t="str">
            <v>SBV125</v>
          </cell>
          <cell r="B125">
            <v>377</v>
          </cell>
        </row>
        <row r="126">
          <cell r="A126" t="str">
            <v>SBV126</v>
          </cell>
          <cell r="B126">
            <v>377</v>
          </cell>
        </row>
        <row r="127">
          <cell r="A127" t="str">
            <v>SBV127</v>
          </cell>
          <cell r="B127">
            <v>377</v>
          </cell>
        </row>
        <row r="128">
          <cell r="A128" t="str">
            <v>SBV128</v>
          </cell>
          <cell r="B128">
            <v>377</v>
          </cell>
        </row>
        <row r="129">
          <cell r="A129" t="str">
            <v>SBV129</v>
          </cell>
          <cell r="B129">
            <v>377</v>
          </cell>
        </row>
        <row r="130">
          <cell r="A130" t="str">
            <v>SBV130</v>
          </cell>
          <cell r="B130">
            <v>377</v>
          </cell>
        </row>
        <row r="131">
          <cell r="A131" t="str">
            <v>SBV131</v>
          </cell>
          <cell r="B131">
            <v>377</v>
          </cell>
        </row>
        <row r="132">
          <cell r="A132" t="str">
            <v>SBV132</v>
          </cell>
          <cell r="B132">
            <v>377</v>
          </cell>
        </row>
        <row r="133">
          <cell r="A133" t="str">
            <v>SBV133</v>
          </cell>
          <cell r="B133">
            <v>377</v>
          </cell>
        </row>
        <row r="134">
          <cell r="A134" t="str">
            <v>SBV134</v>
          </cell>
          <cell r="B134">
            <v>377</v>
          </cell>
        </row>
        <row r="135">
          <cell r="A135" t="str">
            <v>SBV135</v>
          </cell>
          <cell r="B135">
            <v>377</v>
          </cell>
        </row>
        <row r="136">
          <cell r="A136" t="str">
            <v>SBV136</v>
          </cell>
          <cell r="B136">
            <v>377</v>
          </cell>
        </row>
        <row r="137">
          <cell r="A137" t="str">
            <v>SBV137</v>
          </cell>
          <cell r="B137">
            <v>377</v>
          </cell>
        </row>
        <row r="138">
          <cell r="A138" t="str">
            <v>SBV138</v>
          </cell>
          <cell r="B138">
            <v>377</v>
          </cell>
        </row>
        <row r="139">
          <cell r="A139" t="str">
            <v>SBV139</v>
          </cell>
          <cell r="B139">
            <v>377</v>
          </cell>
        </row>
        <row r="140">
          <cell r="A140" t="str">
            <v>SBV140</v>
          </cell>
          <cell r="B140">
            <v>377</v>
          </cell>
        </row>
        <row r="141">
          <cell r="A141" t="str">
            <v>SBV141</v>
          </cell>
          <cell r="B141">
            <v>377</v>
          </cell>
        </row>
        <row r="142">
          <cell r="A142" t="str">
            <v>SBV142</v>
          </cell>
          <cell r="B142">
            <v>377</v>
          </cell>
        </row>
        <row r="143">
          <cell r="A143" t="str">
            <v>SBV143</v>
          </cell>
          <cell r="B143">
            <v>377</v>
          </cell>
        </row>
        <row r="144">
          <cell r="A144" t="str">
            <v>SBV144</v>
          </cell>
          <cell r="B144">
            <v>377</v>
          </cell>
        </row>
        <row r="145">
          <cell r="A145" t="str">
            <v>SBV145</v>
          </cell>
          <cell r="B145">
            <v>377</v>
          </cell>
        </row>
        <row r="146">
          <cell r="A146" t="str">
            <v>SBV146</v>
          </cell>
          <cell r="B146">
            <v>377</v>
          </cell>
        </row>
        <row r="147">
          <cell r="A147" t="str">
            <v>SBV147</v>
          </cell>
          <cell r="B147">
            <v>377</v>
          </cell>
        </row>
        <row r="148">
          <cell r="A148" t="str">
            <v>SBV148</v>
          </cell>
          <cell r="B148">
            <v>377</v>
          </cell>
        </row>
        <row r="149">
          <cell r="A149" t="str">
            <v>SBV149</v>
          </cell>
          <cell r="B149">
            <v>377</v>
          </cell>
        </row>
        <row r="150">
          <cell r="A150" t="str">
            <v>SBV150</v>
          </cell>
          <cell r="B150">
            <v>377</v>
          </cell>
        </row>
        <row r="151">
          <cell r="A151" t="str">
            <v>SBV151</v>
          </cell>
          <cell r="B151">
            <v>377</v>
          </cell>
        </row>
        <row r="152">
          <cell r="A152" t="str">
            <v>SBV152</v>
          </cell>
          <cell r="B152">
            <v>377</v>
          </cell>
        </row>
        <row r="153">
          <cell r="A153" t="str">
            <v>SBV153</v>
          </cell>
          <cell r="B153">
            <v>377</v>
          </cell>
        </row>
        <row r="154">
          <cell r="A154" t="str">
            <v>SBV154</v>
          </cell>
          <cell r="B154">
            <v>377</v>
          </cell>
        </row>
        <row r="155">
          <cell r="A155" t="str">
            <v>SBV155</v>
          </cell>
          <cell r="B155">
            <v>377</v>
          </cell>
        </row>
        <row r="156">
          <cell r="A156" t="str">
            <v>SBV156</v>
          </cell>
          <cell r="B156">
            <v>377</v>
          </cell>
        </row>
        <row r="157">
          <cell r="A157" t="str">
            <v>SBV157</v>
          </cell>
          <cell r="B157">
            <v>377</v>
          </cell>
        </row>
        <row r="158">
          <cell r="A158" t="str">
            <v>SBV158</v>
          </cell>
          <cell r="B158">
            <v>377</v>
          </cell>
        </row>
        <row r="159">
          <cell r="A159" t="str">
            <v>SBV159</v>
          </cell>
          <cell r="B159">
            <v>377</v>
          </cell>
        </row>
        <row r="160">
          <cell r="A160" t="str">
            <v>SBV160</v>
          </cell>
          <cell r="B160">
            <v>377</v>
          </cell>
        </row>
        <row r="161">
          <cell r="A161" t="str">
            <v>SBV161</v>
          </cell>
          <cell r="B161">
            <v>377</v>
          </cell>
        </row>
        <row r="162">
          <cell r="A162" t="str">
            <v>SBV162</v>
          </cell>
          <cell r="B162">
            <v>377</v>
          </cell>
        </row>
        <row r="163">
          <cell r="A163" t="str">
            <v>SBV163</v>
          </cell>
          <cell r="B163">
            <v>377</v>
          </cell>
        </row>
        <row r="164">
          <cell r="A164" t="str">
            <v>SBV164</v>
          </cell>
          <cell r="B164">
            <v>377</v>
          </cell>
        </row>
        <row r="165">
          <cell r="A165" t="str">
            <v>SBV165</v>
          </cell>
          <cell r="B165">
            <v>377</v>
          </cell>
        </row>
        <row r="166">
          <cell r="A166" t="str">
            <v>SBV166</v>
          </cell>
          <cell r="B166">
            <v>377</v>
          </cell>
        </row>
        <row r="167">
          <cell r="A167" t="str">
            <v>SBV167</v>
          </cell>
          <cell r="B167">
            <v>377</v>
          </cell>
        </row>
        <row r="168">
          <cell r="A168" t="str">
            <v>SBV168</v>
          </cell>
          <cell r="B168">
            <v>377</v>
          </cell>
        </row>
        <row r="169">
          <cell r="A169" t="str">
            <v>SBV169</v>
          </cell>
          <cell r="B169">
            <v>377</v>
          </cell>
        </row>
        <row r="170">
          <cell r="A170" t="str">
            <v>SBV170</v>
          </cell>
          <cell r="B170">
            <v>377</v>
          </cell>
        </row>
        <row r="171">
          <cell r="A171" t="str">
            <v>SBV171</v>
          </cell>
          <cell r="B171">
            <v>377</v>
          </cell>
        </row>
        <row r="172">
          <cell r="A172" t="str">
            <v>SBV172</v>
          </cell>
          <cell r="B172">
            <v>377</v>
          </cell>
        </row>
        <row r="173">
          <cell r="A173" t="str">
            <v>SBV173</v>
          </cell>
          <cell r="B173">
            <v>377</v>
          </cell>
        </row>
        <row r="174">
          <cell r="A174" t="str">
            <v>SBV174</v>
          </cell>
          <cell r="B174">
            <v>377</v>
          </cell>
        </row>
        <row r="175">
          <cell r="A175" t="str">
            <v>SBV175</v>
          </cell>
          <cell r="B175">
            <v>377</v>
          </cell>
        </row>
        <row r="176">
          <cell r="A176" t="str">
            <v>SBV176</v>
          </cell>
          <cell r="B176">
            <v>377</v>
          </cell>
        </row>
        <row r="177">
          <cell r="A177" t="str">
            <v>SBV177</v>
          </cell>
          <cell r="B177">
            <v>377</v>
          </cell>
        </row>
        <row r="178">
          <cell r="A178" t="str">
            <v>SBV178</v>
          </cell>
          <cell r="B178">
            <v>377</v>
          </cell>
        </row>
        <row r="179">
          <cell r="A179" t="str">
            <v>SBV179</v>
          </cell>
          <cell r="B179">
            <v>377</v>
          </cell>
        </row>
        <row r="180">
          <cell r="A180" t="str">
            <v>SBV180</v>
          </cell>
          <cell r="B180">
            <v>377</v>
          </cell>
        </row>
        <row r="181">
          <cell r="A181" t="str">
            <v>SBV181</v>
          </cell>
          <cell r="B181">
            <v>377</v>
          </cell>
        </row>
        <row r="182">
          <cell r="A182" t="str">
            <v>SBV183</v>
          </cell>
          <cell r="B182">
            <v>377</v>
          </cell>
        </row>
        <row r="183">
          <cell r="A183" t="str">
            <v>SBV184</v>
          </cell>
          <cell r="B183">
            <v>377</v>
          </cell>
        </row>
        <row r="184">
          <cell r="A184" t="str">
            <v>SBV185</v>
          </cell>
          <cell r="B184">
            <v>377</v>
          </cell>
        </row>
        <row r="185">
          <cell r="A185" t="str">
            <v>SBV186</v>
          </cell>
          <cell r="B185">
            <v>377</v>
          </cell>
        </row>
        <row r="186">
          <cell r="A186" t="str">
            <v>SBV187</v>
          </cell>
          <cell r="B186">
            <v>377</v>
          </cell>
        </row>
        <row r="187">
          <cell r="A187" t="str">
            <v>SBV188</v>
          </cell>
          <cell r="B187">
            <v>377</v>
          </cell>
        </row>
        <row r="188">
          <cell r="A188" t="str">
            <v>SBV189</v>
          </cell>
          <cell r="B188">
            <v>377</v>
          </cell>
        </row>
        <row r="189">
          <cell r="A189" t="str">
            <v>SBV190</v>
          </cell>
          <cell r="B189">
            <v>377</v>
          </cell>
        </row>
        <row r="190">
          <cell r="A190" t="str">
            <v>SBV191</v>
          </cell>
          <cell r="B190">
            <v>377</v>
          </cell>
        </row>
        <row r="191">
          <cell r="A191" t="str">
            <v>SBV192</v>
          </cell>
          <cell r="B191">
            <v>377</v>
          </cell>
        </row>
        <row r="192">
          <cell r="A192" t="str">
            <v>SBV193</v>
          </cell>
          <cell r="B192">
            <v>377</v>
          </cell>
        </row>
        <row r="193">
          <cell r="A193" t="str">
            <v>SBV194</v>
          </cell>
          <cell r="B193">
            <v>377</v>
          </cell>
        </row>
        <row r="194">
          <cell r="A194" t="str">
            <v>SBV195</v>
          </cell>
          <cell r="B194">
            <v>377</v>
          </cell>
        </row>
        <row r="195">
          <cell r="A195" t="str">
            <v>SBV196</v>
          </cell>
          <cell r="B195">
            <v>377</v>
          </cell>
        </row>
        <row r="196">
          <cell r="A196" t="str">
            <v>SBV197</v>
          </cell>
          <cell r="B196">
            <v>377</v>
          </cell>
        </row>
        <row r="197">
          <cell r="A197" t="str">
            <v>SBV198</v>
          </cell>
          <cell r="B197">
            <v>377</v>
          </cell>
        </row>
        <row r="198">
          <cell r="A198" t="str">
            <v>SBV199</v>
          </cell>
          <cell r="B198">
            <v>377</v>
          </cell>
        </row>
        <row r="199">
          <cell r="A199" t="str">
            <v>SBV200</v>
          </cell>
          <cell r="B199">
            <v>377</v>
          </cell>
        </row>
        <row r="200">
          <cell r="A200" t="str">
            <v>SBV201</v>
          </cell>
          <cell r="B200">
            <v>377</v>
          </cell>
        </row>
        <row r="201">
          <cell r="A201" t="str">
            <v>SBV202</v>
          </cell>
          <cell r="B201">
            <v>377</v>
          </cell>
        </row>
        <row r="202">
          <cell r="A202" t="str">
            <v>SBV203</v>
          </cell>
          <cell r="B202">
            <v>377</v>
          </cell>
        </row>
        <row r="203">
          <cell r="A203" t="str">
            <v>SBV204</v>
          </cell>
          <cell r="B203">
            <v>377</v>
          </cell>
        </row>
        <row r="204">
          <cell r="A204" t="str">
            <v>SBV205</v>
          </cell>
          <cell r="B204">
            <v>377</v>
          </cell>
        </row>
        <row r="205">
          <cell r="A205" t="str">
            <v>SBV206</v>
          </cell>
          <cell r="B205">
            <v>377</v>
          </cell>
        </row>
        <row r="206">
          <cell r="A206" t="str">
            <v>SBV207</v>
          </cell>
          <cell r="B206">
            <v>377</v>
          </cell>
        </row>
        <row r="207">
          <cell r="A207" t="str">
            <v>SBV208</v>
          </cell>
          <cell r="B207">
            <v>377</v>
          </cell>
        </row>
        <row r="208">
          <cell r="A208" t="str">
            <v>SBV209</v>
          </cell>
          <cell r="B208">
            <v>377</v>
          </cell>
        </row>
        <row r="209">
          <cell r="A209" t="str">
            <v>SBV210</v>
          </cell>
          <cell r="B209">
            <v>377</v>
          </cell>
        </row>
        <row r="210">
          <cell r="A210" t="str">
            <v>SBV211</v>
          </cell>
          <cell r="B210">
            <v>377</v>
          </cell>
        </row>
        <row r="211">
          <cell r="A211" t="str">
            <v>SBV212</v>
          </cell>
          <cell r="B211">
            <v>377</v>
          </cell>
        </row>
        <row r="212">
          <cell r="A212" t="str">
            <v>SBV213</v>
          </cell>
          <cell r="B212">
            <v>377</v>
          </cell>
        </row>
        <row r="213">
          <cell r="A213" t="str">
            <v>SBV214</v>
          </cell>
          <cell r="B213">
            <v>377</v>
          </cell>
        </row>
        <row r="214">
          <cell r="A214" t="str">
            <v>SBV215</v>
          </cell>
          <cell r="B214">
            <v>1499</v>
          </cell>
        </row>
        <row r="215">
          <cell r="A215" t="str">
            <v>SBV216</v>
          </cell>
          <cell r="B215">
            <v>377</v>
          </cell>
        </row>
        <row r="216">
          <cell r="A216" t="str">
            <v>SBV217</v>
          </cell>
          <cell r="B216">
            <v>377</v>
          </cell>
        </row>
        <row r="217">
          <cell r="A217" t="str">
            <v>SBV218</v>
          </cell>
          <cell r="B217">
            <v>377</v>
          </cell>
        </row>
        <row r="218">
          <cell r="A218" t="str">
            <v>SBV219</v>
          </cell>
          <cell r="B218">
            <v>377</v>
          </cell>
        </row>
        <row r="219">
          <cell r="A219" t="str">
            <v>SBV220</v>
          </cell>
          <cell r="B219">
            <v>377</v>
          </cell>
        </row>
        <row r="220">
          <cell r="A220" t="str">
            <v>SBV221</v>
          </cell>
          <cell r="B220">
            <v>377</v>
          </cell>
        </row>
        <row r="221">
          <cell r="A221" t="str">
            <v>SBV222</v>
          </cell>
          <cell r="B221">
            <v>377</v>
          </cell>
        </row>
        <row r="222">
          <cell r="A222" t="str">
            <v>SBV223</v>
          </cell>
          <cell r="B222">
            <v>8346</v>
          </cell>
        </row>
        <row r="223">
          <cell r="A223" t="str">
            <v>SBV224</v>
          </cell>
          <cell r="B223">
            <v>377</v>
          </cell>
        </row>
        <row r="224">
          <cell r="A224" t="str">
            <v>SBV225</v>
          </cell>
          <cell r="B224">
            <v>377</v>
          </cell>
        </row>
        <row r="225">
          <cell r="A225" t="str">
            <v>SBV226</v>
          </cell>
          <cell r="B225">
            <v>377</v>
          </cell>
        </row>
        <row r="226">
          <cell r="A226" t="str">
            <v>SBV227</v>
          </cell>
          <cell r="B226">
            <v>377</v>
          </cell>
        </row>
        <row r="227">
          <cell r="A227" t="str">
            <v>SBV228</v>
          </cell>
          <cell r="B227">
            <v>377</v>
          </cell>
        </row>
        <row r="228">
          <cell r="A228" t="str">
            <v>SBV229</v>
          </cell>
          <cell r="B228">
            <v>377</v>
          </cell>
        </row>
        <row r="229">
          <cell r="A229" t="str">
            <v>SBV230</v>
          </cell>
          <cell r="B229">
            <v>377</v>
          </cell>
        </row>
        <row r="230">
          <cell r="A230" t="str">
            <v>SBV231</v>
          </cell>
          <cell r="B230">
            <v>377</v>
          </cell>
        </row>
        <row r="231">
          <cell r="A231" t="str">
            <v>SBV232</v>
          </cell>
          <cell r="B231">
            <v>377</v>
          </cell>
        </row>
        <row r="232">
          <cell r="A232" t="str">
            <v>SBV233</v>
          </cell>
          <cell r="B232">
            <v>377</v>
          </cell>
        </row>
        <row r="233">
          <cell r="A233" t="str">
            <v>SBV234</v>
          </cell>
          <cell r="B233">
            <v>377</v>
          </cell>
        </row>
        <row r="234">
          <cell r="A234" t="str">
            <v>SBV235</v>
          </cell>
          <cell r="B234">
            <v>377</v>
          </cell>
        </row>
        <row r="235">
          <cell r="A235" t="str">
            <v>SBV236</v>
          </cell>
          <cell r="B235">
            <v>377</v>
          </cell>
        </row>
        <row r="236">
          <cell r="A236" t="str">
            <v>SBV237</v>
          </cell>
          <cell r="B236">
            <v>377</v>
          </cell>
        </row>
        <row r="237">
          <cell r="A237" t="str">
            <v>SBV238</v>
          </cell>
          <cell r="B237">
            <v>377</v>
          </cell>
        </row>
        <row r="238">
          <cell r="A238" t="str">
            <v>SBV239</v>
          </cell>
          <cell r="B238">
            <v>377</v>
          </cell>
        </row>
        <row r="239">
          <cell r="A239" t="str">
            <v>SBV240</v>
          </cell>
          <cell r="B239">
            <v>377</v>
          </cell>
        </row>
        <row r="240">
          <cell r="A240" t="str">
            <v>SBV241</v>
          </cell>
          <cell r="B240">
            <v>377</v>
          </cell>
        </row>
        <row r="241">
          <cell r="A241" t="str">
            <v>SBV242</v>
          </cell>
          <cell r="B241">
            <v>377</v>
          </cell>
        </row>
        <row r="242">
          <cell r="A242" t="str">
            <v>SBV243</v>
          </cell>
          <cell r="B242">
            <v>377</v>
          </cell>
        </row>
        <row r="243">
          <cell r="A243" t="str">
            <v>SBV244</v>
          </cell>
          <cell r="B243">
            <v>377</v>
          </cell>
        </row>
        <row r="244">
          <cell r="A244" t="str">
            <v>SBV245</v>
          </cell>
          <cell r="B244">
            <v>377</v>
          </cell>
        </row>
        <row r="245">
          <cell r="A245" t="str">
            <v>SBV246</v>
          </cell>
          <cell r="B245">
            <v>377</v>
          </cell>
        </row>
        <row r="246">
          <cell r="A246" t="str">
            <v>SBV247</v>
          </cell>
          <cell r="B246">
            <v>377</v>
          </cell>
        </row>
        <row r="247">
          <cell r="A247" t="str">
            <v>SBV248</v>
          </cell>
          <cell r="B247">
            <v>1058</v>
          </cell>
        </row>
        <row r="248">
          <cell r="A248" t="str">
            <v>SBV249</v>
          </cell>
          <cell r="B248">
            <v>377</v>
          </cell>
        </row>
        <row r="249">
          <cell r="A249" t="str">
            <v>SBV251</v>
          </cell>
          <cell r="B249">
            <v>377</v>
          </cell>
        </row>
        <row r="250">
          <cell r="A250" t="str">
            <v>SBV252</v>
          </cell>
          <cell r="B250">
            <v>377</v>
          </cell>
        </row>
        <row r="251">
          <cell r="A251" t="str">
            <v>SBV253</v>
          </cell>
          <cell r="B251">
            <v>377</v>
          </cell>
        </row>
        <row r="252">
          <cell r="A252" t="str">
            <v>SBV254</v>
          </cell>
          <cell r="B252">
            <v>377</v>
          </cell>
        </row>
        <row r="253">
          <cell r="A253" t="str">
            <v>SBV255</v>
          </cell>
          <cell r="B253">
            <v>377</v>
          </cell>
        </row>
        <row r="254">
          <cell r="A254" t="str">
            <v>SBV256</v>
          </cell>
          <cell r="B254">
            <v>377</v>
          </cell>
        </row>
        <row r="255">
          <cell r="A255" t="str">
            <v>SBV257</v>
          </cell>
          <cell r="B255">
            <v>377</v>
          </cell>
        </row>
        <row r="256">
          <cell r="A256" t="str">
            <v>SBV258</v>
          </cell>
          <cell r="B256">
            <v>377</v>
          </cell>
        </row>
        <row r="257">
          <cell r="A257" t="str">
            <v>SBV259</v>
          </cell>
          <cell r="B257">
            <v>377</v>
          </cell>
        </row>
        <row r="258">
          <cell r="A258" t="str">
            <v>SBV260</v>
          </cell>
          <cell r="B258">
            <v>377</v>
          </cell>
        </row>
        <row r="259">
          <cell r="A259" t="str">
            <v>SBV261</v>
          </cell>
          <cell r="B259">
            <v>377</v>
          </cell>
        </row>
        <row r="260">
          <cell r="A260" t="str">
            <v>SBV262</v>
          </cell>
          <cell r="B260">
            <v>377</v>
          </cell>
        </row>
        <row r="261">
          <cell r="A261" t="str">
            <v>SBV263</v>
          </cell>
          <cell r="B261">
            <v>377</v>
          </cell>
        </row>
        <row r="262">
          <cell r="A262" t="str">
            <v>SBV265</v>
          </cell>
          <cell r="B262">
            <v>377</v>
          </cell>
        </row>
        <row r="263">
          <cell r="A263" t="str">
            <v>SBV266</v>
          </cell>
          <cell r="B263">
            <v>377</v>
          </cell>
        </row>
        <row r="264">
          <cell r="A264" t="str">
            <v>SBV267</v>
          </cell>
          <cell r="B264">
            <v>377</v>
          </cell>
        </row>
        <row r="265">
          <cell r="A265" t="str">
            <v>SBV268</v>
          </cell>
          <cell r="B265">
            <v>377</v>
          </cell>
        </row>
        <row r="266">
          <cell r="A266" t="str">
            <v>SBV269</v>
          </cell>
          <cell r="B266">
            <v>377</v>
          </cell>
        </row>
        <row r="267">
          <cell r="A267" t="str">
            <v>SBV270</v>
          </cell>
          <cell r="B267">
            <v>377</v>
          </cell>
        </row>
        <row r="268">
          <cell r="A268" t="str">
            <v>SBV271</v>
          </cell>
          <cell r="B268">
            <v>377</v>
          </cell>
        </row>
        <row r="269">
          <cell r="A269" t="str">
            <v>SBV272</v>
          </cell>
          <cell r="B269">
            <v>377</v>
          </cell>
        </row>
        <row r="270">
          <cell r="A270" t="str">
            <v>SBV273</v>
          </cell>
          <cell r="B270">
            <v>377</v>
          </cell>
        </row>
        <row r="271">
          <cell r="A271" t="str">
            <v>SBV274</v>
          </cell>
          <cell r="B271">
            <v>377</v>
          </cell>
        </row>
        <row r="272">
          <cell r="A272" t="str">
            <v>SBV275</v>
          </cell>
          <cell r="B272">
            <v>377</v>
          </cell>
        </row>
        <row r="273">
          <cell r="A273" t="str">
            <v>SBV276</v>
          </cell>
          <cell r="B273">
            <v>377</v>
          </cell>
        </row>
        <row r="274">
          <cell r="A274" t="str">
            <v>SBV277</v>
          </cell>
          <cell r="B274">
            <v>377</v>
          </cell>
        </row>
        <row r="275">
          <cell r="A275" t="str">
            <v>SBV278</v>
          </cell>
          <cell r="B275">
            <v>377</v>
          </cell>
        </row>
        <row r="276">
          <cell r="A276" t="str">
            <v>SBV279</v>
          </cell>
          <cell r="B276">
            <v>377</v>
          </cell>
        </row>
        <row r="277">
          <cell r="A277" t="str">
            <v>SBV280</v>
          </cell>
          <cell r="B277">
            <v>377</v>
          </cell>
        </row>
        <row r="278">
          <cell r="A278" t="str">
            <v>SBV281</v>
          </cell>
          <cell r="B278">
            <v>377</v>
          </cell>
        </row>
        <row r="279">
          <cell r="A279" t="str">
            <v>SBV282</v>
          </cell>
          <cell r="B279">
            <v>377</v>
          </cell>
        </row>
        <row r="280">
          <cell r="A280" t="str">
            <v>SBV283</v>
          </cell>
          <cell r="B280">
            <v>377</v>
          </cell>
        </row>
        <row r="281">
          <cell r="A281" t="str">
            <v>SBV284</v>
          </cell>
          <cell r="B281">
            <v>377</v>
          </cell>
        </row>
        <row r="282">
          <cell r="A282" t="str">
            <v>SBV285</v>
          </cell>
          <cell r="B282">
            <v>377</v>
          </cell>
        </row>
        <row r="283">
          <cell r="A283" t="str">
            <v>SBV286</v>
          </cell>
          <cell r="B283">
            <v>377</v>
          </cell>
        </row>
        <row r="284">
          <cell r="A284" t="str">
            <v>SBV287</v>
          </cell>
          <cell r="B284">
            <v>377</v>
          </cell>
        </row>
        <row r="285">
          <cell r="A285" t="str">
            <v>SBV288</v>
          </cell>
          <cell r="B285">
            <v>377</v>
          </cell>
        </row>
        <row r="286">
          <cell r="A286" t="str">
            <v>SBV289</v>
          </cell>
          <cell r="B286">
            <v>377</v>
          </cell>
        </row>
        <row r="287">
          <cell r="A287" t="str">
            <v>SBV290</v>
          </cell>
          <cell r="B287">
            <v>377</v>
          </cell>
        </row>
        <row r="288">
          <cell r="A288" t="str">
            <v>SBV291</v>
          </cell>
          <cell r="B288">
            <v>377</v>
          </cell>
        </row>
        <row r="289">
          <cell r="A289" t="str">
            <v>SBV292</v>
          </cell>
          <cell r="B289">
            <v>377</v>
          </cell>
        </row>
        <row r="290">
          <cell r="A290" t="str">
            <v>SBV293</v>
          </cell>
          <cell r="B290">
            <v>377</v>
          </cell>
        </row>
        <row r="291">
          <cell r="A291" t="str">
            <v>SBV294</v>
          </cell>
          <cell r="B291">
            <v>377</v>
          </cell>
        </row>
        <row r="292">
          <cell r="A292" t="str">
            <v>SBV295</v>
          </cell>
          <cell r="B292">
            <v>377</v>
          </cell>
        </row>
        <row r="293">
          <cell r="A293" t="str">
            <v>SBV296</v>
          </cell>
          <cell r="B293">
            <v>377</v>
          </cell>
        </row>
        <row r="294">
          <cell r="A294" t="str">
            <v>SBV297</v>
          </cell>
          <cell r="B294">
            <v>377</v>
          </cell>
        </row>
        <row r="295">
          <cell r="A295" t="str">
            <v>SBV298</v>
          </cell>
          <cell r="B295">
            <v>377</v>
          </cell>
        </row>
        <row r="296">
          <cell r="A296" t="str">
            <v>SBV299</v>
          </cell>
          <cell r="B296">
            <v>377</v>
          </cell>
        </row>
        <row r="297">
          <cell r="A297" t="str">
            <v>SBV300</v>
          </cell>
          <cell r="B297">
            <v>377</v>
          </cell>
        </row>
        <row r="298">
          <cell r="A298" t="str">
            <v>SBV301</v>
          </cell>
          <cell r="B298">
            <v>377</v>
          </cell>
        </row>
        <row r="299">
          <cell r="A299" t="str">
            <v>SBV302</v>
          </cell>
          <cell r="B299">
            <v>377</v>
          </cell>
        </row>
        <row r="300">
          <cell r="A300" t="str">
            <v>SBV304</v>
          </cell>
          <cell r="B300">
            <v>2640</v>
          </cell>
        </row>
        <row r="301">
          <cell r="A301" t="str">
            <v>SBV305</v>
          </cell>
          <cell r="B301">
            <v>377</v>
          </cell>
        </row>
        <row r="302">
          <cell r="A302" t="str">
            <v>SBV306</v>
          </cell>
          <cell r="B302">
            <v>377</v>
          </cell>
        </row>
        <row r="303">
          <cell r="A303" t="str">
            <v>SBV307</v>
          </cell>
          <cell r="B303">
            <v>377</v>
          </cell>
        </row>
        <row r="304">
          <cell r="A304" t="str">
            <v>SBV308</v>
          </cell>
          <cell r="B304">
            <v>377</v>
          </cell>
        </row>
        <row r="305">
          <cell r="A305" t="str">
            <v>SBV309</v>
          </cell>
          <cell r="B305">
            <v>377</v>
          </cell>
        </row>
        <row r="306">
          <cell r="A306" t="str">
            <v>SBV310</v>
          </cell>
          <cell r="B306">
            <v>377</v>
          </cell>
        </row>
        <row r="307">
          <cell r="A307" t="str">
            <v>SBV311</v>
          </cell>
          <cell r="B307">
            <v>377</v>
          </cell>
        </row>
        <row r="308">
          <cell r="A308" t="str">
            <v>SBV312</v>
          </cell>
          <cell r="B308">
            <v>377</v>
          </cell>
        </row>
        <row r="309">
          <cell r="A309" t="str">
            <v>SBV313</v>
          </cell>
          <cell r="B309">
            <v>377</v>
          </cell>
        </row>
        <row r="310">
          <cell r="A310" t="str">
            <v>SBV314</v>
          </cell>
          <cell r="B310">
            <v>377</v>
          </cell>
        </row>
        <row r="311">
          <cell r="A311" t="str">
            <v>SBV315</v>
          </cell>
          <cell r="B311">
            <v>377</v>
          </cell>
        </row>
        <row r="312">
          <cell r="A312" t="str">
            <v>SBV316</v>
          </cell>
          <cell r="B312">
            <v>377</v>
          </cell>
        </row>
        <row r="313">
          <cell r="A313" t="str">
            <v>SBV317</v>
          </cell>
          <cell r="B313">
            <v>377</v>
          </cell>
        </row>
        <row r="314">
          <cell r="A314" t="str">
            <v>SBV318</v>
          </cell>
          <cell r="B314">
            <v>377</v>
          </cell>
        </row>
        <row r="315">
          <cell r="A315" t="str">
            <v>SBV319</v>
          </cell>
          <cell r="B315">
            <v>377</v>
          </cell>
        </row>
        <row r="316">
          <cell r="A316" t="str">
            <v>SBV320</v>
          </cell>
          <cell r="B316">
            <v>377</v>
          </cell>
        </row>
        <row r="317">
          <cell r="A317" t="str">
            <v>SBV321</v>
          </cell>
          <cell r="B317">
            <v>377</v>
          </cell>
        </row>
        <row r="318">
          <cell r="A318" t="str">
            <v>SBV322</v>
          </cell>
          <cell r="B318">
            <v>377</v>
          </cell>
        </row>
        <row r="319">
          <cell r="A319" t="str">
            <v>SBV323</v>
          </cell>
          <cell r="B319">
            <v>377</v>
          </cell>
        </row>
        <row r="320">
          <cell r="A320" t="str">
            <v>SBV324</v>
          </cell>
          <cell r="B320">
            <v>377</v>
          </cell>
        </row>
        <row r="321">
          <cell r="A321" t="str">
            <v>SBV325</v>
          </cell>
          <cell r="B321">
            <v>377</v>
          </cell>
        </row>
        <row r="322">
          <cell r="A322" t="str">
            <v>SBV326</v>
          </cell>
          <cell r="B322">
            <v>377</v>
          </cell>
        </row>
        <row r="323">
          <cell r="A323" t="str">
            <v>SBV327</v>
          </cell>
          <cell r="B323">
            <v>377</v>
          </cell>
        </row>
        <row r="324">
          <cell r="A324" t="str">
            <v>SBV328</v>
          </cell>
          <cell r="B324">
            <v>377</v>
          </cell>
        </row>
        <row r="325">
          <cell r="A325" t="str">
            <v>SBV329</v>
          </cell>
          <cell r="B325">
            <v>377</v>
          </cell>
        </row>
        <row r="326">
          <cell r="A326" t="str">
            <v>SBV330</v>
          </cell>
          <cell r="B326">
            <v>377</v>
          </cell>
        </row>
        <row r="327">
          <cell r="A327" t="str">
            <v>SBV331</v>
          </cell>
          <cell r="B327">
            <v>377</v>
          </cell>
        </row>
        <row r="328">
          <cell r="A328" t="str">
            <v>SBV332</v>
          </cell>
          <cell r="B328">
            <v>377</v>
          </cell>
        </row>
        <row r="329">
          <cell r="A329" t="str">
            <v>SBV333</v>
          </cell>
          <cell r="B329">
            <v>377</v>
          </cell>
        </row>
        <row r="330">
          <cell r="A330" t="str">
            <v>SBV334</v>
          </cell>
          <cell r="B330">
            <v>377</v>
          </cell>
        </row>
        <row r="331">
          <cell r="A331" t="str">
            <v>SBV335</v>
          </cell>
          <cell r="B331">
            <v>377</v>
          </cell>
        </row>
        <row r="332">
          <cell r="A332" t="str">
            <v>SBV336</v>
          </cell>
          <cell r="B332">
            <v>377</v>
          </cell>
        </row>
        <row r="333">
          <cell r="A333" t="str">
            <v>SBV337</v>
          </cell>
          <cell r="B333">
            <v>377</v>
          </cell>
        </row>
        <row r="334">
          <cell r="A334" t="str">
            <v>SBV338</v>
          </cell>
          <cell r="B334">
            <v>377</v>
          </cell>
        </row>
        <row r="335">
          <cell r="A335" t="str">
            <v>SBV339</v>
          </cell>
          <cell r="B335">
            <v>377</v>
          </cell>
        </row>
        <row r="336">
          <cell r="A336" t="str">
            <v>SBV340</v>
          </cell>
          <cell r="B336">
            <v>377</v>
          </cell>
        </row>
        <row r="337">
          <cell r="A337" t="str">
            <v>SBV341</v>
          </cell>
          <cell r="B337">
            <v>377</v>
          </cell>
        </row>
        <row r="338">
          <cell r="A338" t="str">
            <v>SBV342</v>
          </cell>
          <cell r="B338">
            <v>2640</v>
          </cell>
        </row>
        <row r="339">
          <cell r="A339" t="str">
            <v>SBV343</v>
          </cell>
          <cell r="B339">
            <v>377</v>
          </cell>
        </row>
        <row r="340">
          <cell r="A340" t="str">
            <v>SBV344</v>
          </cell>
          <cell r="B340">
            <v>377</v>
          </cell>
        </row>
        <row r="341">
          <cell r="A341" t="str">
            <v>SBV345</v>
          </cell>
          <cell r="B341">
            <v>377</v>
          </cell>
        </row>
        <row r="342">
          <cell r="A342" t="str">
            <v>SBV347</v>
          </cell>
          <cell r="B342">
            <v>377</v>
          </cell>
        </row>
        <row r="343">
          <cell r="A343" t="str">
            <v>SBV348</v>
          </cell>
          <cell r="B343">
            <v>377</v>
          </cell>
        </row>
        <row r="344">
          <cell r="A344" t="str">
            <v>SBV349</v>
          </cell>
          <cell r="B344">
            <v>377</v>
          </cell>
        </row>
        <row r="345">
          <cell r="A345" t="str">
            <v>SBV350</v>
          </cell>
          <cell r="B345">
            <v>377</v>
          </cell>
        </row>
        <row r="346">
          <cell r="A346" t="str">
            <v>SBV351</v>
          </cell>
          <cell r="B346">
            <v>377</v>
          </cell>
        </row>
        <row r="347">
          <cell r="A347" t="str">
            <v>SBV352</v>
          </cell>
          <cell r="B347">
            <v>377</v>
          </cell>
        </row>
        <row r="348">
          <cell r="A348" t="str">
            <v>SBV353</v>
          </cell>
          <cell r="B348">
            <v>377</v>
          </cell>
        </row>
        <row r="349">
          <cell r="A349" t="str">
            <v>SBV354</v>
          </cell>
          <cell r="B349">
            <v>377</v>
          </cell>
        </row>
        <row r="350">
          <cell r="A350" t="str">
            <v>SBV355</v>
          </cell>
          <cell r="B350">
            <v>377</v>
          </cell>
        </row>
        <row r="351">
          <cell r="A351" t="str">
            <v>SBV356</v>
          </cell>
          <cell r="B351">
            <v>377</v>
          </cell>
        </row>
        <row r="352">
          <cell r="A352" t="str">
            <v>SBV357</v>
          </cell>
          <cell r="B352">
            <v>377</v>
          </cell>
        </row>
        <row r="353">
          <cell r="A353" t="str">
            <v>SBV358</v>
          </cell>
          <cell r="B353">
            <v>377</v>
          </cell>
        </row>
        <row r="354">
          <cell r="A354" t="str">
            <v>SBV359</v>
          </cell>
          <cell r="B354">
            <v>377</v>
          </cell>
        </row>
        <row r="355">
          <cell r="A355" t="str">
            <v>SBV361</v>
          </cell>
          <cell r="B355">
            <v>377</v>
          </cell>
        </row>
        <row r="356">
          <cell r="A356" t="str">
            <v>SBV362</v>
          </cell>
          <cell r="B356">
            <v>377</v>
          </cell>
        </row>
        <row r="357">
          <cell r="A357" t="str">
            <v>SBV363</v>
          </cell>
          <cell r="B357">
            <v>377</v>
          </cell>
        </row>
        <row r="358">
          <cell r="A358" t="str">
            <v>SBV364</v>
          </cell>
          <cell r="B358">
            <v>377</v>
          </cell>
        </row>
        <row r="359">
          <cell r="A359" t="str">
            <v>SBV365</v>
          </cell>
          <cell r="B359">
            <v>377</v>
          </cell>
        </row>
        <row r="360">
          <cell r="A360" t="str">
            <v>SBV366</v>
          </cell>
          <cell r="B360">
            <v>377</v>
          </cell>
        </row>
        <row r="361">
          <cell r="A361" t="str">
            <v>SBV367</v>
          </cell>
          <cell r="B361">
            <v>377</v>
          </cell>
        </row>
        <row r="362">
          <cell r="A362" t="str">
            <v>SBV368</v>
          </cell>
          <cell r="B362">
            <v>377</v>
          </cell>
        </row>
        <row r="363">
          <cell r="A363" t="str">
            <v>SBV369</v>
          </cell>
          <cell r="B363">
            <v>377</v>
          </cell>
        </row>
        <row r="364">
          <cell r="A364" t="str">
            <v>SBV370</v>
          </cell>
          <cell r="B364">
            <v>377</v>
          </cell>
        </row>
        <row r="365">
          <cell r="A365" t="str">
            <v>SBV371</v>
          </cell>
          <cell r="B365">
            <v>377</v>
          </cell>
        </row>
        <row r="366">
          <cell r="A366" t="str">
            <v>SBV372</v>
          </cell>
          <cell r="B366">
            <v>377</v>
          </cell>
        </row>
        <row r="367">
          <cell r="A367" t="str">
            <v>SBV373</v>
          </cell>
          <cell r="B367">
            <v>377</v>
          </cell>
        </row>
        <row r="368">
          <cell r="A368" t="str">
            <v>SBV374</v>
          </cell>
          <cell r="B368">
            <v>377</v>
          </cell>
        </row>
        <row r="369">
          <cell r="A369" t="str">
            <v>SBV375</v>
          </cell>
          <cell r="B369">
            <v>377</v>
          </cell>
        </row>
        <row r="370">
          <cell r="A370" t="str">
            <v>SBV376</v>
          </cell>
          <cell r="B370">
            <v>377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B986-9BC2-43D5-BD7C-60B37459A41D}">
  <dimension ref="A1:X371"/>
  <sheetViews>
    <sheetView tabSelected="1" zoomScale="70" zoomScaleNormal="70" workbookViewId="0">
      <selection activeCell="G29" sqref="G29"/>
    </sheetView>
  </sheetViews>
  <sheetFormatPr defaultRowHeight="15" x14ac:dyDescent="0.25"/>
  <cols>
    <col min="1" max="1" width="9.42578125" style="6" bestFit="1" customWidth="1"/>
    <col min="2" max="2" width="9.42578125" style="6" customWidth="1"/>
    <col min="3" max="3" width="17" style="6" bestFit="1" customWidth="1"/>
    <col min="4" max="5" width="20.140625" style="6" bestFit="1" customWidth="1"/>
    <col min="6" max="8" width="21.140625" style="6" bestFit="1" customWidth="1"/>
    <col min="9" max="9" width="19.5703125" style="6" bestFit="1" customWidth="1"/>
    <col min="10" max="11" width="22.7109375" style="6" bestFit="1" customWidth="1"/>
    <col min="12" max="14" width="23.7109375" style="6" bestFit="1" customWidth="1"/>
    <col min="15" max="15" width="8.85546875" style="6" bestFit="1" customWidth="1"/>
    <col min="16" max="16" width="13.28515625" style="6" bestFit="1" customWidth="1"/>
    <col min="17" max="17" width="11.28515625" style="6" bestFit="1" customWidth="1"/>
    <col min="18" max="18" width="6.85546875" style="6" bestFit="1" customWidth="1"/>
    <col min="19" max="20" width="8" style="6" bestFit="1" customWidth="1"/>
    <col min="21" max="21" width="10" style="6" bestFit="1" customWidth="1"/>
    <col min="22" max="23" width="3.85546875" style="6" bestFit="1" customWidth="1"/>
    <col min="24" max="24" width="15.85546875" style="6" bestFit="1" customWidth="1"/>
    <col min="25" max="16384" width="9.140625" style="6"/>
  </cols>
  <sheetData>
    <row r="1" spans="1:24" x14ac:dyDescent="0.25">
      <c r="A1" s="6" t="s">
        <v>484</v>
      </c>
      <c r="C1" s="6" t="s">
        <v>565</v>
      </c>
      <c r="D1" s="6" t="s">
        <v>565</v>
      </c>
      <c r="E1" s="6" t="s">
        <v>565</v>
      </c>
      <c r="F1" s="6" t="s">
        <v>565</v>
      </c>
      <c r="G1" s="6" t="s">
        <v>565</v>
      </c>
      <c r="H1" s="6" t="s">
        <v>565</v>
      </c>
      <c r="I1" s="6" t="s">
        <v>565</v>
      </c>
      <c r="J1" s="6" t="s">
        <v>565</v>
      </c>
      <c r="K1" s="6" t="s">
        <v>565</v>
      </c>
      <c r="L1" s="6" t="s">
        <v>565</v>
      </c>
      <c r="M1" s="6" t="s">
        <v>565</v>
      </c>
      <c r="N1" s="6" t="s">
        <v>565</v>
      </c>
      <c r="O1" s="6" t="s">
        <v>565</v>
      </c>
      <c r="P1" s="6" t="s">
        <v>565</v>
      </c>
      <c r="Q1" s="6" t="e">
        <f>AVERAGE(#REF!)</f>
        <v>#REF!</v>
      </c>
      <c r="R1" s="6" t="s">
        <v>565</v>
      </c>
      <c r="S1" s="6" t="e">
        <f>AVERAGE(#REF!)</f>
        <v>#REF!</v>
      </c>
      <c r="T1" s="6" t="s">
        <v>565</v>
      </c>
      <c r="U1" s="6" t="s">
        <v>565</v>
      </c>
      <c r="V1" s="6" t="s">
        <v>565</v>
      </c>
      <c r="W1" s="6" t="s">
        <v>565</v>
      </c>
      <c r="X1" s="6" t="s">
        <v>565</v>
      </c>
    </row>
    <row r="2" spans="1:24" x14ac:dyDescent="0.25">
      <c r="A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</row>
    <row r="3" spans="1:24" x14ac:dyDescent="0.25">
      <c r="A3" s="6" t="s">
        <v>418</v>
      </c>
      <c r="B3" s="6" t="e">
        <f>VLOOKUP(A3,'[1]SBV Isolates'!$A$2:$B$367,2,FALSE)</f>
        <v>#N/A</v>
      </c>
      <c r="C3" s="6">
        <v>19</v>
      </c>
      <c r="D3" s="6">
        <v>19</v>
      </c>
      <c r="E3" s="6">
        <v>18</v>
      </c>
      <c r="F3" s="6">
        <v>18</v>
      </c>
      <c r="G3" s="6">
        <v>16</v>
      </c>
      <c r="H3" s="6">
        <v>12</v>
      </c>
      <c r="I3" s="6">
        <v>4874209</v>
      </c>
      <c r="J3" s="6">
        <v>4874209</v>
      </c>
      <c r="K3" s="6">
        <v>4869626</v>
      </c>
      <c r="L3" s="6">
        <v>4869626</v>
      </c>
      <c r="M3" s="6">
        <v>4845256</v>
      </c>
      <c r="N3" s="6">
        <v>4710689</v>
      </c>
      <c r="O3" s="6">
        <v>19</v>
      </c>
      <c r="P3" s="6">
        <v>1575302</v>
      </c>
      <c r="Q3" s="6">
        <v>4874209</v>
      </c>
      <c r="R3" s="6">
        <v>52.23</v>
      </c>
      <c r="S3" s="6">
        <v>1115218</v>
      </c>
      <c r="T3" s="6">
        <v>119665</v>
      </c>
      <c r="U3" s="6">
        <v>894558.9</v>
      </c>
      <c r="V3" s="6">
        <v>2</v>
      </c>
      <c r="W3" s="6">
        <v>9</v>
      </c>
      <c r="X3" s="6">
        <v>0</v>
      </c>
    </row>
    <row r="4" spans="1:24" x14ac:dyDescent="0.25">
      <c r="A4" s="6" t="s">
        <v>179</v>
      </c>
      <c r="B4" s="6" t="e">
        <f>VLOOKUP(A4,'[1]SBV Isolates'!$A$2:$B$367,2,FALSE)</f>
        <v>#N/A</v>
      </c>
      <c r="C4" s="6">
        <v>16</v>
      </c>
      <c r="D4" s="6">
        <v>16</v>
      </c>
      <c r="E4" s="6">
        <v>15</v>
      </c>
      <c r="F4" s="6">
        <v>14</v>
      </c>
      <c r="G4" s="6">
        <v>14</v>
      </c>
      <c r="H4" s="6">
        <v>12</v>
      </c>
      <c r="I4" s="6">
        <v>4805744</v>
      </c>
      <c r="J4" s="6">
        <v>4805744</v>
      </c>
      <c r="K4" s="6">
        <v>4801158</v>
      </c>
      <c r="L4" s="6">
        <v>4793898</v>
      </c>
      <c r="M4" s="6">
        <v>4793898</v>
      </c>
      <c r="N4" s="6">
        <v>4726959</v>
      </c>
      <c r="O4" s="6">
        <v>16</v>
      </c>
      <c r="P4" s="6">
        <v>978718</v>
      </c>
      <c r="Q4" s="6">
        <v>4805744</v>
      </c>
      <c r="R4" s="6">
        <v>52.28</v>
      </c>
      <c r="S4" s="6">
        <v>428083</v>
      </c>
      <c r="T4" s="6">
        <v>221207</v>
      </c>
      <c r="U4" s="6">
        <v>568647.4</v>
      </c>
      <c r="V4" s="6">
        <v>4</v>
      </c>
      <c r="W4" s="6">
        <v>9</v>
      </c>
      <c r="X4" s="6">
        <v>0</v>
      </c>
    </row>
    <row r="5" spans="1:24" x14ac:dyDescent="0.25">
      <c r="A5" s="6" t="s">
        <v>190</v>
      </c>
      <c r="B5" s="6" t="str">
        <f>VLOOKUP(A5,'[1]SBV Isolates'!$A$2:$B$367,2,FALSE)</f>
        <v>plate02</v>
      </c>
      <c r="C5" s="6">
        <v>11</v>
      </c>
      <c r="D5" s="6">
        <v>10</v>
      </c>
      <c r="E5" s="6">
        <v>8</v>
      </c>
      <c r="F5" s="6">
        <v>8</v>
      </c>
      <c r="G5" s="6">
        <v>8</v>
      </c>
      <c r="H5" s="6">
        <v>4</v>
      </c>
      <c r="I5" s="6">
        <v>5008269</v>
      </c>
      <c r="J5" s="6">
        <v>5007386</v>
      </c>
      <c r="K5" s="6">
        <v>5001280</v>
      </c>
      <c r="L5" s="6">
        <v>5001280</v>
      </c>
      <c r="M5" s="6">
        <v>5001280</v>
      </c>
      <c r="N5" s="6">
        <v>4855492</v>
      </c>
      <c r="O5" s="6">
        <v>11</v>
      </c>
      <c r="P5" s="6">
        <v>3069532</v>
      </c>
      <c r="Q5" s="6">
        <v>5008269</v>
      </c>
      <c r="R5" s="6">
        <v>52.16</v>
      </c>
      <c r="S5" s="6">
        <v>3069532</v>
      </c>
      <c r="T5" s="6">
        <v>1605203</v>
      </c>
      <c r="U5" s="6">
        <v>2400116.9</v>
      </c>
      <c r="V5" s="6">
        <v>1</v>
      </c>
      <c r="W5" s="6">
        <v>2</v>
      </c>
      <c r="X5" s="6">
        <v>0</v>
      </c>
    </row>
    <row r="6" spans="1:24" x14ac:dyDescent="0.25">
      <c r="A6" s="6" t="s">
        <v>242</v>
      </c>
      <c r="B6" s="6" t="e">
        <f>VLOOKUP(A6,'[1]SBV Isolates'!$A$2:$B$367,2,FALSE)</f>
        <v>#N/A</v>
      </c>
      <c r="C6" s="6">
        <v>9</v>
      </c>
      <c r="D6" s="6">
        <v>9</v>
      </c>
      <c r="E6" s="6">
        <v>8</v>
      </c>
      <c r="F6" s="6">
        <v>8</v>
      </c>
      <c r="G6" s="6">
        <v>8</v>
      </c>
      <c r="H6" s="6">
        <v>4</v>
      </c>
      <c r="I6" s="6">
        <v>4883093</v>
      </c>
      <c r="J6" s="6">
        <v>4883093</v>
      </c>
      <c r="K6" s="6">
        <v>4878510</v>
      </c>
      <c r="L6" s="6">
        <v>4878510</v>
      </c>
      <c r="M6" s="6">
        <v>4878510</v>
      </c>
      <c r="N6" s="6">
        <v>4742525</v>
      </c>
      <c r="O6" s="6">
        <v>9</v>
      </c>
      <c r="P6" s="6">
        <v>1747506</v>
      </c>
      <c r="Q6" s="6">
        <v>4883093</v>
      </c>
      <c r="R6" s="6">
        <v>52.27</v>
      </c>
      <c r="S6" s="6">
        <v>1605203</v>
      </c>
      <c r="T6" s="6">
        <v>1296108</v>
      </c>
      <c r="U6" s="6">
        <v>1499849.6</v>
      </c>
      <c r="V6" s="6">
        <v>2</v>
      </c>
      <c r="W6" s="6">
        <v>3</v>
      </c>
      <c r="X6" s="6">
        <v>0</v>
      </c>
    </row>
    <row r="7" spans="1:24" x14ac:dyDescent="0.25">
      <c r="A7" s="6" t="s">
        <v>259</v>
      </c>
      <c r="B7" s="6" t="str">
        <f>VLOOKUP(A7,'[1]SBV Isolates'!$A$2:$B$367,2,FALSE)</f>
        <v>plate02</v>
      </c>
      <c r="C7" s="6">
        <v>9</v>
      </c>
      <c r="D7" s="6">
        <v>9</v>
      </c>
      <c r="E7" s="6">
        <v>9</v>
      </c>
      <c r="F7" s="6">
        <v>8</v>
      </c>
      <c r="G7" s="6">
        <v>8</v>
      </c>
      <c r="H7" s="6">
        <v>4</v>
      </c>
      <c r="I7" s="6">
        <v>5031553</v>
      </c>
      <c r="J7" s="6">
        <v>5031553</v>
      </c>
      <c r="K7" s="6">
        <v>5031553</v>
      </c>
      <c r="L7" s="6">
        <v>5023546</v>
      </c>
      <c r="M7" s="6">
        <v>5023546</v>
      </c>
      <c r="N7" s="6">
        <v>4881992</v>
      </c>
      <c r="O7" s="6">
        <v>9</v>
      </c>
      <c r="P7" s="6">
        <v>3069514</v>
      </c>
      <c r="Q7" s="6">
        <v>5031553</v>
      </c>
      <c r="R7" s="6">
        <v>51.99</v>
      </c>
      <c r="S7" s="6">
        <v>3069514</v>
      </c>
      <c r="T7" s="6">
        <v>1605238</v>
      </c>
      <c r="U7" s="6">
        <v>2390018</v>
      </c>
      <c r="V7" s="6">
        <v>1</v>
      </c>
      <c r="W7" s="6">
        <v>2</v>
      </c>
      <c r="X7" s="6">
        <v>0</v>
      </c>
    </row>
    <row r="8" spans="1:24" x14ac:dyDescent="0.25">
      <c r="A8" s="6" t="s">
        <v>282</v>
      </c>
      <c r="B8" s="6" t="str">
        <f>VLOOKUP(A8,'[1]SBV Isolates'!$A$2:$B$367,2,FALSE)</f>
        <v>plate02</v>
      </c>
      <c r="C8" s="6">
        <v>9</v>
      </c>
      <c r="D8" s="6">
        <v>9</v>
      </c>
      <c r="E8" s="6">
        <v>8</v>
      </c>
      <c r="F8" s="6">
        <v>8</v>
      </c>
      <c r="G8" s="6">
        <v>8</v>
      </c>
      <c r="H8" s="6">
        <v>5</v>
      </c>
      <c r="I8" s="6">
        <v>4857482</v>
      </c>
      <c r="J8" s="6">
        <v>4857482</v>
      </c>
      <c r="K8" s="6">
        <v>4852898</v>
      </c>
      <c r="L8" s="6">
        <v>4852898</v>
      </c>
      <c r="M8" s="6">
        <v>4852898</v>
      </c>
      <c r="N8" s="6">
        <v>4741991</v>
      </c>
      <c r="O8" s="6">
        <v>9</v>
      </c>
      <c r="P8" s="6">
        <v>1651891</v>
      </c>
      <c r="Q8" s="6">
        <v>4857482</v>
      </c>
      <c r="R8" s="6">
        <v>52.28</v>
      </c>
      <c r="S8" s="6">
        <v>1605244</v>
      </c>
      <c r="T8" s="6">
        <v>1301275</v>
      </c>
      <c r="U8" s="6">
        <v>1445167.6</v>
      </c>
      <c r="V8" s="6">
        <v>2</v>
      </c>
      <c r="W8" s="6">
        <v>3</v>
      </c>
      <c r="X8" s="6">
        <v>0</v>
      </c>
    </row>
    <row r="9" spans="1:24" x14ac:dyDescent="0.25">
      <c r="A9" s="6" t="s">
        <v>377</v>
      </c>
      <c r="B9" s="6" t="str">
        <f>VLOOKUP(A9,'[1]SBV Isolates'!$A$2:$B$367,2,FALSE)</f>
        <v>plate03</v>
      </c>
      <c r="C9" s="6">
        <v>9</v>
      </c>
      <c r="D9" s="6">
        <v>9</v>
      </c>
      <c r="E9" s="6">
        <v>9</v>
      </c>
      <c r="F9" s="6">
        <v>8</v>
      </c>
      <c r="G9" s="6">
        <v>8</v>
      </c>
      <c r="H9" s="6">
        <v>5</v>
      </c>
      <c r="I9" s="6">
        <v>4886432</v>
      </c>
      <c r="J9" s="6">
        <v>4886432</v>
      </c>
      <c r="K9" s="6">
        <v>4886432</v>
      </c>
      <c r="L9" s="6">
        <v>4878488</v>
      </c>
      <c r="M9" s="6">
        <v>4878488</v>
      </c>
      <c r="N9" s="6">
        <v>4767874</v>
      </c>
      <c r="O9" s="6">
        <v>9</v>
      </c>
      <c r="P9" s="6">
        <v>1605238</v>
      </c>
      <c r="Q9" s="6">
        <v>4886432</v>
      </c>
      <c r="R9" s="6">
        <v>52.26</v>
      </c>
      <c r="S9" s="6">
        <v>1507688</v>
      </c>
      <c r="T9" s="6">
        <v>1411794</v>
      </c>
      <c r="U9" s="6">
        <v>1407644.8</v>
      </c>
      <c r="V9" s="6">
        <v>2</v>
      </c>
      <c r="W9" s="6">
        <v>3</v>
      </c>
      <c r="X9" s="6">
        <v>0</v>
      </c>
    </row>
    <row r="10" spans="1:24" x14ac:dyDescent="0.25">
      <c r="A10" s="6" t="s">
        <v>394</v>
      </c>
      <c r="B10" s="6" t="str">
        <f>VLOOKUP(A10,'[1]SBV Isolates'!$A$2:$B$367,2,FALSE)</f>
        <v>plate04</v>
      </c>
      <c r="C10" s="6">
        <v>9</v>
      </c>
      <c r="D10" s="6">
        <v>9</v>
      </c>
      <c r="E10" s="6">
        <v>7</v>
      </c>
      <c r="F10" s="6">
        <v>7</v>
      </c>
      <c r="G10" s="6">
        <v>7</v>
      </c>
      <c r="H10" s="6">
        <v>3</v>
      </c>
      <c r="I10" s="6">
        <v>4928796</v>
      </c>
      <c r="J10" s="6">
        <v>4928796</v>
      </c>
      <c r="K10" s="6">
        <v>4922064</v>
      </c>
      <c r="L10" s="6">
        <v>4922064</v>
      </c>
      <c r="M10" s="6">
        <v>4922064</v>
      </c>
      <c r="N10" s="6">
        <v>4768369</v>
      </c>
      <c r="O10" s="6">
        <v>9</v>
      </c>
      <c r="P10" s="6">
        <v>3069532</v>
      </c>
      <c r="Q10" s="6">
        <v>4928796</v>
      </c>
      <c r="R10" s="6">
        <v>52.27</v>
      </c>
      <c r="S10" s="6">
        <v>3069532</v>
      </c>
      <c r="T10" s="6">
        <v>1605131</v>
      </c>
      <c r="U10" s="6">
        <v>2437357.5</v>
      </c>
      <c r="V10" s="6">
        <v>1</v>
      </c>
      <c r="W10" s="6">
        <v>2</v>
      </c>
      <c r="X10" s="6">
        <v>0</v>
      </c>
    </row>
    <row r="11" spans="1:24" x14ac:dyDescent="0.25">
      <c r="A11" s="6" t="s">
        <v>144</v>
      </c>
      <c r="B11" s="6" t="str">
        <f>VLOOKUP(A11,'[1]SBV Isolates'!$A$2:$B$367,2,FALSE)</f>
        <v>plate01</v>
      </c>
      <c r="C11" s="6">
        <v>8</v>
      </c>
      <c r="D11" s="6">
        <v>8</v>
      </c>
      <c r="E11" s="6">
        <v>7</v>
      </c>
      <c r="F11" s="6">
        <v>6</v>
      </c>
      <c r="G11" s="6">
        <v>6</v>
      </c>
      <c r="H11" s="6">
        <v>5</v>
      </c>
      <c r="I11" s="6">
        <v>4828934</v>
      </c>
      <c r="J11" s="6">
        <v>4828934</v>
      </c>
      <c r="K11" s="6">
        <v>4826862</v>
      </c>
      <c r="L11" s="6">
        <v>4818461</v>
      </c>
      <c r="M11" s="6">
        <v>4818461</v>
      </c>
      <c r="N11" s="6">
        <v>4783649</v>
      </c>
      <c r="O11" s="6">
        <v>8</v>
      </c>
      <c r="P11" s="6">
        <v>1678810</v>
      </c>
      <c r="Q11" s="6">
        <v>4828934</v>
      </c>
      <c r="R11" s="6">
        <v>52.27</v>
      </c>
      <c r="S11" s="6">
        <v>1605202</v>
      </c>
      <c r="T11" s="6">
        <v>1316810</v>
      </c>
      <c r="U11" s="6">
        <v>1480052.3</v>
      </c>
      <c r="V11" s="6">
        <v>2</v>
      </c>
      <c r="W11" s="6">
        <v>3</v>
      </c>
      <c r="X11" s="6">
        <v>0</v>
      </c>
    </row>
    <row r="12" spans="1:24" x14ac:dyDescent="0.25">
      <c r="A12" s="6" t="s">
        <v>151</v>
      </c>
      <c r="B12" s="6" t="str">
        <f>VLOOKUP(A12,'[1]SBV Isolates'!$A$2:$B$367,2,FALSE)</f>
        <v>plate01</v>
      </c>
      <c r="C12" s="6">
        <v>8</v>
      </c>
      <c r="D12" s="6">
        <v>8</v>
      </c>
      <c r="E12" s="6">
        <v>8</v>
      </c>
      <c r="F12" s="6">
        <v>7</v>
      </c>
      <c r="G12" s="6">
        <v>7</v>
      </c>
      <c r="H12" s="6">
        <v>4</v>
      </c>
      <c r="I12" s="6">
        <v>4994206</v>
      </c>
      <c r="J12" s="6">
        <v>4994206</v>
      </c>
      <c r="K12" s="6">
        <v>4994206</v>
      </c>
      <c r="L12" s="6">
        <v>4985768</v>
      </c>
      <c r="M12" s="6">
        <v>4985768</v>
      </c>
      <c r="N12" s="6">
        <v>4874566</v>
      </c>
      <c r="O12" s="6">
        <v>8</v>
      </c>
      <c r="P12" s="6">
        <v>3069514</v>
      </c>
      <c r="Q12" s="6">
        <v>4994206</v>
      </c>
      <c r="R12" s="6">
        <v>52.23</v>
      </c>
      <c r="S12" s="6">
        <v>3069514</v>
      </c>
      <c r="T12" s="6">
        <v>1605195</v>
      </c>
      <c r="U12" s="6">
        <v>2407356.7000000002</v>
      </c>
      <c r="V12" s="6">
        <v>1</v>
      </c>
      <c r="W12" s="6">
        <v>2</v>
      </c>
      <c r="X12" s="6">
        <v>0</v>
      </c>
    </row>
    <row r="13" spans="1:24" x14ac:dyDescent="0.25">
      <c r="A13" s="6" t="s">
        <v>165</v>
      </c>
      <c r="B13" s="6" t="str">
        <f>VLOOKUP(A13,'[1]SBV Isolates'!$A$2:$B$367,2,FALSE)</f>
        <v>plate01</v>
      </c>
      <c r="C13" s="6">
        <v>8</v>
      </c>
      <c r="D13" s="6">
        <v>8</v>
      </c>
      <c r="E13" s="6">
        <v>6</v>
      </c>
      <c r="F13" s="6">
        <v>6</v>
      </c>
      <c r="G13" s="6">
        <v>6</v>
      </c>
      <c r="H13" s="6">
        <v>3</v>
      </c>
      <c r="I13" s="6">
        <v>4887203</v>
      </c>
      <c r="J13" s="6">
        <v>4887203</v>
      </c>
      <c r="K13" s="6">
        <v>4879443</v>
      </c>
      <c r="L13" s="6">
        <v>4879443</v>
      </c>
      <c r="M13" s="6">
        <v>4879443</v>
      </c>
      <c r="N13" s="6">
        <v>4768445</v>
      </c>
      <c r="O13" s="6">
        <v>8</v>
      </c>
      <c r="P13" s="6">
        <v>3069532</v>
      </c>
      <c r="Q13" s="6">
        <v>4887203</v>
      </c>
      <c r="R13" s="6">
        <v>52.25</v>
      </c>
      <c r="S13" s="6">
        <v>3069532</v>
      </c>
      <c r="T13" s="6">
        <v>1605202</v>
      </c>
      <c r="U13" s="6">
        <v>2457775.2999999998</v>
      </c>
      <c r="V13" s="6">
        <v>1</v>
      </c>
      <c r="W13" s="6">
        <v>2</v>
      </c>
      <c r="X13" s="6">
        <v>0</v>
      </c>
    </row>
    <row r="14" spans="1:24" x14ac:dyDescent="0.25">
      <c r="A14" s="6" t="s">
        <v>167</v>
      </c>
      <c r="B14" s="6" t="str">
        <f>VLOOKUP(A14,'[1]SBV Isolates'!$A$2:$B$367,2,FALSE)</f>
        <v>plate01</v>
      </c>
      <c r="C14" s="6">
        <v>8</v>
      </c>
      <c r="D14" s="6">
        <v>8</v>
      </c>
      <c r="E14" s="6">
        <v>7</v>
      </c>
      <c r="F14" s="6">
        <v>7</v>
      </c>
      <c r="G14" s="6">
        <v>7</v>
      </c>
      <c r="H14" s="6">
        <v>5</v>
      </c>
      <c r="I14" s="6">
        <v>4866037</v>
      </c>
      <c r="J14" s="6">
        <v>4866037</v>
      </c>
      <c r="K14" s="6">
        <v>4861453</v>
      </c>
      <c r="L14" s="6">
        <v>4861453</v>
      </c>
      <c r="M14" s="6">
        <v>4861453</v>
      </c>
      <c r="N14" s="6">
        <v>4784691</v>
      </c>
      <c r="O14" s="6">
        <v>8</v>
      </c>
      <c r="P14" s="6">
        <v>1712869</v>
      </c>
      <c r="Q14" s="6">
        <v>4866037</v>
      </c>
      <c r="R14" s="6">
        <v>52.27</v>
      </c>
      <c r="S14" s="6">
        <v>1679774</v>
      </c>
      <c r="T14" s="6">
        <v>1209143</v>
      </c>
      <c r="U14" s="6">
        <v>1487313.6</v>
      </c>
      <c r="V14" s="6">
        <v>2</v>
      </c>
      <c r="W14" s="6">
        <v>3</v>
      </c>
      <c r="X14" s="6">
        <v>0</v>
      </c>
    </row>
    <row r="15" spans="1:24" x14ac:dyDescent="0.25">
      <c r="A15" s="6" t="s">
        <v>182</v>
      </c>
      <c r="B15" s="6" t="str">
        <f>VLOOKUP(A15,'[1]SBV Isolates'!$A$2:$B$367,2,FALSE)</f>
        <v>plate01</v>
      </c>
      <c r="C15" s="6">
        <v>8</v>
      </c>
      <c r="D15" s="6">
        <v>8</v>
      </c>
      <c r="E15" s="6">
        <v>7</v>
      </c>
      <c r="F15" s="6">
        <v>6</v>
      </c>
      <c r="G15" s="6">
        <v>6</v>
      </c>
      <c r="H15" s="6">
        <v>3</v>
      </c>
      <c r="I15" s="6">
        <v>4890655</v>
      </c>
      <c r="J15" s="6">
        <v>4890655</v>
      </c>
      <c r="K15" s="6">
        <v>4887556</v>
      </c>
      <c r="L15" s="6">
        <v>4879677</v>
      </c>
      <c r="M15" s="6">
        <v>4879677</v>
      </c>
      <c r="N15" s="6">
        <v>4768440</v>
      </c>
      <c r="O15" s="6">
        <v>8</v>
      </c>
      <c r="P15" s="6">
        <v>3069541</v>
      </c>
      <c r="Q15" s="6">
        <v>4890655</v>
      </c>
      <c r="R15" s="6">
        <v>52.25</v>
      </c>
      <c r="S15" s="6">
        <v>3069541</v>
      </c>
      <c r="T15" s="6">
        <v>1605203</v>
      </c>
      <c r="U15" s="6">
        <v>2456063.5</v>
      </c>
      <c r="V15" s="6">
        <v>1</v>
      </c>
      <c r="W15" s="6">
        <v>2</v>
      </c>
      <c r="X15" s="6">
        <v>0</v>
      </c>
    </row>
    <row r="16" spans="1:24" x14ac:dyDescent="0.25">
      <c r="A16" s="6" t="s">
        <v>184</v>
      </c>
      <c r="B16" s="6" t="str">
        <f>VLOOKUP(A16,'[1]SBV Isolates'!$A$2:$B$367,2,FALSE)</f>
        <v>plate01</v>
      </c>
      <c r="C16" s="6">
        <v>8</v>
      </c>
      <c r="D16" s="6">
        <v>8</v>
      </c>
      <c r="E16" s="6">
        <v>6</v>
      </c>
      <c r="F16" s="6">
        <v>6</v>
      </c>
      <c r="G16" s="6">
        <v>6</v>
      </c>
      <c r="H16" s="6">
        <v>3</v>
      </c>
      <c r="I16" s="6">
        <v>4887036</v>
      </c>
      <c r="J16" s="6">
        <v>4887036</v>
      </c>
      <c r="K16" s="6">
        <v>4879355</v>
      </c>
      <c r="L16" s="6">
        <v>4879355</v>
      </c>
      <c r="M16" s="6">
        <v>4879355</v>
      </c>
      <c r="N16" s="6">
        <v>4768449</v>
      </c>
      <c r="O16" s="6">
        <v>8</v>
      </c>
      <c r="P16" s="6">
        <v>3069541</v>
      </c>
      <c r="Q16" s="6">
        <v>4887036</v>
      </c>
      <c r="R16" s="6">
        <v>52.25</v>
      </c>
      <c r="S16" s="6">
        <v>3069541</v>
      </c>
      <c r="T16" s="6">
        <v>1605209</v>
      </c>
      <c r="U16" s="6">
        <v>2457873.2999999998</v>
      </c>
      <c r="V16" s="6">
        <v>1</v>
      </c>
      <c r="W16" s="6">
        <v>2</v>
      </c>
      <c r="X16" s="6">
        <v>0</v>
      </c>
    </row>
    <row r="17" spans="1:24" x14ac:dyDescent="0.25">
      <c r="A17" s="6" t="s">
        <v>195</v>
      </c>
      <c r="B17" s="6" t="str">
        <f>VLOOKUP(A17,'[1]SBV Isolates'!$A$2:$B$367,2,FALSE)</f>
        <v>plate02</v>
      </c>
      <c r="C17" s="6">
        <v>8</v>
      </c>
      <c r="D17" s="6">
        <v>7</v>
      </c>
      <c r="E17" s="6">
        <v>5</v>
      </c>
      <c r="F17" s="6">
        <v>4</v>
      </c>
      <c r="G17" s="6">
        <v>4</v>
      </c>
      <c r="H17" s="6">
        <v>3</v>
      </c>
      <c r="I17" s="6">
        <v>4819219</v>
      </c>
      <c r="J17" s="6">
        <v>4818349</v>
      </c>
      <c r="K17" s="6">
        <v>4810897</v>
      </c>
      <c r="L17" s="6">
        <v>4804099</v>
      </c>
      <c r="M17" s="6">
        <v>4804099</v>
      </c>
      <c r="N17" s="6">
        <v>4768472</v>
      </c>
      <c r="O17" s="6">
        <v>8</v>
      </c>
      <c r="P17" s="6">
        <v>3069516</v>
      </c>
      <c r="Q17" s="6">
        <v>4819219</v>
      </c>
      <c r="R17" s="6">
        <v>52.26</v>
      </c>
      <c r="S17" s="6">
        <v>3069516</v>
      </c>
      <c r="T17" s="6">
        <v>1605250</v>
      </c>
      <c r="U17" s="6">
        <v>2491873.1</v>
      </c>
      <c r="V17" s="6">
        <v>1</v>
      </c>
      <c r="W17" s="6">
        <v>2</v>
      </c>
      <c r="X17" s="6">
        <v>0</v>
      </c>
    </row>
    <row r="18" spans="1:24" x14ac:dyDescent="0.25">
      <c r="A18" s="6" t="s">
        <v>196</v>
      </c>
      <c r="B18" s="6" t="str">
        <f>VLOOKUP(A18,'[1]SBV Isolates'!$A$2:$B$367,2,FALSE)</f>
        <v>plate02</v>
      </c>
      <c r="C18" s="6">
        <v>8</v>
      </c>
      <c r="D18" s="6">
        <v>8</v>
      </c>
      <c r="E18" s="6">
        <v>7</v>
      </c>
      <c r="F18" s="6">
        <v>6</v>
      </c>
      <c r="G18" s="6">
        <v>6</v>
      </c>
      <c r="H18" s="6">
        <v>3</v>
      </c>
      <c r="I18" s="6">
        <v>4891661</v>
      </c>
      <c r="J18" s="6">
        <v>4891661</v>
      </c>
      <c r="K18" s="6">
        <v>4887091</v>
      </c>
      <c r="L18" s="6">
        <v>4878955</v>
      </c>
      <c r="M18" s="6">
        <v>4878955</v>
      </c>
      <c r="N18" s="6">
        <v>4768447</v>
      </c>
      <c r="O18" s="6">
        <v>8</v>
      </c>
      <c r="P18" s="6">
        <v>3069541</v>
      </c>
      <c r="Q18" s="6">
        <v>4891661</v>
      </c>
      <c r="R18" s="6">
        <v>52.24</v>
      </c>
      <c r="S18" s="6">
        <v>3069541</v>
      </c>
      <c r="T18" s="6">
        <v>1605203</v>
      </c>
      <c r="U18" s="6">
        <v>2455551.7000000002</v>
      </c>
      <c r="V18" s="6">
        <v>1</v>
      </c>
      <c r="W18" s="6">
        <v>2</v>
      </c>
      <c r="X18" s="6">
        <v>0</v>
      </c>
    </row>
    <row r="19" spans="1:24" x14ac:dyDescent="0.25">
      <c r="A19" s="6" t="s">
        <v>201</v>
      </c>
      <c r="B19" s="6" t="str">
        <f>VLOOKUP(A19,'[1]SBV Isolates'!$A$2:$B$367,2,FALSE)</f>
        <v>plate02</v>
      </c>
      <c r="C19" s="6">
        <v>8</v>
      </c>
      <c r="D19" s="6">
        <v>8</v>
      </c>
      <c r="E19" s="6">
        <v>6</v>
      </c>
      <c r="F19" s="6">
        <v>6</v>
      </c>
      <c r="G19" s="6">
        <v>6</v>
      </c>
      <c r="H19" s="6">
        <v>3</v>
      </c>
      <c r="I19" s="6">
        <v>4886322</v>
      </c>
      <c r="J19" s="6">
        <v>4886322</v>
      </c>
      <c r="K19" s="6">
        <v>4880758</v>
      </c>
      <c r="L19" s="6">
        <v>4880758</v>
      </c>
      <c r="M19" s="6">
        <v>4880758</v>
      </c>
      <c r="N19" s="6">
        <v>4768447</v>
      </c>
      <c r="O19" s="6">
        <v>8</v>
      </c>
      <c r="P19" s="6">
        <v>3069547</v>
      </c>
      <c r="Q19" s="6">
        <v>4886322</v>
      </c>
      <c r="R19" s="6">
        <v>52.27</v>
      </c>
      <c r="S19" s="6">
        <v>3069547</v>
      </c>
      <c r="T19" s="6">
        <v>1605194</v>
      </c>
      <c r="U19" s="6">
        <v>2458251.5</v>
      </c>
      <c r="V19" s="6">
        <v>1</v>
      </c>
      <c r="W19" s="6">
        <v>2</v>
      </c>
      <c r="X19" s="6">
        <v>0</v>
      </c>
    </row>
    <row r="20" spans="1:24" x14ac:dyDescent="0.25">
      <c r="A20" s="6" t="s">
        <v>214</v>
      </c>
      <c r="B20" s="6" t="str">
        <f>VLOOKUP(A20,'[1]SBV Isolates'!$A$2:$B$367,2,FALSE)</f>
        <v>plate02</v>
      </c>
      <c r="C20" s="6">
        <v>8</v>
      </c>
      <c r="D20" s="6">
        <v>7</v>
      </c>
      <c r="E20" s="6">
        <v>6</v>
      </c>
      <c r="F20" s="6">
        <v>6</v>
      </c>
      <c r="G20" s="6">
        <v>6</v>
      </c>
      <c r="H20" s="6">
        <v>3</v>
      </c>
      <c r="I20" s="6">
        <v>4883519</v>
      </c>
      <c r="J20" s="6">
        <v>4882879</v>
      </c>
      <c r="K20" s="6">
        <v>4878935</v>
      </c>
      <c r="L20" s="6">
        <v>4878935</v>
      </c>
      <c r="M20" s="6">
        <v>4878935</v>
      </c>
      <c r="N20" s="6">
        <v>4768433</v>
      </c>
      <c r="O20" s="6">
        <v>8</v>
      </c>
      <c r="P20" s="6">
        <v>3069532</v>
      </c>
      <c r="Q20" s="6">
        <v>4883519</v>
      </c>
      <c r="R20" s="6">
        <v>52.27</v>
      </c>
      <c r="S20" s="6">
        <v>3069532</v>
      </c>
      <c r="T20" s="6">
        <v>1605203</v>
      </c>
      <c r="U20" s="6">
        <v>2459619.5</v>
      </c>
      <c r="V20" s="6">
        <v>1</v>
      </c>
      <c r="W20" s="6">
        <v>2</v>
      </c>
      <c r="X20" s="6">
        <v>0</v>
      </c>
    </row>
    <row r="21" spans="1:24" x14ac:dyDescent="0.25">
      <c r="A21" s="6" t="s">
        <v>226</v>
      </c>
      <c r="B21" s="6" t="str">
        <f>VLOOKUP(A21,'[1]SBV Isolates'!$A$2:$B$367,2,FALSE)</f>
        <v>plate02</v>
      </c>
      <c r="C21" s="6">
        <v>8</v>
      </c>
      <c r="D21" s="6">
        <v>8</v>
      </c>
      <c r="E21" s="6">
        <v>8</v>
      </c>
      <c r="F21" s="6">
        <v>7</v>
      </c>
      <c r="G21" s="6">
        <v>7</v>
      </c>
      <c r="H21" s="6">
        <v>3</v>
      </c>
      <c r="I21" s="6">
        <v>4919388</v>
      </c>
      <c r="J21" s="6">
        <v>4919388</v>
      </c>
      <c r="K21" s="6">
        <v>4919388</v>
      </c>
      <c r="L21" s="6">
        <v>4911368</v>
      </c>
      <c r="M21" s="6">
        <v>4911368</v>
      </c>
      <c r="N21" s="6">
        <v>4768471</v>
      </c>
      <c r="O21" s="6">
        <v>8</v>
      </c>
      <c r="P21" s="6">
        <v>3069525</v>
      </c>
      <c r="Q21" s="6">
        <v>4919388</v>
      </c>
      <c r="R21" s="6">
        <v>52.27</v>
      </c>
      <c r="S21" s="6">
        <v>3069525</v>
      </c>
      <c r="T21" s="6">
        <v>1605244</v>
      </c>
      <c r="U21" s="6">
        <v>2441926.4</v>
      </c>
      <c r="V21" s="6">
        <v>1</v>
      </c>
      <c r="W21" s="6">
        <v>2</v>
      </c>
      <c r="X21" s="6">
        <v>0</v>
      </c>
    </row>
    <row r="22" spans="1:24" x14ac:dyDescent="0.25">
      <c r="A22" s="6" t="s">
        <v>227</v>
      </c>
      <c r="B22" s="6" t="str">
        <f>VLOOKUP(A22,'[1]SBV Isolates'!$A$2:$B$367,2,FALSE)</f>
        <v>plate02</v>
      </c>
      <c r="C22" s="6">
        <v>8</v>
      </c>
      <c r="D22" s="6">
        <v>8</v>
      </c>
      <c r="E22" s="6">
        <v>6</v>
      </c>
      <c r="F22" s="6">
        <v>6</v>
      </c>
      <c r="G22" s="6">
        <v>6</v>
      </c>
      <c r="H22" s="6">
        <v>3</v>
      </c>
      <c r="I22" s="6">
        <v>4918624</v>
      </c>
      <c r="J22" s="6">
        <v>4918624</v>
      </c>
      <c r="K22" s="6">
        <v>4910939</v>
      </c>
      <c r="L22" s="6">
        <v>4910939</v>
      </c>
      <c r="M22" s="6">
        <v>4910939</v>
      </c>
      <c r="N22" s="6">
        <v>4799963</v>
      </c>
      <c r="O22" s="6">
        <v>8</v>
      </c>
      <c r="P22" s="6">
        <v>3101000</v>
      </c>
      <c r="Q22" s="6">
        <v>4918624</v>
      </c>
      <c r="R22" s="6">
        <v>52.25</v>
      </c>
      <c r="S22" s="6">
        <v>3101000</v>
      </c>
      <c r="T22" s="6">
        <v>1605262</v>
      </c>
      <c r="U22" s="6">
        <v>2481590.2999999998</v>
      </c>
      <c r="V22" s="6">
        <v>1</v>
      </c>
      <c r="W22" s="6">
        <v>2</v>
      </c>
      <c r="X22" s="6">
        <v>0</v>
      </c>
    </row>
    <row r="23" spans="1:24" x14ac:dyDescent="0.25">
      <c r="A23" s="6" t="s">
        <v>251</v>
      </c>
      <c r="B23" s="6" t="str">
        <f>VLOOKUP(A23,'[1]SBV Isolates'!$A$2:$B$367,2,FALSE)</f>
        <v>plate02</v>
      </c>
      <c r="C23" s="6">
        <v>8</v>
      </c>
      <c r="D23" s="6">
        <v>8</v>
      </c>
      <c r="E23" s="6">
        <v>8</v>
      </c>
      <c r="F23" s="6">
        <v>7</v>
      </c>
      <c r="G23" s="6">
        <v>7</v>
      </c>
      <c r="H23" s="6">
        <v>4</v>
      </c>
      <c r="I23" s="6">
        <v>5088318</v>
      </c>
      <c r="J23" s="6">
        <v>5088318</v>
      </c>
      <c r="K23" s="6">
        <v>5088318</v>
      </c>
      <c r="L23" s="6">
        <v>5080111</v>
      </c>
      <c r="M23" s="6">
        <v>5080111</v>
      </c>
      <c r="N23" s="6">
        <v>4976021</v>
      </c>
      <c r="O23" s="6">
        <v>8</v>
      </c>
      <c r="P23" s="6">
        <v>4495081</v>
      </c>
      <c r="Q23" s="6">
        <v>5088318</v>
      </c>
      <c r="R23" s="6">
        <v>52.28</v>
      </c>
      <c r="S23" s="6">
        <v>4495081</v>
      </c>
      <c r="T23" s="6">
        <v>209437</v>
      </c>
      <c r="U23" s="6">
        <v>3988290.8</v>
      </c>
      <c r="V23" s="6">
        <v>1</v>
      </c>
      <c r="W23" s="6">
        <v>2</v>
      </c>
      <c r="X23" s="6">
        <v>0</v>
      </c>
    </row>
    <row r="24" spans="1:24" x14ac:dyDescent="0.25">
      <c r="A24" s="6" t="s">
        <v>252</v>
      </c>
      <c r="B24" s="6" t="str">
        <f>VLOOKUP(A24,'[1]SBV Isolates'!$A$2:$B$367,2,FALSE)</f>
        <v>plate02</v>
      </c>
      <c r="C24" s="6">
        <v>8</v>
      </c>
      <c r="D24" s="6">
        <v>8</v>
      </c>
      <c r="E24" s="6">
        <v>8</v>
      </c>
      <c r="F24" s="6">
        <v>7</v>
      </c>
      <c r="G24" s="6">
        <v>7</v>
      </c>
      <c r="H24" s="6">
        <v>4</v>
      </c>
      <c r="I24" s="6">
        <v>4995289</v>
      </c>
      <c r="J24" s="6">
        <v>4995289</v>
      </c>
      <c r="K24" s="6">
        <v>4995289</v>
      </c>
      <c r="L24" s="6">
        <v>4987030</v>
      </c>
      <c r="M24" s="6">
        <v>4987030</v>
      </c>
      <c r="N24" s="6">
        <v>4874653</v>
      </c>
      <c r="O24" s="6">
        <v>8</v>
      </c>
      <c r="P24" s="6">
        <v>3069548</v>
      </c>
      <c r="Q24" s="6">
        <v>4995289</v>
      </c>
      <c r="R24" s="6">
        <v>52.23</v>
      </c>
      <c r="S24" s="6">
        <v>3069548</v>
      </c>
      <c r="T24" s="6">
        <v>1605203</v>
      </c>
      <c r="U24" s="6">
        <v>2406902.5</v>
      </c>
      <c r="V24" s="6">
        <v>1</v>
      </c>
      <c r="W24" s="6">
        <v>2</v>
      </c>
      <c r="X24" s="6">
        <v>0</v>
      </c>
    </row>
    <row r="25" spans="1:24" x14ac:dyDescent="0.25">
      <c r="A25" s="6" t="s">
        <v>255</v>
      </c>
      <c r="B25" s="6" t="str">
        <f>VLOOKUP(A25,'[1]SBV Isolates'!$A$2:$B$367,2,FALSE)</f>
        <v>plate02</v>
      </c>
      <c r="C25" s="6">
        <v>8</v>
      </c>
      <c r="D25" s="6">
        <v>8</v>
      </c>
      <c r="E25" s="6">
        <v>8</v>
      </c>
      <c r="F25" s="6">
        <v>6</v>
      </c>
      <c r="G25" s="6">
        <v>6</v>
      </c>
      <c r="H25" s="6">
        <v>3</v>
      </c>
      <c r="I25" s="6">
        <v>4891408</v>
      </c>
      <c r="J25" s="6">
        <v>4891408</v>
      </c>
      <c r="K25" s="6">
        <v>4891408</v>
      </c>
      <c r="L25" s="6">
        <v>4878404</v>
      </c>
      <c r="M25" s="6">
        <v>4878404</v>
      </c>
      <c r="N25" s="6">
        <v>4768094</v>
      </c>
      <c r="O25" s="6">
        <v>8</v>
      </c>
      <c r="P25" s="6">
        <v>3069184</v>
      </c>
      <c r="Q25" s="6">
        <v>4891408</v>
      </c>
      <c r="R25" s="6">
        <v>52.24</v>
      </c>
      <c r="S25" s="6">
        <v>3069184</v>
      </c>
      <c r="T25" s="6">
        <v>1605208</v>
      </c>
      <c r="U25" s="6">
        <v>2455231.4</v>
      </c>
      <c r="V25" s="6">
        <v>1</v>
      </c>
      <c r="W25" s="6">
        <v>2</v>
      </c>
      <c r="X25" s="6">
        <v>0</v>
      </c>
    </row>
    <row r="26" spans="1:24" x14ac:dyDescent="0.25">
      <c r="A26" s="6" t="s">
        <v>284</v>
      </c>
      <c r="B26" s="6" t="str">
        <f>VLOOKUP(A26,'[1]SBV Isolates'!$A$2:$B$367,2,FALSE)</f>
        <v>plate02</v>
      </c>
      <c r="C26" s="6">
        <v>8</v>
      </c>
      <c r="D26" s="6">
        <v>8</v>
      </c>
      <c r="E26" s="6">
        <v>8</v>
      </c>
      <c r="F26" s="6">
        <v>6</v>
      </c>
      <c r="G26" s="6">
        <v>6</v>
      </c>
      <c r="H26" s="6">
        <v>3</v>
      </c>
      <c r="I26" s="6">
        <v>4892942</v>
      </c>
      <c r="J26" s="6">
        <v>4892942</v>
      </c>
      <c r="K26" s="6">
        <v>4892942</v>
      </c>
      <c r="L26" s="6">
        <v>4879318</v>
      </c>
      <c r="M26" s="6">
        <v>4879318</v>
      </c>
      <c r="N26" s="6">
        <v>4768448</v>
      </c>
      <c r="O26" s="6">
        <v>8</v>
      </c>
      <c r="P26" s="6">
        <v>3069532</v>
      </c>
      <c r="Q26" s="6">
        <v>4892942</v>
      </c>
      <c r="R26" s="6">
        <v>52.24</v>
      </c>
      <c r="S26" s="6">
        <v>3069532</v>
      </c>
      <c r="T26" s="6">
        <v>1605208</v>
      </c>
      <c r="U26" s="6">
        <v>2454907.9</v>
      </c>
      <c r="V26" s="6">
        <v>1</v>
      </c>
      <c r="W26" s="6">
        <v>2</v>
      </c>
      <c r="X26" s="6">
        <v>0</v>
      </c>
    </row>
    <row r="27" spans="1:24" x14ac:dyDescent="0.25">
      <c r="A27" s="6" t="s">
        <v>359</v>
      </c>
      <c r="B27" s="6" t="str">
        <f>VLOOKUP(A27,'[1]SBV Isolates'!$A$2:$B$367,2,FALSE)</f>
        <v>plate03</v>
      </c>
      <c r="C27" s="6">
        <v>8</v>
      </c>
      <c r="D27" s="6">
        <v>8</v>
      </c>
      <c r="E27" s="6">
        <v>8</v>
      </c>
      <c r="F27" s="6">
        <v>6</v>
      </c>
      <c r="G27" s="6">
        <v>6</v>
      </c>
      <c r="H27" s="6">
        <v>3</v>
      </c>
      <c r="I27" s="6">
        <v>4922907</v>
      </c>
      <c r="J27" s="6">
        <v>4922907</v>
      </c>
      <c r="K27" s="6">
        <v>4922907</v>
      </c>
      <c r="L27" s="6">
        <v>4909608</v>
      </c>
      <c r="M27" s="6">
        <v>4909608</v>
      </c>
      <c r="N27" s="6">
        <v>4798415</v>
      </c>
      <c r="O27" s="6">
        <v>8</v>
      </c>
      <c r="P27" s="6">
        <v>3099527</v>
      </c>
      <c r="Q27" s="6">
        <v>4922907</v>
      </c>
      <c r="R27" s="6">
        <v>52.25</v>
      </c>
      <c r="S27" s="6">
        <v>3099527</v>
      </c>
      <c r="T27" s="6">
        <v>1605179</v>
      </c>
      <c r="U27" s="6">
        <v>2477537.9</v>
      </c>
      <c r="V27" s="6">
        <v>1</v>
      </c>
      <c r="W27" s="6">
        <v>2</v>
      </c>
      <c r="X27" s="6">
        <v>0</v>
      </c>
    </row>
    <row r="28" spans="1:24" x14ac:dyDescent="0.25">
      <c r="A28" s="6" t="s">
        <v>363</v>
      </c>
      <c r="B28" s="6" t="str">
        <f>VLOOKUP(A28,'[1]SBV Isolates'!$A$2:$B$367,2,FALSE)</f>
        <v>plate03</v>
      </c>
      <c r="C28" s="6">
        <v>8</v>
      </c>
      <c r="D28" s="6">
        <v>8</v>
      </c>
      <c r="E28" s="6">
        <v>8</v>
      </c>
      <c r="F28" s="6">
        <v>7</v>
      </c>
      <c r="G28" s="6">
        <v>7</v>
      </c>
      <c r="H28" s="6">
        <v>3</v>
      </c>
      <c r="I28" s="6">
        <v>4929111</v>
      </c>
      <c r="J28" s="6">
        <v>4929111</v>
      </c>
      <c r="K28" s="6">
        <v>4929111</v>
      </c>
      <c r="L28" s="6">
        <v>4921133</v>
      </c>
      <c r="M28" s="6">
        <v>4921133</v>
      </c>
      <c r="N28" s="6">
        <v>4768383</v>
      </c>
      <c r="O28" s="6">
        <v>8</v>
      </c>
      <c r="P28" s="6">
        <v>3069518</v>
      </c>
      <c r="Q28" s="6">
        <v>4929111</v>
      </c>
      <c r="R28" s="6">
        <v>52.27</v>
      </c>
      <c r="S28" s="6">
        <v>3069518</v>
      </c>
      <c r="T28" s="6">
        <v>1605166</v>
      </c>
      <c r="U28" s="6">
        <v>2437201.2999999998</v>
      </c>
      <c r="V28" s="6">
        <v>1</v>
      </c>
      <c r="W28" s="6">
        <v>2</v>
      </c>
      <c r="X28" s="6">
        <v>0</v>
      </c>
    </row>
    <row r="29" spans="1:24" x14ac:dyDescent="0.25">
      <c r="A29" s="6" t="s">
        <v>367</v>
      </c>
      <c r="B29" s="6" t="str">
        <f>VLOOKUP(A29,'[1]SBV Isolates'!$A$2:$B$367,2,FALSE)</f>
        <v>plate03</v>
      </c>
      <c r="C29" s="6">
        <v>8</v>
      </c>
      <c r="D29" s="6">
        <v>8</v>
      </c>
      <c r="E29" s="6">
        <v>8</v>
      </c>
      <c r="F29" s="6">
        <v>7</v>
      </c>
      <c r="G29" s="6">
        <v>6</v>
      </c>
      <c r="H29" s="6">
        <v>3</v>
      </c>
      <c r="I29" s="6">
        <v>4900012</v>
      </c>
      <c r="J29" s="6">
        <v>4900012</v>
      </c>
      <c r="K29" s="6">
        <v>4900012</v>
      </c>
      <c r="L29" s="6">
        <v>4891992</v>
      </c>
      <c r="M29" s="6">
        <v>4879532</v>
      </c>
      <c r="N29" s="6">
        <v>4768441</v>
      </c>
      <c r="O29" s="6">
        <v>8</v>
      </c>
      <c r="P29" s="6">
        <v>3069540</v>
      </c>
      <c r="Q29" s="6">
        <v>4900012</v>
      </c>
      <c r="R29" s="6">
        <v>52.25</v>
      </c>
      <c r="S29" s="6">
        <v>3069540</v>
      </c>
      <c r="T29" s="6">
        <v>1605197</v>
      </c>
      <c r="U29" s="6">
        <v>2451396.4</v>
      </c>
      <c r="V29" s="6">
        <v>1</v>
      </c>
      <c r="W29" s="6">
        <v>2</v>
      </c>
      <c r="X29" s="6">
        <v>0</v>
      </c>
    </row>
    <row r="30" spans="1:24" x14ac:dyDescent="0.25">
      <c r="A30" s="6" t="s">
        <v>372</v>
      </c>
      <c r="B30" s="6" t="str">
        <f>VLOOKUP(A30,'[1]SBV Isolates'!$A$2:$B$367,2,FALSE)</f>
        <v>plate03</v>
      </c>
      <c r="C30" s="6">
        <v>8</v>
      </c>
      <c r="D30" s="6">
        <v>8</v>
      </c>
      <c r="E30" s="6">
        <v>8</v>
      </c>
      <c r="F30" s="6">
        <v>6</v>
      </c>
      <c r="G30" s="6">
        <v>6</v>
      </c>
      <c r="H30" s="6">
        <v>3</v>
      </c>
      <c r="I30" s="6">
        <v>4894249</v>
      </c>
      <c r="J30" s="6">
        <v>4894249</v>
      </c>
      <c r="K30" s="6">
        <v>4894249</v>
      </c>
      <c r="L30" s="6">
        <v>4880454</v>
      </c>
      <c r="M30" s="6">
        <v>4880454</v>
      </c>
      <c r="N30" s="6">
        <v>4768389</v>
      </c>
      <c r="O30" s="6">
        <v>8</v>
      </c>
      <c r="P30" s="6">
        <v>3069541</v>
      </c>
      <c r="Q30" s="6">
        <v>4894249</v>
      </c>
      <c r="R30" s="6">
        <v>52.3</v>
      </c>
      <c r="S30" s="6">
        <v>3069541</v>
      </c>
      <c r="T30" s="6">
        <v>1605197</v>
      </c>
      <c r="U30" s="6">
        <v>2454275.5</v>
      </c>
      <c r="V30" s="6">
        <v>1</v>
      </c>
      <c r="W30" s="6">
        <v>2</v>
      </c>
      <c r="X30" s="6">
        <v>0</v>
      </c>
    </row>
    <row r="31" spans="1:24" x14ac:dyDescent="0.25">
      <c r="A31" s="6" t="s">
        <v>374</v>
      </c>
      <c r="B31" s="6" t="str">
        <f>VLOOKUP(A31,'[1]SBV Isolates'!$A$2:$B$367,2,FALSE)</f>
        <v>plate03</v>
      </c>
      <c r="C31" s="6">
        <v>8</v>
      </c>
      <c r="D31" s="6">
        <v>8</v>
      </c>
      <c r="E31" s="6">
        <v>8</v>
      </c>
      <c r="F31" s="6">
        <v>7</v>
      </c>
      <c r="G31" s="6">
        <v>7</v>
      </c>
      <c r="H31" s="6">
        <v>5</v>
      </c>
      <c r="I31" s="6">
        <v>4854479</v>
      </c>
      <c r="J31" s="6">
        <v>4854479</v>
      </c>
      <c r="K31" s="6">
        <v>4854479</v>
      </c>
      <c r="L31" s="6">
        <v>4846766</v>
      </c>
      <c r="M31" s="6">
        <v>4846766</v>
      </c>
      <c r="N31" s="6">
        <v>4768243</v>
      </c>
      <c r="O31" s="6">
        <v>8</v>
      </c>
      <c r="P31" s="6">
        <v>1605166</v>
      </c>
      <c r="Q31" s="6">
        <v>4854479</v>
      </c>
      <c r="R31" s="6">
        <v>52.27</v>
      </c>
      <c r="S31" s="6">
        <v>1496839</v>
      </c>
      <c r="T31" s="6">
        <v>1423408</v>
      </c>
      <c r="U31" s="6">
        <v>1416704.9</v>
      </c>
      <c r="V31" s="6">
        <v>2</v>
      </c>
      <c r="W31" s="6">
        <v>3</v>
      </c>
      <c r="X31" s="6">
        <v>0</v>
      </c>
    </row>
    <row r="32" spans="1:24" x14ac:dyDescent="0.25">
      <c r="A32" s="6" t="s">
        <v>380</v>
      </c>
      <c r="B32" s="6" t="str">
        <f>VLOOKUP(A32,'[1]SBV Isolates'!$A$2:$B$367,2,FALSE)</f>
        <v>plate04</v>
      </c>
      <c r="C32" s="6">
        <v>8</v>
      </c>
      <c r="D32" s="6">
        <v>8</v>
      </c>
      <c r="E32" s="6">
        <v>8</v>
      </c>
      <c r="F32" s="6">
        <v>7</v>
      </c>
      <c r="G32" s="6">
        <v>7</v>
      </c>
      <c r="H32" s="6">
        <v>3</v>
      </c>
      <c r="I32" s="6">
        <v>4929260</v>
      </c>
      <c r="J32" s="6">
        <v>4929260</v>
      </c>
      <c r="K32" s="6">
        <v>4929260</v>
      </c>
      <c r="L32" s="6">
        <v>4921540</v>
      </c>
      <c r="M32" s="6">
        <v>4921540</v>
      </c>
      <c r="N32" s="6">
        <v>4768414</v>
      </c>
      <c r="O32" s="6">
        <v>8</v>
      </c>
      <c r="P32" s="6">
        <v>3069505</v>
      </c>
      <c r="Q32" s="6">
        <v>4929260</v>
      </c>
      <c r="R32" s="6">
        <v>52.26</v>
      </c>
      <c r="S32" s="6">
        <v>3069505</v>
      </c>
      <c r="T32" s="6">
        <v>1605204</v>
      </c>
      <c r="U32" s="6">
        <v>2437140</v>
      </c>
      <c r="V32" s="6">
        <v>1</v>
      </c>
      <c r="W32" s="6">
        <v>2</v>
      </c>
      <c r="X32" s="6">
        <v>0</v>
      </c>
    </row>
    <row r="33" spans="1:24" x14ac:dyDescent="0.25">
      <c r="A33" s="6" t="s">
        <v>415</v>
      </c>
      <c r="B33" s="6" t="str">
        <f>VLOOKUP(A33,'[1]SBV Isolates'!$A$2:$B$367,2,FALSE)</f>
        <v>plate04</v>
      </c>
      <c r="C33" s="6">
        <v>8</v>
      </c>
      <c r="D33" s="6">
        <v>8</v>
      </c>
      <c r="E33" s="6">
        <v>8</v>
      </c>
      <c r="F33" s="6">
        <v>7</v>
      </c>
      <c r="G33" s="6">
        <v>7</v>
      </c>
      <c r="H33" s="6">
        <v>4</v>
      </c>
      <c r="I33" s="6">
        <v>5009958</v>
      </c>
      <c r="J33" s="6">
        <v>5009958</v>
      </c>
      <c r="K33" s="6">
        <v>5009958</v>
      </c>
      <c r="L33" s="6">
        <v>5001195</v>
      </c>
      <c r="M33" s="6">
        <v>5001195</v>
      </c>
      <c r="N33" s="6">
        <v>4890408</v>
      </c>
      <c r="O33" s="6">
        <v>8</v>
      </c>
      <c r="P33" s="6">
        <v>3069524</v>
      </c>
      <c r="Q33" s="6">
        <v>5009958</v>
      </c>
      <c r="R33" s="6">
        <v>52.2</v>
      </c>
      <c r="S33" s="6">
        <v>3069524</v>
      </c>
      <c r="T33" s="6">
        <v>1605209</v>
      </c>
      <c r="U33" s="6">
        <v>2400524.7000000002</v>
      </c>
      <c r="V33" s="6">
        <v>1</v>
      </c>
      <c r="W33" s="6">
        <v>2</v>
      </c>
      <c r="X33" s="6">
        <v>0</v>
      </c>
    </row>
    <row r="34" spans="1:24" x14ac:dyDescent="0.25">
      <c r="A34" s="6" t="s">
        <v>428</v>
      </c>
      <c r="B34" s="6" t="str">
        <f>VLOOKUP(A34,'[1]SBV Isolates'!$A$2:$B$367,2,FALSE)</f>
        <v>plate04</v>
      </c>
      <c r="C34" s="6">
        <v>8</v>
      </c>
      <c r="D34" s="6">
        <v>8</v>
      </c>
      <c r="E34" s="6">
        <v>8</v>
      </c>
      <c r="F34" s="6">
        <v>7</v>
      </c>
      <c r="G34" s="6">
        <v>7</v>
      </c>
      <c r="H34" s="6">
        <v>3</v>
      </c>
      <c r="I34" s="6">
        <v>4930297</v>
      </c>
      <c r="J34" s="6">
        <v>4930297</v>
      </c>
      <c r="K34" s="6">
        <v>4930297</v>
      </c>
      <c r="L34" s="6">
        <v>4922526</v>
      </c>
      <c r="M34" s="6">
        <v>4922526</v>
      </c>
      <c r="N34" s="6">
        <v>4768417</v>
      </c>
      <c r="O34" s="6">
        <v>8</v>
      </c>
      <c r="P34" s="6">
        <v>3069509</v>
      </c>
      <c r="Q34" s="6">
        <v>4930297</v>
      </c>
      <c r="R34" s="6">
        <v>52.27</v>
      </c>
      <c r="S34" s="6">
        <v>3069509</v>
      </c>
      <c r="T34" s="6">
        <v>1605191</v>
      </c>
      <c r="U34" s="6">
        <v>2436639.2999999998</v>
      </c>
      <c r="V34" s="6">
        <v>1</v>
      </c>
      <c r="W34" s="6">
        <v>2</v>
      </c>
      <c r="X34" s="6">
        <v>0</v>
      </c>
    </row>
    <row r="35" spans="1:24" x14ac:dyDescent="0.25">
      <c r="A35" s="6" t="s">
        <v>445</v>
      </c>
      <c r="B35" s="6" t="str">
        <f>VLOOKUP(A35,'[1]SBV Isolates'!$A$2:$B$367,2,FALSE)</f>
        <v>plate04</v>
      </c>
      <c r="C35" s="6">
        <v>8</v>
      </c>
      <c r="D35" s="6">
        <v>7</v>
      </c>
      <c r="E35" s="6">
        <v>6</v>
      </c>
      <c r="F35" s="6">
        <v>6</v>
      </c>
      <c r="G35" s="6">
        <v>6</v>
      </c>
      <c r="H35" s="6">
        <v>3</v>
      </c>
      <c r="I35" s="6">
        <v>4884050</v>
      </c>
      <c r="J35" s="6">
        <v>4883439</v>
      </c>
      <c r="K35" s="6">
        <v>4879004</v>
      </c>
      <c r="L35" s="6">
        <v>4879004</v>
      </c>
      <c r="M35" s="6">
        <v>4879004</v>
      </c>
      <c r="N35" s="6">
        <v>4768440</v>
      </c>
      <c r="O35" s="6">
        <v>8</v>
      </c>
      <c r="P35" s="6">
        <v>3069541</v>
      </c>
      <c r="Q35" s="6">
        <v>4884050</v>
      </c>
      <c r="R35" s="6">
        <v>52.27</v>
      </c>
      <c r="S35" s="6">
        <v>3069541</v>
      </c>
      <c r="T35" s="6">
        <v>1605195</v>
      </c>
      <c r="U35" s="6">
        <v>2459360</v>
      </c>
      <c r="V35" s="6">
        <v>1</v>
      </c>
      <c r="W35" s="6">
        <v>2</v>
      </c>
      <c r="X35" s="6">
        <v>0</v>
      </c>
    </row>
    <row r="36" spans="1:24" x14ac:dyDescent="0.25">
      <c r="A36" s="6" t="s">
        <v>149</v>
      </c>
      <c r="B36" s="6" t="str">
        <f>VLOOKUP(A36,'[1]SBV Isolates'!$A$2:$B$367,2,FALSE)</f>
        <v>plate01</v>
      </c>
      <c r="C36" s="6">
        <v>7</v>
      </c>
      <c r="D36" s="6">
        <v>7</v>
      </c>
      <c r="E36" s="6">
        <v>6</v>
      </c>
      <c r="F36" s="6">
        <v>6</v>
      </c>
      <c r="G36" s="6">
        <v>6</v>
      </c>
      <c r="H36" s="6">
        <v>3</v>
      </c>
      <c r="I36" s="6">
        <v>4883895</v>
      </c>
      <c r="J36" s="6">
        <v>4883895</v>
      </c>
      <c r="K36" s="6">
        <v>4879316</v>
      </c>
      <c r="L36" s="6">
        <v>4879316</v>
      </c>
      <c r="M36" s="6">
        <v>4879316</v>
      </c>
      <c r="N36" s="6">
        <v>4768433</v>
      </c>
      <c r="O36" s="6">
        <v>7</v>
      </c>
      <c r="P36" s="6">
        <v>3069542</v>
      </c>
      <c r="Q36" s="6">
        <v>4883895</v>
      </c>
      <c r="R36" s="6">
        <v>52.27</v>
      </c>
      <c r="S36" s="6">
        <v>3069542</v>
      </c>
      <c r="T36" s="6">
        <v>1605187</v>
      </c>
      <c r="U36" s="6">
        <v>2459438.7999999998</v>
      </c>
      <c r="V36" s="6">
        <v>1</v>
      </c>
      <c r="W36" s="6">
        <v>2</v>
      </c>
      <c r="X36" s="6">
        <v>0</v>
      </c>
    </row>
    <row r="37" spans="1:24" x14ac:dyDescent="0.25">
      <c r="A37" s="6" t="s">
        <v>150</v>
      </c>
      <c r="B37" s="6" t="str">
        <f>VLOOKUP(A37,'[1]SBV Isolates'!$A$2:$B$367,2,FALSE)</f>
        <v>plate01</v>
      </c>
      <c r="C37" s="6">
        <v>7</v>
      </c>
      <c r="D37" s="6">
        <v>7</v>
      </c>
      <c r="E37" s="6">
        <v>7</v>
      </c>
      <c r="F37" s="6">
        <v>6</v>
      </c>
      <c r="G37" s="6">
        <v>6</v>
      </c>
      <c r="H37" s="6">
        <v>3</v>
      </c>
      <c r="I37" s="6">
        <v>4888161</v>
      </c>
      <c r="J37" s="6">
        <v>4888161</v>
      </c>
      <c r="K37" s="6">
        <v>4888161</v>
      </c>
      <c r="L37" s="6">
        <v>4880552</v>
      </c>
      <c r="M37" s="6">
        <v>4880552</v>
      </c>
      <c r="N37" s="6">
        <v>4768376</v>
      </c>
      <c r="O37" s="6">
        <v>7</v>
      </c>
      <c r="P37" s="6">
        <v>3069480</v>
      </c>
      <c r="Q37" s="6">
        <v>4888161</v>
      </c>
      <c r="R37" s="6">
        <v>52.27</v>
      </c>
      <c r="S37" s="6">
        <v>3069480</v>
      </c>
      <c r="T37" s="6">
        <v>1605201</v>
      </c>
      <c r="U37" s="6">
        <v>2457252.4</v>
      </c>
      <c r="V37" s="6">
        <v>1</v>
      </c>
      <c r="W37" s="6">
        <v>2</v>
      </c>
      <c r="X37" s="6">
        <v>0</v>
      </c>
    </row>
    <row r="38" spans="1:24" x14ac:dyDescent="0.25">
      <c r="A38" s="6" t="s">
        <v>153</v>
      </c>
      <c r="B38" s="6" t="str">
        <f>VLOOKUP(A38,'[1]SBV Isolates'!$A$2:$B$367,2,FALSE)</f>
        <v>plate03</v>
      </c>
      <c r="C38" s="6">
        <v>7</v>
      </c>
      <c r="D38" s="6">
        <v>7</v>
      </c>
      <c r="E38" s="6">
        <v>7</v>
      </c>
      <c r="F38" s="6">
        <v>6</v>
      </c>
      <c r="G38" s="6">
        <v>6</v>
      </c>
      <c r="H38" s="6">
        <v>3</v>
      </c>
      <c r="I38" s="6">
        <v>4887940</v>
      </c>
      <c r="J38" s="6">
        <v>4887940</v>
      </c>
      <c r="K38" s="6">
        <v>4887940</v>
      </c>
      <c r="L38" s="6">
        <v>4879657</v>
      </c>
      <c r="M38" s="6">
        <v>4879657</v>
      </c>
      <c r="N38" s="6">
        <v>4768423</v>
      </c>
      <c r="O38" s="6">
        <v>7</v>
      </c>
      <c r="P38" s="6">
        <v>3069532</v>
      </c>
      <c r="Q38" s="6">
        <v>4887940</v>
      </c>
      <c r="R38" s="6">
        <v>52.26</v>
      </c>
      <c r="S38" s="6">
        <v>3069532</v>
      </c>
      <c r="T38" s="6">
        <v>1605188</v>
      </c>
      <c r="U38" s="6">
        <v>2457406.2000000002</v>
      </c>
      <c r="V38" s="6">
        <v>1</v>
      </c>
      <c r="W38" s="6">
        <v>2</v>
      </c>
      <c r="X38" s="6">
        <v>0</v>
      </c>
    </row>
    <row r="39" spans="1:24" x14ac:dyDescent="0.25">
      <c r="A39" s="6" t="s">
        <v>155</v>
      </c>
      <c r="B39" s="6" t="str">
        <f>VLOOKUP(A39,'[1]SBV Isolates'!$A$2:$B$367,2,FALSE)</f>
        <v>plate01</v>
      </c>
      <c r="C39" s="6">
        <v>7</v>
      </c>
      <c r="D39" s="6">
        <v>7</v>
      </c>
      <c r="E39" s="6">
        <v>7</v>
      </c>
      <c r="F39" s="6">
        <v>6</v>
      </c>
      <c r="G39" s="6">
        <v>6</v>
      </c>
      <c r="H39" s="6">
        <v>3</v>
      </c>
      <c r="I39" s="6">
        <v>4888791</v>
      </c>
      <c r="J39" s="6">
        <v>4888791</v>
      </c>
      <c r="K39" s="6">
        <v>4888791</v>
      </c>
      <c r="L39" s="6">
        <v>4880741</v>
      </c>
      <c r="M39" s="6">
        <v>4880741</v>
      </c>
      <c r="N39" s="6">
        <v>4768447</v>
      </c>
      <c r="O39" s="6">
        <v>7</v>
      </c>
      <c r="P39" s="6">
        <v>3069517</v>
      </c>
      <c r="Q39" s="6">
        <v>4888791</v>
      </c>
      <c r="R39" s="6">
        <v>52.27</v>
      </c>
      <c r="S39" s="6">
        <v>3069517</v>
      </c>
      <c r="T39" s="6">
        <v>1605228</v>
      </c>
      <c r="U39" s="6">
        <v>2457003.4</v>
      </c>
      <c r="V39" s="6">
        <v>1</v>
      </c>
      <c r="W39" s="6">
        <v>2</v>
      </c>
      <c r="X39" s="6">
        <v>0</v>
      </c>
    </row>
    <row r="40" spans="1:24" x14ac:dyDescent="0.25">
      <c r="A40" s="6" t="s">
        <v>157</v>
      </c>
      <c r="B40" s="6" t="str">
        <f>VLOOKUP(A40,'[1]SBV Isolates'!$A$2:$B$367,2,FALSE)</f>
        <v>plate01</v>
      </c>
      <c r="C40" s="6">
        <v>7</v>
      </c>
      <c r="D40" s="6">
        <v>7</v>
      </c>
      <c r="E40" s="6">
        <v>6</v>
      </c>
      <c r="F40" s="6">
        <v>6</v>
      </c>
      <c r="G40" s="6">
        <v>6</v>
      </c>
      <c r="H40" s="6">
        <v>3</v>
      </c>
      <c r="I40" s="6">
        <v>4884217</v>
      </c>
      <c r="J40" s="6">
        <v>4884217</v>
      </c>
      <c r="K40" s="6">
        <v>4879639</v>
      </c>
      <c r="L40" s="6">
        <v>4879639</v>
      </c>
      <c r="M40" s="6">
        <v>4879639</v>
      </c>
      <c r="N40" s="6">
        <v>4768439</v>
      </c>
      <c r="O40" s="6">
        <v>7</v>
      </c>
      <c r="P40" s="6">
        <v>3069541</v>
      </c>
      <c r="Q40" s="6">
        <v>4884217</v>
      </c>
      <c r="R40" s="6">
        <v>52.27</v>
      </c>
      <c r="S40" s="6">
        <v>3069541</v>
      </c>
      <c r="T40" s="6">
        <v>1605203</v>
      </c>
      <c r="U40" s="6">
        <v>2459290</v>
      </c>
      <c r="V40" s="6">
        <v>1</v>
      </c>
      <c r="W40" s="6">
        <v>2</v>
      </c>
      <c r="X40" s="6">
        <v>0</v>
      </c>
    </row>
    <row r="41" spans="1:24" x14ac:dyDescent="0.25">
      <c r="A41" s="6" t="s">
        <v>163</v>
      </c>
      <c r="B41" s="6" t="str">
        <f>VLOOKUP(A41,'[1]SBV Isolates'!$A$2:$B$367,2,FALSE)</f>
        <v>plate01</v>
      </c>
      <c r="C41" s="6">
        <v>7</v>
      </c>
      <c r="D41" s="6">
        <v>7</v>
      </c>
      <c r="E41" s="6">
        <v>6</v>
      </c>
      <c r="F41" s="6">
        <v>5</v>
      </c>
      <c r="G41" s="6">
        <v>5</v>
      </c>
      <c r="H41" s="6">
        <v>3</v>
      </c>
      <c r="I41" s="6">
        <v>4855461</v>
      </c>
      <c r="J41" s="6">
        <v>4855461</v>
      </c>
      <c r="K41" s="6">
        <v>4850881</v>
      </c>
      <c r="L41" s="6">
        <v>4845226</v>
      </c>
      <c r="M41" s="6">
        <v>4845226</v>
      </c>
      <c r="N41" s="6">
        <v>4768462</v>
      </c>
      <c r="O41" s="6">
        <v>7</v>
      </c>
      <c r="P41" s="6">
        <v>3069518</v>
      </c>
      <c r="Q41" s="6">
        <v>4855461</v>
      </c>
      <c r="R41" s="6">
        <v>52.25</v>
      </c>
      <c r="S41" s="6">
        <v>3069518</v>
      </c>
      <c r="T41" s="6">
        <v>1605244</v>
      </c>
      <c r="U41" s="6">
        <v>2473615.5</v>
      </c>
      <c r="V41" s="6">
        <v>1</v>
      </c>
      <c r="W41" s="6">
        <v>2</v>
      </c>
      <c r="X41" s="6">
        <v>0</v>
      </c>
    </row>
    <row r="42" spans="1:24" x14ac:dyDescent="0.25">
      <c r="A42" s="6" t="s">
        <v>168</v>
      </c>
      <c r="B42" s="6" t="str">
        <f>VLOOKUP(A42,'[1]SBV Isolates'!$A$2:$B$367,2,FALSE)</f>
        <v>plate01</v>
      </c>
      <c r="C42" s="6">
        <v>7</v>
      </c>
      <c r="D42" s="6">
        <v>7</v>
      </c>
      <c r="E42" s="6">
        <v>7</v>
      </c>
      <c r="F42" s="6">
        <v>5</v>
      </c>
      <c r="G42" s="6">
        <v>5</v>
      </c>
      <c r="H42" s="6">
        <v>3</v>
      </c>
      <c r="I42" s="6">
        <v>4947455</v>
      </c>
      <c r="J42" s="6">
        <v>4947455</v>
      </c>
      <c r="K42" s="6">
        <v>4947455</v>
      </c>
      <c r="L42" s="6">
        <v>4933942</v>
      </c>
      <c r="M42" s="6">
        <v>4933942</v>
      </c>
      <c r="N42" s="6">
        <v>4864537</v>
      </c>
      <c r="O42" s="6">
        <v>7</v>
      </c>
      <c r="P42" s="6">
        <v>4681476</v>
      </c>
      <c r="Q42" s="6">
        <v>4947455</v>
      </c>
      <c r="R42" s="6">
        <v>52.24</v>
      </c>
      <c r="S42" s="6">
        <v>4681476</v>
      </c>
      <c r="T42" s="6">
        <v>4681476</v>
      </c>
      <c r="U42" s="6">
        <v>4433690.9000000004</v>
      </c>
      <c r="V42" s="6">
        <v>1</v>
      </c>
      <c r="W42" s="6">
        <v>1</v>
      </c>
      <c r="X42" s="6">
        <v>0</v>
      </c>
    </row>
    <row r="43" spans="1:24" x14ac:dyDescent="0.25">
      <c r="A43" s="6" t="s">
        <v>173</v>
      </c>
      <c r="B43" s="6" t="str">
        <f>VLOOKUP(A43,'[1]SBV Isolates'!$A$2:$B$367,2,FALSE)</f>
        <v>plate01</v>
      </c>
      <c r="C43" s="6">
        <v>7</v>
      </c>
      <c r="D43" s="6">
        <v>7</v>
      </c>
      <c r="E43" s="6">
        <v>7</v>
      </c>
      <c r="F43" s="6">
        <v>7</v>
      </c>
      <c r="G43" s="6">
        <v>7</v>
      </c>
      <c r="H43" s="6">
        <v>4</v>
      </c>
      <c r="I43" s="6">
        <v>4878538</v>
      </c>
      <c r="J43" s="6">
        <v>4878538</v>
      </c>
      <c r="K43" s="6">
        <v>4878538</v>
      </c>
      <c r="L43" s="6">
        <v>4878538</v>
      </c>
      <c r="M43" s="6">
        <v>4878538</v>
      </c>
      <c r="N43" s="6">
        <v>4768588</v>
      </c>
      <c r="O43" s="6">
        <v>7</v>
      </c>
      <c r="P43" s="6">
        <v>3069540</v>
      </c>
      <c r="Q43" s="6">
        <v>4878538</v>
      </c>
      <c r="R43" s="6">
        <v>52.27</v>
      </c>
      <c r="S43" s="6">
        <v>3069540</v>
      </c>
      <c r="T43" s="6">
        <v>747647</v>
      </c>
      <c r="U43" s="6">
        <v>2199339.1</v>
      </c>
      <c r="V43" s="6">
        <v>1</v>
      </c>
      <c r="W43" s="6">
        <v>3</v>
      </c>
      <c r="X43" s="6">
        <v>0</v>
      </c>
    </row>
    <row r="44" spans="1:24" x14ac:dyDescent="0.25">
      <c r="A44" s="6" t="s">
        <v>188</v>
      </c>
      <c r="B44" s="6" t="str">
        <f>VLOOKUP(A44,'[1]SBV Isolates'!$A$2:$B$367,2,FALSE)</f>
        <v>plate02</v>
      </c>
      <c r="C44" s="6">
        <v>7</v>
      </c>
      <c r="D44" s="6">
        <v>7</v>
      </c>
      <c r="E44" s="6">
        <v>6</v>
      </c>
      <c r="F44" s="6">
        <v>6</v>
      </c>
      <c r="G44" s="6">
        <v>6</v>
      </c>
      <c r="H44" s="6">
        <v>3</v>
      </c>
      <c r="I44" s="6">
        <v>4883351</v>
      </c>
      <c r="J44" s="6">
        <v>4883351</v>
      </c>
      <c r="K44" s="6">
        <v>4878765</v>
      </c>
      <c r="L44" s="6">
        <v>4878765</v>
      </c>
      <c r="M44" s="6">
        <v>4878765</v>
      </c>
      <c r="N44" s="6">
        <v>4768419</v>
      </c>
      <c r="O44" s="6">
        <v>7</v>
      </c>
      <c r="P44" s="6">
        <v>3069514</v>
      </c>
      <c r="Q44" s="6">
        <v>4883351</v>
      </c>
      <c r="R44" s="6">
        <v>52.27</v>
      </c>
      <c r="S44" s="6">
        <v>3069514</v>
      </c>
      <c r="T44" s="6">
        <v>1605203</v>
      </c>
      <c r="U44" s="6">
        <v>2459680.5</v>
      </c>
      <c r="V44" s="6">
        <v>1</v>
      </c>
      <c r="W44" s="6">
        <v>2</v>
      </c>
      <c r="X44" s="6">
        <v>0</v>
      </c>
    </row>
    <row r="45" spans="1:24" x14ac:dyDescent="0.25">
      <c r="A45" s="6" t="s">
        <v>191</v>
      </c>
      <c r="B45" s="6" t="str">
        <f>VLOOKUP(A45,'[1]SBV Isolates'!$A$2:$B$367,2,FALSE)</f>
        <v>plate02</v>
      </c>
      <c r="C45" s="6">
        <v>7</v>
      </c>
      <c r="D45" s="6">
        <v>7</v>
      </c>
      <c r="E45" s="6">
        <v>7</v>
      </c>
      <c r="F45" s="6">
        <v>6</v>
      </c>
      <c r="G45" s="6">
        <v>6</v>
      </c>
      <c r="H45" s="6">
        <v>4</v>
      </c>
      <c r="I45" s="6">
        <v>4825027</v>
      </c>
      <c r="J45" s="6">
        <v>4825027</v>
      </c>
      <c r="K45" s="6">
        <v>4825027</v>
      </c>
      <c r="L45" s="6">
        <v>4816981</v>
      </c>
      <c r="M45" s="6">
        <v>4816981</v>
      </c>
      <c r="N45" s="6">
        <v>4744159</v>
      </c>
      <c r="O45" s="6">
        <v>7</v>
      </c>
      <c r="P45" s="6">
        <v>1605244</v>
      </c>
      <c r="Q45" s="6">
        <v>4825027</v>
      </c>
      <c r="R45" s="6">
        <v>52.26</v>
      </c>
      <c r="S45" s="6">
        <v>1591857</v>
      </c>
      <c r="T45" s="6">
        <v>1453359</v>
      </c>
      <c r="U45" s="6">
        <v>1499383.6</v>
      </c>
      <c r="V45" s="6">
        <v>2</v>
      </c>
      <c r="W45" s="6">
        <v>3</v>
      </c>
      <c r="X45" s="6">
        <v>0</v>
      </c>
    </row>
    <row r="46" spans="1:24" x14ac:dyDescent="0.25">
      <c r="A46" s="6" t="s">
        <v>206</v>
      </c>
      <c r="B46" s="6" t="str">
        <f>VLOOKUP(A46,'[1]SBV Isolates'!$A$2:$B$367,2,FALSE)</f>
        <v>plate02</v>
      </c>
      <c r="C46" s="6">
        <v>7</v>
      </c>
      <c r="D46" s="6">
        <v>7</v>
      </c>
      <c r="E46" s="6">
        <v>7</v>
      </c>
      <c r="F46" s="6">
        <v>6</v>
      </c>
      <c r="G46" s="6">
        <v>6</v>
      </c>
      <c r="H46" s="6">
        <v>3</v>
      </c>
      <c r="I46" s="6">
        <v>4887429</v>
      </c>
      <c r="J46" s="6">
        <v>4887429</v>
      </c>
      <c r="K46" s="6">
        <v>4887429</v>
      </c>
      <c r="L46" s="6">
        <v>4879631</v>
      </c>
      <c r="M46" s="6">
        <v>4879631</v>
      </c>
      <c r="N46" s="6">
        <v>4768468</v>
      </c>
      <c r="O46" s="6">
        <v>7</v>
      </c>
      <c r="P46" s="6">
        <v>3069540</v>
      </c>
      <c r="Q46" s="6">
        <v>4887429</v>
      </c>
      <c r="R46" s="6">
        <v>52.26</v>
      </c>
      <c r="S46" s="6">
        <v>3069540</v>
      </c>
      <c r="T46" s="6">
        <v>1605229</v>
      </c>
      <c r="U46" s="6">
        <v>2457697.2000000002</v>
      </c>
      <c r="V46" s="6">
        <v>1</v>
      </c>
      <c r="W46" s="6">
        <v>2</v>
      </c>
      <c r="X46" s="6">
        <v>0</v>
      </c>
    </row>
    <row r="47" spans="1:24" x14ac:dyDescent="0.25">
      <c r="A47" s="6" t="s">
        <v>215</v>
      </c>
      <c r="B47" s="6" t="str">
        <f>VLOOKUP(A47,'[1]SBV Isolates'!$A$2:$B$367,2,FALSE)</f>
        <v>plate02</v>
      </c>
      <c r="C47" s="6">
        <v>7</v>
      </c>
      <c r="D47" s="6">
        <v>7</v>
      </c>
      <c r="E47" s="6">
        <v>6</v>
      </c>
      <c r="F47" s="6">
        <v>5</v>
      </c>
      <c r="G47" s="6">
        <v>5</v>
      </c>
      <c r="H47" s="6">
        <v>4</v>
      </c>
      <c r="I47" s="6">
        <v>4907727</v>
      </c>
      <c r="J47" s="6">
        <v>4907727</v>
      </c>
      <c r="K47" s="6">
        <v>4903661</v>
      </c>
      <c r="L47" s="6">
        <v>4895610</v>
      </c>
      <c r="M47" s="6">
        <v>4895610</v>
      </c>
      <c r="N47" s="6">
        <v>4860089</v>
      </c>
      <c r="O47" s="6">
        <v>7</v>
      </c>
      <c r="P47" s="6">
        <v>3069532</v>
      </c>
      <c r="Q47" s="6">
        <v>4907727</v>
      </c>
      <c r="R47" s="6">
        <v>52.22</v>
      </c>
      <c r="S47" s="6">
        <v>3069532</v>
      </c>
      <c r="T47" s="6">
        <v>1605188</v>
      </c>
      <c r="U47" s="6">
        <v>2448624.6</v>
      </c>
      <c r="V47" s="6">
        <v>1</v>
      </c>
      <c r="W47" s="6">
        <v>2</v>
      </c>
      <c r="X47" s="6">
        <v>0</v>
      </c>
    </row>
    <row r="48" spans="1:24" x14ac:dyDescent="0.25">
      <c r="A48" s="6" t="s">
        <v>218</v>
      </c>
      <c r="B48" s="6" t="str">
        <f>VLOOKUP(A48,'[1]SBV Isolates'!$A$2:$B$367,2,FALSE)</f>
        <v>plate02</v>
      </c>
      <c r="C48" s="6">
        <v>7</v>
      </c>
      <c r="D48" s="6">
        <v>7</v>
      </c>
      <c r="E48" s="6">
        <v>6</v>
      </c>
      <c r="F48" s="6">
        <v>6</v>
      </c>
      <c r="G48" s="6">
        <v>6</v>
      </c>
      <c r="H48" s="6">
        <v>5</v>
      </c>
      <c r="I48" s="6">
        <v>4811091</v>
      </c>
      <c r="J48" s="6">
        <v>4811091</v>
      </c>
      <c r="K48" s="6">
        <v>4806514</v>
      </c>
      <c r="L48" s="6">
        <v>4806514</v>
      </c>
      <c r="M48" s="6">
        <v>4806514</v>
      </c>
      <c r="N48" s="6">
        <v>4770896</v>
      </c>
      <c r="O48" s="6">
        <v>7</v>
      </c>
      <c r="P48" s="6">
        <v>1605198</v>
      </c>
      <c r="Q48" s="6">
        <v>4811091</v>
      </c>
      <c r="R48" s="6">
        <v>52.27</v>
      </c>
      <c r="S48" s="6">
        <v>1496839</v>
      </c>
      <c r="T48" s="6">
        <v>1425303</v>
      </c>
      <c r="U48" s="6">
        <v>1430278.8</v>
      </c>
      <c r="V48" s="6">
        <v>2</v>
      </c>
      <c r="W48" s="6">
        <v>3</v>
      </c>
      <c r="X48" s="6">
        <v>0</v>
      </c>
    </row>
    <row r="49" spans="1:24" x14ac:dyDescent="0.25">
      <c r="A49" s="6" t="s">
        <v>220</v>
      </c>
      <c r="B49" s="6" t="str">
        <f>VLOOKUP(A49,'[1]SBV Isolates'!$A$2:$B$367,2,FALSE)</f>
        <v>plate02</v>
      </c>
      <c r="C49" s="6">
        <v>7</v>
      </c>
      <c r="D49" s="6">
        <v>7</v>
      </c>
      <c r="E49" s="6">
        <v>6</v>
      </c>
      <c r="F49" s="6">
        <v>6</v>
      </c>
      <c r="G49" s="6">
        <v>6</v>
      </c>
      <c r="H49" s="6">
        <v>3</v>
      </c>
      <c r="I49" s="6">
        <v>4883577</v>
      </c>
      <c r="J49" s="6">
        <v>4883577</v>
      </c>
      <c r="K49" s="6">
        <v>4878988</v>
      </c>
      <c r="L49" s="6">
        <v>4878988</v>
      </c>
      <c r="M49" s="6">
        <v>4878988</v>
      </c>
      <c r="N49" s="6">
        <v>4768423</v>
      </c>
      <c r="O49" s="6">
        <v>7</v>
      </c>
      <c r="P49" s="6">
        <v>2961858</v>
      </c>
      <c r="Q49" s="6">
        <v>4883577</v>
      </c>
      <c r="R49" s="6">
        <v>52.27</v>
      </c>
      <c r="S49" s="6">
        <v>2961858</v>
      </c>
      <c r="T49" s="6">
        <v>1712872</v>
      </c>
      <c r="U49" s="6">
        <v>2399765</v>
      </c>
      <c r="V49" s="6">
        <v>1</v>
      </c>
      <c r="W49" s="6">
        <v>2</v>
      </c>
      <c r="X49" s="6">
        <v>0</v>
      </c>
    </row>
    <row r="50" spans="1:24" x14ac:dyDescent="0.25">
      <c r="A50" s="6" t="s">
        <v>223</v>
      </c>
      <c r="B50" s="6" t="str">
        <f>VLOOKUP(A50,'[1]SBV Isolates'!$A$2:$B$367,2,FALSE)</f>
        <v>plate02</v>
      </c>
      <c r="C50" s="6">
        <v>7</v>
      </c>
      <c r="D50" s="6">
        <v>7</v>
      </c>
      <c r="E50" s="6">
        <v>6</v>
      </c>
      <c r="F50" s="6">
        <v>6</v>
      </c>
      <c r="G50" s="6">
        <v>6</v>
      </c>
      <c r="H50" s="6">
        <v>3</v>
      </c>
      <c r="I50" s="6">
        <v>4883108</v>
      </c>
      <c r="J50" s="6">
        <v>4883108</v>
      </c>
      <c r="K50" s="6">
        <v>4878527</v>
      </c>
      <c r="L50" s="6">
        <v>4878527</v>
      </c>
      <c r="M50" s="6">
        <v>4878527</v>
      </c>
      <c r="N50" s="6">
        <v>4768410</v>
      </c>
      <c r="O50" s="6">
        <v>7</v>
      </c>
      <c r="P50" s="6">
        <v>3069532</v>
      </c>
      <c r="Q50" s="6">
        <v>4883108</v>
      </c>
      <c r="R50" s="6">
        <v>52.27</v>
      </c>
      <c r="S50" s="6">
        <v>3069532</v>
      </c>
      <c r="T50" s="6">
        <v>1605174</v>
      </c>
      <c r="U50" s="6">
        <v>2459803.4</v>
      </c>
      <c r="V50" s="6">
        <v>1</v>
      </c>
      <c r="W50" s="6">
        <v>2</v>
      </c>
      <c r="X50" s="6">
        <v>0</v>
      </c>
    </row>
    <row r="51" spans="1:24" x14ac:dyDescent="0.25">
      <c r="A51" s="6" t="s">
        <v>224</v>
      </c>
      <c r="B51" s="6" t="str">
        <f>VLOOKUP(A51,'[1]SBV Isolates'!$A$2:$B$367,2,FALSE)</f>
        <v>plate02</v>
      </c>
      <c r="C51" s="6">
        <v>7</v>
      </c>
      <c r="D51" s="6">
        <v>7</v>
      </c>
      <c r="E51" s="6">
        <v>7</v>
      </c>
      <c r="F51" s="6">
        <v>6</v>
      </c>
      <c r="G51" s="6">
        <v>6</v>
      </c>
      <c r="H51" s="6">
        <v>3</v>
      </c>
      <c r="I51" s="6">
        <v>4887640</v>
      </c>
      <c r="J51" s="6">
        <v>4887640</v>
      </c>
      <c r="K51" s="6">
        <v>4887640</v>
      </c>
      <c r="L51" s="6">
        <v>4879567</v>
      </c>
      <c r="M51" s="6">
        <v>4879567</v>
      </c>
      <c r="N51" s="6">
        <v>4768462</v>
      </c>
      <c r="O51" s="6">
        <v>7</v>
      </c>
      <c r="P51" s="6">
        <v>3069517</v>
      </c>
      <c r="Q51" s="6">
        <v>4887640</v>
      </c>
      <c r="R51" s="6">
        <v>52.27</v>
      </c>
      <c r="S51" s="6">
        <v>3069517</v>
      </c>
      <c r="T51" s="6">
        <v>1605244</v>
      </c>
      <c r="U51" s="6">
        <v>2457572.2999999998</v>
      </c>
      <c r="V51" s="6">
        <v>1</v>
      </c>
      <c r="W51" s="6">
        <v>2</v>
      </c>
      <c r="X51" s="6">
        <v>0</v>
      </c>
    </row>
    <row r="52" spans="1:24" x14ac:dyDescent="0.25">
      <c r="A52" s="6" t="s">
        <v>225</v>
      </c>
      <c r="B52" s="6" t="str">
        <f>VLOOKUP(A52,'[1]SBV Isolates'!$A$2:$B$367,2,FALSE)</f>
        <v>plate02</v>
      </c>
      <c r="C52" s="6">
        <v>7</v>
      </c>
      <c r="D52" s="6">
        <v>7</v>
      </c>
      <c r="E52" s="6">
        <v>7</v>
      </c>
      <c r="F52" s="6">
        <v>6</v>
      </c>
      <c r="G52" s="6">
        <v>6</v>
      </c>
      <c r="H52" s="6">
        <v>3</v>
      </c>
      <c r="I52" s="6">
        <v>4884287</v>
      </c>
      <c r="J52" s="6">
        <v>4884287</v>
      </c>
      <c r="K52" s="6">
        <v>4884287</v>
      </c>
      <c r="L52" s="6">
        <v>4878951</v>
      </c>
      <c r="M52" s="6">
        <v>4878951</v>
      </c>
      <c r="N52" s="6">
        <v>4767898</v>
      </c>
      <c r="O52" s="6">
        <v>7</v>
      </c>
      <c r="P52" s="6">
        <v>3069291</v>
      </c>
      <c r="Q52" s="6">
        <v>4884287</v>
      </c>
      <c r="R52" s="6">
        <v>52.25</v>
      </c>
      <c r="S52" s="6">
        <v>3069291</v>
      </c>
      <c r="T52" s="6">
        <v>1605244</v>
      </c>
      <c r="U52" s="6">
        <v>2458954.2000000002</v>
      </c>
      <c r="V52" s="6">
        <v>1</v>
      </c>
      <c r="W52" s="6">
        <v>2</v>
      </c>
      <c r="X52" s="6">
        <v>0</v>
      </c>
    </row>
    <row r="53" spans="1:24" x14ac:dyDescent="0.25">
      <c r="A53" s="6" t="s">
        <v>228</v>
      </c>
      <c r="B53" s="6" t="str">
        <f>VLOOKUP(A53,'[1]SBV Isolates'!$A$2:$B$367,2,FALSE)</f>
        <v>plate02</v>
      </c>
      <c r="C53" s="6">
        <v>7</v>
      </c>
      <c r="D53" s="6">
        <v>7</v>
      </c>
      <c r="E53" s="6">
        <v>6</v>
      </c>
      <c r="F53" s="6">
        <v>6</v>
      </c>
      <c r="G53" s="6">
        <v>6</v>
      </c>
      <c r="H53" s="6">
        <v>3</v>
      </c>
      <c r="I53" s="6">
        <v>4884203</v>
      </c>
      <c r="J53" s="6">
        <v>4884203</v>
      </c>
      <c r="K53" s="6">
        <v>4879621</v>
      </c>
      <c r="L53" s="6">
        <v>4879621</v>
      </c>
      <c r="M53" s="6">
        <v>4879621</v>
      </c>
      <c r="N53" s="6">
        <v>4768455</v>
      </c>
      <c r="O53" s="6">
        <v>7</v>
      </c>
      <c r="P53" s="6">
        <v>3069515</v>
      </c>
      <c r="Q53" s="6">
        <v>4884203</v>
      </c>
      <c r="R53" s="6">
        <v>52.27</v>
      </c>
      <c r="S53" s="6">
        <v>3069515</v>
      </c>
      <c r="T53" s="6">
        <v>1605244</v>
      </c>
      <c r="U53" s="6">
        <v>2459290.7999999998</v>
      </c>
      <c r="V53" s="6">
        <v>1</v>
      </c>
      <c r="W53" s="6">
        <v>2</v>
      </c>
      <c r="X53" s="6">
        <v>0</v>
      </c>
    </row>
    <row r="54" spans="1:24" x14ac:dyDescent="0.25">
      <c r="A54" s="6" t="s">
        <v>229</v>
      </c>
      <c r="B54" s="6" t="str">
        <f>VLOOKUP(A54,'[1]SBV Isolates'!$A$2:$B$367,2,FALSE)</f>
        <v>plate02</v>
      </c>
      <c r="C54" s="6">
        <v>7</v>
      </c>
      <c r="D54" s="6">
        <v>7</v>
      </c>
      <c r="E54" s="6">
        <v>7</v>
      </c>
      <c r="F54" s="6">
        <v>6</v>
      </c>
      <c r="G54" s="6">
        <v>6</v>
      </c>
      <c r="H54" s="6">
        <v>3</v>
      </c>
      <c r="I54" s="6">
        <v>4886526</v>
      </c>
      <c r="J54" s="6">
        <v>4886526</v>
      </c>
      <c r="K54" s="6">
        <v>4886526</v>
      </c>
      <c r="L54" s="6">
        <v>4878787</v>
      </c>
      <c r="M54" s="6">
        <v>4878787</v>
      </c>
      <c r="N54" s="6">
        <v>4768347</v>
      </c>
      <c r="O54" s="6">
        <v>7</v>
      </c>
      <c r="P54" s="6">
        <v>3069410</v>
      </c>
      <c r="Q54" s="6">
        <v>4886526</v>
      </c>
      <c r="R54" s="6">
        <v>52.27</v>
      </c>
      <c r="S54" s="6">
        <v>3069410</v>
      </c>
      <c r="T54" s="6">
        <v>1605229</v>
      </c>
      <c r="U54" s="6">
        <v>2457978.2000000002</v>
      </c>
      <c r="V54" s="6">
        <v>1</v>
      </c>
      <c r="W54" s="6">
        <v>2</v>
      </c>
      <c r="X54" s="6">
        <v>0</v>
      </c>
    </row>
    <row r="55" spans="1:24" x14ac:dyDescent="0.25">
      <c r="A55" s="6" t="s">
        <v>236</v>
      </c>
      <c r="B55" s="6" t="str">
        <f>VLOOKUP(A55,'[1]SBV Isolates'!$A$2:$B$367,2,FALSE)</f>
        <v>plate02</v>
      </c>
      <c r="C55" s="6">
        <v>7</v>
      </c>
      <c r="D55" s="6">
        <v>7</v>
      </c>
      <c r="E55" s="6">
        <v>6</v>
      </c>
      <c r="F55" s="6">
        <v>6</v>
      </c>
      <c r="G55" s="6">
        <v>6</v>
      </c>
      <c r="H55" s="6">
        <v>3</v>
      </c>
      <c r="I55" s="6">
        <v>4883869</v>
      </c>
      <c r="J55" s="6">
        <v>4883869</v>
      </c>
      <c r="K55" s="6">
        <v>4879292</v>
      </c>
      <c r="L55" s="6">
        <v>4879292</v>
      </c>
      <c r="M55" s="6">
        <v>4879292</v>
      </c>
      <c r="N55" s="6">
        <v>4768402</v>
      </c>
      <c r="O55" s="6">
        <v>7</v>
      </c>
      <c r="P55" s="6">
        <v>3069533</v>
      </c>
      <c r="Q55" s="6">
        <v>4883869</v>
      </c>
      <c r="R55" s="6">
        <v>52.27</v>
      </c>
      <c r="S55" s="6">
        <v>3069533</v>
      </c>
      <c r="T55" s="6">
        <v>1605203</v>
      </c>
      <c r="U55" s="6">
        <v>2459449.7000000002</v>
      </c>
      <c r="V55" s="6">
        <v>1</v>
      </c>
      <c r="W55" s="6">
        <v>2</v>
      </c>
      <c r="X55" s="6">
        <v>0</v>
      </c>
    </row>
    <row r="56" spans="1:24" x14ac:dyDescent="0.25">
      <c r="A56" s="6" t="s">
        <v>238</v>
      </c>
      <c r="B56" s="6" t="str">
        <f>VLOOKUP(A56,'[1]SBV Isolates'!$A$2:$B$367,2,FALSE)</f>
        <v>plate02</v>
      </c>
      <c r="C56" s="6">
        <v>7</v>
      </c>
      <c r="D56" s="6">
        <v>7</v>
      </c>
      <c r="E56" s="6">
        <v>7</v>
      </c>
      <c r="F56" s="6">
        <v>6</v>
      </c>
      <c r="G56" s="6">
        <v>6</v>
      </c>
      <c r="H56" s="6">
        <v>3</v>
      </c>
      <c r="I56" s="6">
        <v>4886531</v>
      </c>
      <c r="J56" s="6">
        <v>4886531</v>
      </c>
      <c r="K56" s="6">
        <v>4886531</v>
      </c>
      <c r="L56" s="6">
        <v>4878882</v>
      </c>
      <c r="M56" s="6">
        <v>4878882</v>
      </c>
      <c r="N56" s="6">
        <v>4768438</v>
      </c>
      <c r="O56" s="6">
        <v>7</v>
      </c>
      <c r="P56" s="6">
        <v>3069532</v>
      </c>
      <c r="Q56" s="6">
        <v>4886531</v>
      </c>
      <c r="R56" s="6">
        <v>52.26</v>
      </c>
      <c r="S56" s="6">
        <v>3069532</v>
      </c>
      <c r="T56" s="6">
        <v>1605203</v>
      </c>
      <c r="U56" s="6">
        <v>2458111.6</v>
      </c>
      <c r="V56" s="6">
        <v>1</v>
      </c>
      <c r="W56" s="6">
        <v>2</v>
      </c>
      <c r="X56" s="6">
        <v>0</v>
      </c>
    </row>
    <row r="57" spans="1:24" x14ac:dyDescent="0.25">
      <c r="A57" s="6" t="s">
        <v>241</v>
      </c>
      <c r="B57" s="6" t="str">
        <f>VLOOKUP(A57,'[1]SBV Isolates'!$A$2:$B$367,2,FALSE)</f>
        <v>plate02</v>
      </c>
      <c r="C57" s="6">
        <v>7</v>
      </c>
      <c r="D57" s="6">
        <v>7</v>
      </c>
      <c r="E57" s="6">
        <v>6</v>
      </c>
      <c r="F57" s="6">
        <v>6</v>
      </c>
      <c r="G57" s="6">
        <v>6</v>
      </c>
      <c r="H57" s="6">
        <v>3</v>
      </c>
      <c r="I57" s="6">
        <v>4883600</v>
      </c>
      <c r="J57" s="6">
        <v>4883600</v>
      </c>
      <c r="K57" s="6">
        <v>4879029</v>
      </c>
      <c r="L57" s="6">
        <v>4879029</v>
      </c>
      <c r="M57" s="6">
        <v>4879029</v>
      </c>
      <c r="N57" s="6">
        <v>4768448</v>
      </c>
      <c r="O57" s="6">
        <v>7</v>
      </c>
      <c r="P57" s="6">
        <v>3069500</v>
      </c>
      <c r="Q57" s="6">
        <v>4883600</v>
      </c>
      <c r="R57" s="6">
        <v>52.27</v>
      </c>
      <c r="S57" s="6">
        <v>3069500</v>
      </c>
      <c r="T57" s="6">
        <v>1605250</v>
      </c>
      <c r="U57" s="6">
        <v>2459571.5</v>
      </c>
      <c r="V57" s="6">
        <v>1</v>
      </c>
      <c r="W57" s="6">
        <v>2</v>
      </c>
      <c r="X57" s="6">
        <v>0</v>
      </c>
    </row>
    <row r="58" spans="1:24" x14ac:dyDescent="0.25">
      <c r="A58" s="6" t="s">
        <v>247</v>
      </c>
      <c r="B58" s="6" t="str">
        <f>VLOOKUP(A58,'[1]SBV Isolates'!$A$2:$B$367,2,FALSE)</f>
        <v>plate02</v>
      </c>
      <c r="C58" s="6">
        <v>7</v>
      </c>
      <c r="D58" s="6">
        <v>7</v>
      </c>
      <c r="E58" s="6">
        <v>6</v>
      </c>
      <c r="F58" s="6">
        <v>6</v>
      </c>
      <c r="G58" s="6">
        <v>6</v>
      </c>
      <c r="H58" s="6">
        <v>3</v>
      </c>
      <c r="I58" s="6">
        <v>4883887</v>
      </c>
      <c r="J58" s="6">
        <v>4883887</v>
      </c>
      <c r="K58" s="6">
        <v>4879296</v>
      </c>
      <c r="L58" s="6">
        <v>4879296</v>
      </c>
      <c r="M58" s="6">
        <v>4879296</v>
      </c>
      <c r="N58" s="6">
        <v>4768287</v>
      </c>
      <c r="O58" s="6">
        <v>7</v>
      </c>
      <c r="P58" s="6">
        <v>3069330</v>
      </c>
      <c r="Q58" s="6">
        <v>4883887</v>
      </c>
      <c r="R58" s="6">
        <v>52.27</v>
      </c>
      <c r="S58" s="6">
        <v>3069330</v>
      </c>
      <c r="T58" s="6">
        <v>1605250</v>
      </c>
      <c r="U58" s="6">
        <v>2459219.6</v>
      </c>
      <c r="V58" s="6">
        <v>1</v>
      </c>
      <c r="W58" s="6">
        <v>2</v>
      </c>
      <c r="X58" s="6">
        <v>0</v>
      </c>
    </row>
    <row r="59" spans="1:24" x14ac:dyDescent="0.25">
      <c r="A59" s="6" t="s">
        <v>250</v>
      </c>
      <c r="B59" s="6" t="str">
        <f>VLOOKUP(A59,'[1]SBV Isolates'!$A$2:$B$367,2,FALSE)</f>
        <v>plate03</v>
      </c>
      <c r="C59" s="6">
        <v>7</v>
      </c>
      <c r="D59" s="6">
        <v>7</v>
      </c>
      <c r="E59" s="6">
        <v>7</v>
      </c>
      <c r="F59" s="6">
        <v>6</v>
      </c>
      <c r="G59" s="6">
        <v>6</v>
      </c>
      <c r="H59" s="6">
        <v>3</v>
      </c>
      <c r="I59" s="6">
        <v>4888737</v>
      </c>
      <c r="J59" s="6">
        <v>4888737</v>
      </c>
      <c r="K59" s="6">
        <v>4888737</v>
      </c>
      <c r="L59" s="6">
        <v>4880537</v>
      </c>
      <c r="M59" s="6">
        <v>4880537</v>
      </c>
      <c r="N59" s="6">
        <v>4768434</v>
      </c>
      <c r="O59" s="6">
        <v>7</v>
      </c>
      <c r="P59" s="6">
        <v>3069542</v>
      </c>
      <c r="Q59" s="6">
        <v>4888737</v>
      </c>
      <c r="R59" s="6">
        <v>52.27</v>
      </c>
      <c r="S59" s="6">
        <v>3069542</v>
      </c>
      <c r="T59" s="6">
        <v>1605202</v>
      </c>
      <c r="U59" s="6">
        <v>2457042.1</v>
      </c>
      <c r="V59" s="6">
        <v>1</v>
      </c>
      <c r="W59" s="6">
        <v>2</v>
      </c>
      <c r="X59" s="6">
        <v>0</v>
      </c>
    </row>
    <row r="60" spans="1:24" x14ac:dyDescent="0.25">
      <c r="A60" s="6" t="s">
        <v>258</v>
      </c>
      <c r="B60" s="6" t="str">
        <f>VLOOKUP(A60,'[1]SBV Isolates'!$A$2:$B$367,2,FALSE)</f>
        <v>plate02</v>
      </c>
      <c r="C60" s="6">
        <v>7</v>
      </c>
      <c r="D60" s="6">
        <v>7</v>
      </c>
      <c r="E60" s="6">
        <v>7</v>
      </c>
      <c r="F60" s="6">
        <v>6</v>
      </c>
      <c r="G60" s="6">
        <v>6</v>
      </c>
      <c r="H60" s="6">
        <v>3</v>
      </c>
      <c r="I60" s="6">
        <v>4887440</v>
      </c>
      <c r="J60" s="6">
        <v>4887440</v>
      </c>
      <c r="K60" s="6">
        <v>4887440</v>
      </c>
      <c r="L60" s="6">
        <v>4879416</v>
      </c>
      <c r="M60" s="6">
        <v>4879416</v>
      </c>
      <c r="N60" s="6">
        <v>4768428</v>
      </c>
      <c r="O60" s="6">
        <v>7</v>
      </c>
      <c r="P60" s="6">
        <v>3069478</v>
      </c>
      <c r="Q60" s="6">
        <v>4887440</v>
      </c>
      <c r="R60" s="6">
        <v>52.26</v>
      </c>
      <c r="S60" s="6">
        <v>3069478</v>
      </c>
      <c r="T60" s="6">
        <v>1605244</v>
      </c>
      <c r="U60" s="6">
        <v>2457622.2999999998</v>
      </c>
      <c r="V60" s="6">
        <v>1</v>
      </c>
      <c r="W60" s="6">
        <v>2</v>
      </c>
      <c r="X60" s="6">
        <v>0</v>
      </c>
    </row>
    <row r="61" spans="1:24" x14ac:dyDescent="0.25">
      <c r="A61" s="6" t="s">
        <v>260</v>
      </c>
      <c r="B61" s="6" t="str">
        <f>VLOOKUP(A61,'[1]SBV Isolates'!$A$2:$B$367,2,FALSE)</f>
        <v>plate02</v>
      </c>
      <c r="C61" s="6">
        <v>7</v>
      </c>
      <c r="D61" s="6">
        <v>7</v>
      </c>
      <c r="E61" s="6">
        <v>6</v>
      </c>
      <c r="F61" s="6">
        <v>6</v>
      </c>
      <c r="G61" s="6">
        <v>6</v>
      </c>
      <c r="H61" s="6">
        <v>3</v>
      </c>
      <c r="I61" s="6">
        <v>4883933</v>
      </c>
      <c r="J61" s="6">
        <v>4883933</v>
      </c>
      <c r="K61" s="6">
        <v>4879363</v>
      </c>
      <c r="L61" s="6">
        <v>4879363</v>
      </c>
      <c r="M61" s="6">
        <v>4879363</v>
      </c>
      <c r="N61" s="6">
        <v>4768425</v>
      </c>
      <c r="O61" s="6">
        <v>7</v>
      </c>
      <c r="P61" s="6">
        <v>3069527</v>
      </c>
      <c r="Q61" s="6">
        <v>4883933</v>
      </c>
      <c r="R61" s="6">
        <v>52.27</v>
      </c>
      <c r="S61" s="6">
        <v>3069527</v>
      </c>
      <c r="T61" s="6">
        <v>1605194</v>
      </c>
      <c r="U61" s="6">
        <v>2459405.7999999998</v>
      </c>
      <c r="V61" s="6">
        <v>1</v>
      </c>
      <c r="W61" s="6">
        <v>2</v>
      </c>
      <c r="X61" s="6">
        <v>0</v>
      </c>
    </row>
    <row r="62" spans="1:24" x14ac:dyDescent="0.25">
      <c r="A62" s="6" t="s">
        <v>269</v>
      </c>
      <c r="B62" s="6" t="str">
        <f>VLOOKUP(A62,'[1]SBV Isolates'!$A$2:$B$367,2,FALSE)</f>
        <v>plate02</v>
      </c>
      <c r="C62" s="6">
        <v>7</v>
      </c>
      <c r="D62" s="6">
        <v>7</v>
      </c>
      <c r="E62" s="6">
        <v>7</v>
      </c>
      <c r="F62" s="6">
        <v>6</v>
      </c>
      <c r="G62" s="6">
        <v>6</v>
      </c>
      <c r="H62" s="6">
        <v>3</v>
      </c>
      <c r="I62" s="6">
        <v>4928518</v>
      </c>
      <c r="J62" s="6">
        <v>4928518</v>
      </c>
      <c r="K62" s="6">
        <v>4928518</v>
      </c>
      <c r="L62" s="6">
        <v>4920372</v>
      </c>
      <c r="M62" s="6">
        <v>4920372</v>
      </c>
      <c r="N62" s="6">
        <v>4808654</v>
      </c>
      <c r="O62" s="6">
        <v>7</v>
      </c>
      <c r="P62" s="6">
        <v>3069471</v>
      </c>
      <c r="Q62" s="6">
        <v>4928518</v>
      </c>
      <c r="R62" s="6">
        <v>52.26</v>
      </c>
      <c r="S62" s="6">
        <v>3069471</v>
      </c>
      <c r="T62" s="6">
        <v>1645498</v>
      </c>
      <c r="U62" s="6">
        <v>2463693.6</v>
      </c>
      <c r="V62" s="6">
        <v>1</v>
      </c>
      <c r="W62" s="6">
        <v>2</v>
      </c>
      <c r="X62" s="6">
        <v>0</v>
      </c>
    </row>
    <row r="63" spans="1:24" x14ac:dyDescent="0.25">
      <c r="A63" s="6" t="s">
        <v>272</v>
      </c>
      <c r="B63" s="6" t="str">
        <f>VLOOKUP(A63,'[1]SBV Isolates'!$A$2:$B$367,2,FALSE)</f>
        <v>plate02</v>
      </c>
      <c r="C63" s="6">
        <v>7</v>
      </c>
      <c r="D63" s="6">
        <v>7</v>
      </c>
      <c r="E63" s="6">
        <v>7</v>
      </c>
      <c r="F63" s="6">
        <v>5</v>
      </c>
      <c r="G63" s="6">
        <v>5</v>
      </c>
      <c r="H63" s="6">
        <v>4</v>
      </c>
      <c r="I63" s="6">
        <v>4905906</v>
      </c>
      <c r="J63" s="6">
        <v>4905906</v>
      </c>
      <c r="K63" s="6">
        <v>4905906</v>
      </c>
      <c r="L63" s="6">
        <v>4892879</v>
      </c>
      <c r="M63" s="6">
        <v>4892879</v>
      </c>
      <c r="N63" s="6">
        <v>4857382</v>
      </c>
      <c r="O63" s="6">
        <v>7</v>
      </c>
      <c r="P63" s="6">
        <v>3069518</v>
      </c>
      <c r="Q63" s="6">
        <v>4905906</v>
      </c>
      <c r="R63" s="6">
        <v>52.2</v>
      </c>
      <c r="S63" s="6">
        <v>3069518</v>
      </c>
      <c r="T63" s="6">
        <v>1605226</v>
      </c>
      <c r="U63" s="6">
        <v>2449441.6</v>
      </c>
      <c r="V63" s="6">
        <v>1</v>
      </c>
      <c r="W63" s="6">
        <v>2</v>
      </c>
      <c r="X63" s="6">
        <v>0</v>
      </c>
    </row>
    <row r="64" spans="1:24" x14ac:dyDescent="0.25">
      <c r="A64" s="6" t="s">
        <v>275</v>
      </c>
      <c r="B64" s="6" t="str">
        <f>VLOOKUP(A64,'[1]SBV Isolates'!$A$2:$B$367,2,FALSE)</f>
        <v>plate02</v>
      </c>
      <c r="C64" s="6">
        <v>7</v>
      </c>
      <c r="D64" s="6">
        <v>7</v>
      </c>
      <c r="E64" s="6">
        <v>6</v>
      </c>
      <c r="F64" s="6">
        <v>6</v>
      </c>
      <c r="G64" s="6">
        <v>6</v>
      </c>
      <c r="H64" s="6">
        <v>3</v>
      </c>
      <c r="I64" s="6">
        <v>4883544</v>
      </c>
      <c r="J64" s="6">
        <v>4883544</v>
      </c>
      <c r="K64" s="6">
        <v>4878973</v>
      </c>
      <c r="L64" s="6">
        <v>4878973</v>
      </c>
      <c r="M64" s="6">
        <v>4878973</v>
      </c>
      <c r="N64" s="6">
        <v>4768471</v>
      </c>
      <c r="O64" s="6">
        <v>7</v>
      </c>
      <c r="P64" s="6">
        <v>3069525</v>
      </c>
      <c r="Q64" s="6">
        <v>4883544</v>
      </c>
      <c r="R64" s="6">
        <v>52.27</v>
      </c>
      <c r="S64" s="6">
        <v>3069525</v>
      </c>
      <c r="T64" s="6">
        <v>1605244</v>
      </c>
      <c r="U64" s="6">
        <v>2459626.2000000002</v>
      </c>
      <c r="V64" s="6">
        <v>1</v>
      </c>
      <c r="W64" s="6">
        <v>2</v>
      </c>
      <c r="X64" s="6">
        <v>0</v>
      </c>
    </row>
    <row r="65" spans="1:24" x14ac:dyDescent="0.25">
      <c r="A65" s="6" t="s">
        <v>277</v>
      </c>
      <c r="B65" s="6" t="str">
        <f>VLOOKUP(A65,'[1]SBV Isolates'!$A$2:$B$367,2,FALSE)</f>
        <v>plate02</v>
      </c>
      <c r="C65" s="6">
        <v>7</v>
      </c>
      <c r="D65" s="6">
        <v>7</v>
      </c>
      <c r="E65" s="6">
        <v>7</v>
      </c>
      <c r="F65" s="6">
        <v>6</v>
      </c>
      <c r="G65" s="6">
        <v>6</v>
      </c>
      <c r="H65" s="6">
        <v>3</v>
      </c>
      <c r="I65" s="6">
        <v>4886464</v>
      </c>
      <c r="J65" s="6">
        <v>4886464</v>
      </c>
      <c r="K65" s="6">
        <v>4886464</v>
      </c>
      <c r="L65" s="6">
        <v>4878382</v>
      </c>
      <c r="M65" s="6">
        <v>4878382</v>
      </c>
      <c r="N65" s="6">
        <v>4768445</v>
      </c>
      <c r="O65" s="6">
        <v>7</v>
      </c>
      <c r="P65" s="6">
        <v>3069518</v>
      </c>
      <c r="Q65" s="6">
        <v>4886464</v>
      </c>
      <c r="R65" s="6">
        <v>52.26</v>
      </c>
      <c r="S65" s="6">
        <v>3069518</v>
      </c>
      <c r="T65" s="6">
        <v>1605214</v>
      </c>
      <c r="U65" s="6">
        <v>2458129.7000000002</v>
      </c>
      <c r="V65" s="6">
        <v>1</v>
      </c>
      <c r="W65" s="6">
        <v>2</v>
      </c>
      <c r="X65" s="6">
        <v>0</v>
      </c>
    </row>
    <row r="66" spans="1:24" x14ac:dyDescent="0.25">
      <c r="A66" s="6" t="s">
        <v>283</v>
      </c>
      <c r="B66" s="6" t="str">
        <f>VLOOKUP(A66,'[1]SBV Isolates'!$A$2:$B$367,2,FALSE)</f>
        <v>plate02</v>
      </c>
      <c r="C66" s="6">
        <v>7</v>
      </c>
      <c r="D66" s="6">
        <v>7</v>
      </c>
      <c r="E66" s="6">
        <v>6</v>
      </c>
      <c r="F66" s="6">
        <v>6</v>
      </c>
      <c r="G66" s="6">
        <v>6</v>
      </c>
      <c r="H66" s="6">
        <v>3</v>
      </c>
      <c r="I66" s="6">
        <v>4883164</v>
      </c>
      <c r="J66" s="6">
        <v>4883164</v>
      </c>
      <c r="K66" s="6">
        <v>4878575</v>
      </c>
      <c r="L66" s="6">
        <v>4878575</v>
      </c>
      <c r="M66" s="6">
        <v>4878575</v>
      </c>
      <c r="N66" s="6">
        <v>4768409</v>
      </c>
      <c r="O66" s="6">
        <v>7</v>
      </c>
      <c r="P66" s="6">
        <v>3069482</v>
      </c>
      <c r="Q66" s="6">
        <v>4883164</v>
      </c>
      <c r="R66" s="6">
        <v>52.27</v>
      </c>
      <c r="S66" s="6">
        <v>3069482</v>
      </c>
      <c r="T66" s="6">
        <v>1605217</v>
      </c>
      <c r="U66" s="6">
        <v>2459741.5</v>
      </c>
      <c r="V66" s="6">
        <v>1</v>
      </c>
      <c r="W66" s="6">
        <v>2</v>
      </c>
      <c r="X66" s="6">
        <v>0</v>
      </c>
    </row>
    <row r="67" spans="1:24" x14ac:dyDescent="0.25">
      <c r="A67" s="6" t="s">
        <v>285</v>
      </c>
      <c r="B67" s="6" t="str">
        <f>VLOOKUP(A67,'[1]SBV Isolates'!$A$2:$B$367,2,FALSE)</f>
        <v>plate02</v>
      </c>
      <c r="C67" s="6">
        <v>7</v>
      </c>
      <c r="D67" s="6">
        <v>7</v>
      </c>
      <c r="E67" s="6">
        <v>7</v>
      </c>
      <c r="F67" s="6">
        <v>6</v>
      </c>
      <c r="G67" s="6">
        <v>6</v>
      </c>
      <c r="H67" s="6">
        <v>5</v>
      </c>
      <c r="I67" s="6">
        <v>4809181</v>
      </c>
      <c r="J67" s="6">
        <v>4809181</v>
      </c>
      <c r="K67" s="6">
        <v>4809181</v>
      </c>
      <c r="L67" s="6">
        <v>4801569</v>
      </c>
      <c r="M67" s="6">
        <v>4801569</v>
      </c>
      <c r="N67" s="6">
        <v>4767095</v>
      </c>
      <c r="O67" s="6">
        <v>7</v>
      </c>
      <c r="P67" s="6">
        <v>1656187</v>
      </c>
      <c r="Q67" s="6">
        <v>4809181</v>
      </c>
      <c r="R67" s="6">
        <v>52.26</v>
      </c>
      <c r="S67" s="6">
        <v>1605244</v>
      </c>
      <c r="T67" s="6">
        <v>1316782</v>
      </c>
      <c r="U67" s="6">
        <v>1470679.6</v>
      </c>
      <c r="V67" s="6">
        <v>2</v>
      </c>
      <c r="W67" s="6">
        <v>3</v>
      </c>
      <c r="X67" s="6">
        <v>0</v>
      </c>
    </row>
    <row r="68" spans="1:24" x14ac:dyDescent="0.25">
      <c r="A68" s="6" t="s">
        <v>293</v>
      </c>
      <c r="B68" s="6" t="str">
        <f>VLOOKUP(A68,'[1]SBV Isolates'!$A$2:$B$367,2,FALSE)</f>
        <v>plate03</v>
      </c>
      <c r="C68" s="6">
        <v>7</v>
      </c>
      <c r="D68" s="6">
        <v>7</v>
      </c>
      <c r="E68" s="6">
        <v>6</v>
      </c>
      <c r="F68" s="6">
        <v>6</v>
      </c>
      <c r="G68" s="6">
        <v>6</v>
      </c>
      <c r="H68" s="6">
        <v>3</v>
      </c>
      <c r="I68" s="6">
        <v>4883185</v>
      </c>
      <c r="J68" s="6">
        <v>4883185</v>
      </c>
      <c r="K68" s="6">
        <v>4878598</v>
      </c>
      <c r="L68" s="6">
        <v>4878598</v>
      </c>
      <c r="M68" s="6">
        <v>4878598</v>
      </c>
      <c r="N68" s="6">
        <v>4767984</v>
      </c>
      <c r="O68" s="6">
        <v>7</v>
      </c>
      <c r="P68" s="6">
        <v>3069479</v>
      </c>
      <c r="Q68" s="6">
        <v>4883185</v>
      </c>
      <c r="R68" s="6">
        <v>52.27</v>
      </c>
      <c r="S68" s="6">
        <v>3069479</v>
      </c>
      <c r="T68" s="6">
        <v>1605232</v>
      </c>
      <c r="U68" s="6">
        <v>2459726.2000000002</v>
      </c>
      <c r="V68" s="6">
        <v>1</v>
      </c>
      <c r="W68" s="6">
        <v>2</v>
      </c>
      <c r="X68" s="6">
        <v>0</v>
      </c>
    </row>
    <row r="69" spans="1:24" x14ac:dyDescent="0.25">
      <c r="A69" s="6" t="s">
        <v>305</v>
      </c>
      <c r="B69" s="6" t="str">
        <f>VLOOKUP(A69,'[1]SBV Isolates'!$A$2:$B$367,2,FALSE)</f>
        <v>plate03</v>
      </c>
      <c r="C69" s="6">
        <v>7</v>
      </c>
      <c r="D69" s="6">
        <v>7</v>
      </c>
      <c r="E69" s="6">
        <v>5</v>
      </c>
      <c r="F69" s="6">
        <v>5</v>
      </c>
      <c r="G69" s="6">
        <v>5</v>
      </c>
      <c r="H69" s="6">
        <v>4</v>
      </c>
      <c r="I69" s="6">
        <v>4899338</v>
      </c>
      <c r="J69" s="6">
        <v>4899338</v>
      </c>
      <c r="K69" s="6">
        <v>4893941</v>
      </c>
      <c r="L69" s="6">
        <v>4893941</v>
      </c>
      <c r="M69" s="6">
        <v>4893941</v>
      </c>
      <c r="N69" s="6">
        <v>4858328</v>
      </c>
      <c r="O69" s="6">
        <v>7</v>
      </c>
      <c r="P69" s="6">
        <v>3069532</v>
      </c>
      <c r="Q69" s="6">
        <v>4899338</v>
      </c>
      <c r="R69" s="6">
        <v>52.23</v>
      </c>
      <c r="S69" s="6">
        <v>3069532</v>
      </c>
      <c r="T69" s="6">
        <v>1605403</v>
      </c>
      <c r="U69" s="6">
        <v>2452872.9</v>
      </c>
      <c r="V69" s="6">
        <v>1</v>
      </c>
      <c r="W69" s="6">
        <v>2</v>
      </c>
      <c r="X69" s="6">
        <v>0</v>
      </c>
    </row>
    <row r="70" spans="1:24" x14ac:dyDescent="0.25">
      <c r="A70" s="6" t="s">
        <v>311</v>
      </c>
      <c r="B70" s="6" t="str">
        <f>VLOOKUP(A70,'[1]SBV Isolates'!$A$2:$B$367,2,FALSE)</f>
        <v>plate03</v>
      </c>
      <c r="C70" s="6">
        <v>7</v>
      </c>
      <c r="D70" s="6">
        <v>7</v>
      </c>
      <c r="E70" s="6">
        <v>7</v>
      </c>
      <c r="F70" s="6">
        <v>6</v>
      </c>
      <c r="G70" s="6">
        <v>6</v>
      </c>
      <c r="H70" s="6">
        <v>3</v>
      </c>
      <c r="I70" s="6">
        <v>4887791</v>
      </c>
      <c r="J70" s="6">
        <v>4887791</v>
      </c>
      <c r="K70" s="6">
        <v>4887791</v>
      </c>
      <c r="L70" s="6">
        <v>4879505</v>
      </c>
      <c r="M70" s="6">
        <v>4879505</v>
      </c>
      <c r="N70" s="6">
        <v>4768439</v>
      </c>
      <c r="O70" s="6">
        <v>7</v>
      </c>
      <c r="P70" s="6">
        <v>3069541</v>
      </c>
      <c r="Q70" s="6">
        <v>4887791</v>
      </c>
      <c r="R70" s="6">
        <v>52.27</v>
      </c>
      <c r="S70" s="6">
        <v>3069541</v>
      </c>
      <c r="T70" s="6">
        <v>1605203</v>
      </c>
      <c r="U70" s="6">
        <v>2457499.6</v>
      </c>
      <c r="V70" s="6">
        <v>1</v>
      </c>
      <c r="W70" s="6">
        <v>2</v>
      </c>
      <c r="X70" s="6">
        <v>0</v>
      </c>
    </row>
    <row r="71" spans="1:24" x14ac:dyDescent="0.25">
      <c r="A71" s="6" t="s">
        <v>313</v>
      </c>
      <c r="B71" s="6" t="str">
        <f>VLOOKUP(A71,'[1]SBV Isolates'!$A$2:$B$367,2,FALSE)</f>
        <v>plate03</v>
      </c>
      <c r="C71" s="6">
        <v>7</v>
      </c>
      <c r="D71" s="6">
        <v>7</v>
      </c>
      <c r="E71" s="6">
        <v>5</v>
      </c>
      <c r="F71" s="6">
        <v>4</v>
      </c>
      <c r="G71" s="6">
        <v>4</v>
      </c>
      <c r="H71" s="6">
        <v>3</v>
      </c>
      <c r="I71" s="6">
        <v>4816047</v>
      </c>
      <c r="J71" s="6">
        <v>4816047</v>
      </c>
      <c r="K71" s="6">
        <v>4812323</v>
      </c>
      <c r="L71" s="6">
        <v>4804042</v>
      </c>
      <c r="M71" s="6">
        <v>4804042</v>
      </c>
      <c r="N71" s="6">
        <v>4768435</v>
      </c>
      <c r="O71" s="6">
        <v>7</v>
      </c>
      <c r="P71" s="6">
        <v>3069531</v>
      </c>
      <c r="Q71" s="6">
        <v>4816047</v>
      </c>
      <c r="R71" s="6">
        <v>52.27</v>
      </c>
      <c r="S71" s="6">
        <v>3069531</v>
      </c>
      <c r="T71" s="6">
        <v>1605203</v>
      </c>
      <c r="U71" s="6">
        <v>2493501.7999999998</v>
      </c>
      <c r="V71" s="6">
        <v>1</v>
      </c>
      <c r="W71" s="6">
        <v>2</v>
      </c>
      <c r="X71" s="6">
        <v>0</v>
      </c>
    </row>
    <row r="72" spans="1:24" x14ac:dyDescent="0.25">
      <c r="A72" s="6" t="s">
        <v>316</v>
      </c>
      <c r="B72" s="6" t="str">
        <f>VLOOKUP(A72,'[1]SBV Isolates'!$A$2:$B$367,2,FALSE)</f>
        <v>plate03</v>
      </c>
      <c r="C72" s="6">
        <v>7</v>
      </c>
      <c r="D72" s="6">
        <v>7</v>
      </c>
      <c r="E72" s="6">
        <v>7</v>
      </c>
      <c r="F72" s="6">
        <v>6</v>
      </c>
      <c r="G72" s="6">
        <v>6</v>
      </c>
      <c r="H72" s="6">
        <v>3</v>
      </c>
      <c r="I72" s="6">
        <v>4886663</v>
      </c>
      <c r="J72" s="6">
        <v>4886663</v>
      </c>
      <c r="K72" s="6">
        <v>4886663</v>
      </c>
      <c r="L72" s="6">
        <v>4878438</v>
      </c>
      <c r="M72" s="6">
        <v>4878438</v>
      </c>
      <c r="N72" s="6">
        <v>4768436</v>
      </c>
      <c r="O72" s="6">
        <v>7</v>
      </c>
      <c r="P72" s="6">
        <v>3069532</v>
      </c>
      <c r="Q72" s="6">
        <v>4886663</v>
      </c>
      <c r="R72" s="6">
        <v>52.27</v>
      </c>
      <c r="S72" s="6">
        <v>3069532</v>
      </c>
      <c r="T72" s="6">
        <v>1605203</v>
      </c>
      <c r="U72" s="6">
        <v>2458040.6</v>
      </c>
      <c r="V72" s="6">
        <v>1</v>
      </c>
      <c r="W72" s="6">
        <v>2</v>
      </c>
      <c r="X72" s="6">
        <v>0</v>
      </c>
    </row>
    <row r="73" spans="1:24" x14ac:dyDescent="0.25">
      <c r="A73" s="6" t="s">
        <v>320</v>
      </c>
      <c r="B73" s="6" t="str">
        <f>VLOOKUP(A73,'[1]SBV Isolates'!$A$2:$B$367,2,FALSE)</f>
        <v>plate03</v>
      </c>
      <c r="C73" s="6">
        <v>7</v>
      </c>
      <c r="D73" s="6">
        <v>7</v>
      </c>
      <c r="E73" s="6">
        <v>6</v>
      </c>
      <c r="F73" s="6">
        <v>6</v>
      </c>
      <c r="G73" s="6">
        <v>6</v>
      </c>
      <c r="H73" s="6">
        <v>3</v>
      </c>
      <c r="I73" s="6">
        <v>4884069</v>
      </c>
      <c r="J73" s="6">
        <v>4884069</v>
      </c>
      <c r="K73" s="6">
        <v>4879483</v>
      </c>
      <c r="L73" s="6">
        <v>4879483</v>
      </c>
      <c r="M73" s="6">
        <v>4879483</v>
      </c>
      <c r="N73" s="6">
        <v>4768340</v>
      </c>
      <c r="O73" s="6">
        <v>7</v>
      </c>
      <c r="P73" s="6">
        <v>3069401</v>
      </c>
      <c r="Q73" s="6">
        <v>4884069</v>
      </c>
      <c r="R73" s="6">
        <v>52.27</v>
      </c>
      <c r="S73" s="6">
        <v>3069401</v>
      </c>
      <c r="T73" s="6">
        <v>1605232</v>
      </c>
      <c r="U73" s="6">
        <v>2459207.2999999998</v>
      </c>
      <c r="V73" s="6">
        <v>1</v>
      </c>
      <c r="W73" s="6">
        <v>2</v>
      </c>
      <c r="X73" s="6">
        <v>0</v>
      </c>
    </row>
    <row r="74" spans="1:24" x14ac:dyDescent="0.25">
      <c r="A74" s="6" t="s">
        <v>321</v>
      </c>
      <c r="B74" s="6" t="str">
        <f>VLOOKUP(A74,'[1]SBV Isolates'!$A$2:$B$367,2,FALSE)</f>
        <v>plate03</v>
      </c>
      <c r="C74" s="6">
        <v>7</v>
      </c>
      <c r="D74" s="6">
        <v>7</v>
      </c>
      <c r="E74" s="6">
        <v>6</v>
      </c>
      <c r="F74" s="6">
        <v>5</v>
      </c>
      <c r="G74" s="6">
        <v>5</v>
      </c>
      <c r="H74" s="6">
        <v>4</v>
      </c>
      <c r="I74" s="6">
        <v>4903714</v>
      </c>
      <c r="J74" s="6">
        <v>4903714</v>
      </c>
      <c r="K74" s="6">
        <v>4899238</v>
      </c>
      <c r="L74" s="6">
        <v>4891242</v>
      </c>
      <c r="M74" s="6">
        <v>4891242</v>
      </c>
      <c r="N74" s="6">
        <v>4856091</v>
      </c>
      <c r="O74" s="6">
        <v>7</v>
      </c>
      <c r="P74" s="6">
        <v>3069517</v>
      </c>
      <c r="Q74" s="6">
        <v>4903714</v>
      </c>
      <c r="R74" s="6">
        <v>52.23</v>
      </c>
      <c r="S74" s="6">
        <v>3069517</v>
      </c>
      <c r="T74" s="6">
        <v>1605244</v>
      </c>
      <c r="U74" s="6">
        <v>2450493.9</v>
      </c>
      <c r="V74" s="6">
        <v>1</v>
      </c>
      <c r="W74" s="6">
        <v>2</v>
      </c>
      <c r="X74" s="6">
        <v>0</v>
      </c>
    </row>
    <row r="75" spans="1:24" x14ac:dyDescent="0.25">
      <c r="A75" s="6" t="s">
        <v>322</v>
      </c>
      <c r="B75" s="6" t="str">
        <f>VLOOKUP(A75,'[1]SBV Isolates'!$A$2:$B$367,2,FALSE)</f>
        <v>plate03</v>
      </c>
      <c r="C75" s="6">
        <v>7</v>
      </c>
      <c r="D75" s="6">
        <v>7</v>
      </c>
      <c r="E75" s="6">
        <v>7</v>
      </c>
      <c r="F75" s="6">
        <v>6</v>
      </c>
      <c r="G75" s="6">
        <v>6</v>
      </c>
      <c r="H75" s="6">
        <v>5</v>
      </c>
      <c r="I75" s="6">
        <v>4863310</v>
      </c>
      <c r="J75" s="6">
        <v>4863310</v>
      </c>
      <c r="K75" s="6">
        <v>4863310</v>
      </c>
      <c r="L75" s="6">
        <v>4854983</v>
      </c>
      <c r="M75" s="6">
        <v>4854983</v>
      </c>
      <c r="N75" s="6">
        <v>4819370</v>
      </c>
      <c r="O75" s="6">
        <v>7</v>
      </c>
      <c r="P75" s="6">
        <v>1644707</v>
      </c>
      <c r="Q75" s="6">
        <v>4863310</v>
      </c>
      <c r="R75" s="6">
        <v>52.25</v>
      </c>
      <c r="S75" s="6">
        <v>1496835</v>
      </c>
      <c r="T75" s="6">
        <v>1434905</v>
      </c>
      <c r="U75" s="6">
        <v>1446938.9</v>
      </c>
      <c r="V75" s="6">
        <v>2</v>
      </c>
      <c r="W75" s="6">
        <v>3</v>
      </c>
      <c r="X75" s="6">
        <v>0</v>
      </c>
    </row>
    <row r="76" spans="1:24" x14ac:dyDescent="0.25">
      <c r="A76" s="6" t="s">
        <v>323</v>
      </c>
      <c r="B76" s="6" t="str">
        <f>VLOOKUP(A76,'[1]SBV Isolates'!$A$2:$B$367,2,FALSE)</f>
        <v>plate03</v>
      </c>
      <c r="C76" s="6">
        <v>7</v>
      </c>
      <c r="D76" s="6">
        <v>7</v>
      </c>
      <c r="E76" s="6">
        <v>7</v>
      </c>
      <c r="F76" s="6">
        <v>6</v>
      </c>
      <c r="G76" s="6">
        <v>6</v>
      </c>
      <c r="H76" s="6">
        <v>5</v>
      </c>
      <c r="I76" s="6">
        <v>4790438</v>
      </c>
      <c r="J76" s="6">
        <v>4790438</v>
      </c>
      <c r="K76" s="6">
        <v>4790438</v>
      </c>
      <c r="L76" s="6">
        <v>4782082</v>
      </c>
      <c r="M76" s="6">
        <v>4782082</v>
      </c>
      <c r="N76" s="6">
        <v>4746648</v>
      </c>
      <c r="O76" s="6">
        <v>7</v>
      </c>
      <c r="P76" s="6">
        <v>1651919</v>
      </c>
      <c r="Q76" s="6">
        <v>4790438</v>
      </c>
      <c r="R76" s="6">
        <v>52.29</v>
      </c>
      <c r="S76" s="6">
        <v>1605244</v>
      </c>
      <c r="T76" s="6">
        <v>1306118</v>
      </c>
      <c r="U76" s="6">
        <v>1467451.2</v>
      </c>
      <c r="V76" s="6">
        <v>2</v>
      </c>
      <c r="W76" s="6">
        <v>3</v>
      </c>
      <c r="X76" s="6">
        <v>0</v>
      </c>
    </row>
    <row r="77" spans="1:24" x14ac:dyDescent="0.25">
      <c r="A77" s="6" t="s">
        <v>328</v>
      </c>
      <c r="B77" s="6" t="str">
        <f>VLOOKUP(A77,'[1]SBV Isolates'!$A$2:$B$367,2,FALSE)</f>
        <v>plate03</v>
      </c>
      <c r="C77" s="6">
        <v>7</v>
      </c>
      <c r="D77" s="6">
        <v>7</v>
      </c>
      <c r="E77" s="6">
        <v>7</v>
      </c>
      <c r="F77" s="6">
        <v>6</v>
      </c>
      <c r="G77" s="6">
        <v>6</v>
      </c>
      <c r="H77" s="6">
        <v>3</v>
      </c>
      <c r="I77" s="6">
        <v>4886805</v>
      </c>
      <c r="J77" s="6">
        <v>4886805</v>
      </c>
      <c r="K77" s="6">
        <v>4886805</v>
      </c>
      <c r="L77" s="6">
        <v>4879142</v>
      </c>
      <c r="M77" s="6">
        <v>4879142</v>
      </c>
      <c r="N77" s="6">
        <v>4768284</v>
      </c>
      <c r="O77" s="6">
        <v>7</v>
      </c>
      <c r="P77" s="6">
        <v>3069351</v>
      </c>
      <c r="Q77" s="6">
        <v>4886805</v>
      </c>
      <c r="R77" s="6">
        <v>52.26</v>
      </c>
      <c r="S77" s="6">
        <v>3069351</v>
      </c>
      <c r="T77" s="6">
        <v>1605223</v>
      </c>
      <c r="U77" s="6">
        <v>2457765.5</v>
      </c>
      <c r="V77" s="6">
        <v>1</v>
      </c>
      <c r="W77" s="6">
        <v>2</v>
      </c>
      <c r="X77" s="6">
        <v>0</v>
      </c>
    </row>
    <row r="78" spans="1:24" x14ac:dyDescent="0.25">
      <c r="A78" s="6" t="s">
        <v>338</v>
      </c>
      <c r="B78" s="6" t="str">
        <f>VLOOKUP(A78,'[1]SBV Isolates'!$A$2:$B$367,2,FALSE)</f>
        <v>plate03</v>
      </c>
      <c r="C78" s="6">
        <v>7</v>
      </c>
      <c r="D78" s="6">
        <v>7</v>
      </c>
      <c r="E78" s="6">
        <v>7</v>
      </c>
      <c r="F78" s="6">
        <v>7</v>
      </c>
      <c r="G78" s="6">
        <v>6</v>
      </c>
      <c r="H78" s="6">
        <v>3</v>
      </c>
      <c r="I78" s="6">
        <v>4891979</v>
      </c>
      <c r="J78" s="6">
        <v>4891979</v>
      </c>
      <c r="K78" s="6">
        <v>4891979</v>
      </c>
      <c r="L78" s="6">
        <v>4891979</v>
      </c>
      <c r="M78" s="6">
        <v>4880200</v>
      </c>
      <c r="N78" s="6">
        <v>4768465</v>
      </c>
      <c r="O78" s="6">
        <v>7</v>
      </c>
      <c r="P78" s="6">
        <v>3069518</v>
      </c>
      <c r="Q78" s="6">
        <v>4891979</v>
      </c>
      <c r="R78" s="6">
        <v>52.27</v>
      </c>
      <c r="S78" s="6">
        <v>3069518</v>
      </c>
      <c r="T78" s="6">
        <v>1605237</v>
      </c>
      <c r="U78" s="6">
        <v>2455416.7000000002</v>
      </c>
      <c r="V78" s="6">
        <v>1</v>
      </c>
      <c r="W78" s="6">
        <v>2</v>
      </c>
      <c r="X78" s="6">
        <v>0</v>
      </c>
    </row>
    <row r="79" spans="1:24" x14ac:dyDescent="0.25">
      <c r="A79" s="6" t="s">
        <v>339</v>
      </c>
      <c r="B79" s="6" t="str">
        <f>VLOOKUP(A79,'[1]SBV Isolates'!$A$2:$B$367,2,FALSE)</f>
        <v>plate03</v>
      </c>
      <c r="C79" s="6">
        <v>7</v>
      </c>
      <c r="D79" s="6">
        <v>7</v>
      </c>
      <c r="E79" s="6">
        <v>6</v>
      </c>
      <c r="F79" s="6">
        <v>6</v>
      </c>
      <c r="G79" s="6">
        <v>6</v>
      </c>
      <c r="H79" s="6">
        <v>3</v>
      </c>
      <c r="I79" s="6">
        <v>4883768</v>
      </c>
      <c r="J79" s="6">
        <v>4883768</v>
      </c>
      <c r="K79" s="6">
        <v>4879192</v>
      </c>
      <c r="L79" s="6">
        <v>4879192</v>
      </c>
      <c r="M79" s="6">
        <v>4879192</v>
      </c>
      <c r="N79" s="6">
        <v>4768425</v>
      </c>
      <c r="O79" s="6">
        <v>7</v>
      </c>
      <c r="P79" s="6">
        <v>3069532</v>
      </c>
      <c r="Q79" s="6">
        <v>4883768</v>
      </c>
      <c r="R79" s="6">
        <v>52.27</v>
      </c>
      <c r="S79" s="6">
        <v>3069532</v>
      </c>
      <c r="T79" s="6">
        <v>1605197</v>
      </c>
      <c r="U79" s="6">
        <v>2459494.7999999998</v>
      </c>
      <c r="V79" s="6">
        <v>1</v>
      </c>
      <c r="W79" s="6">
        <v>2</v>
      </c>
      <c r="X79" s="6">
        <v>0</v>
      </c>
    </row>
    <row r="80" spans="1:24" x14ac:dyDescent="0.25">
      <c r="A80" s="6" t="s">
        <v>340</v>
      </c>
      <c r="B80" s="6" t="str">
        <f>VLOOKUP(A80,'[1]SBV Isolates'!$A$2:$B$367,2,FALSE)</f>
        <v>plate03</v>
      </c>
      <c r="C80" s="6">
        <v>7</v>
      </c>
      <c r="D80" s="6">
        <v>7</v>
      </c>
      <c r="E80" s="6">
        <v>6</v>
      </c>
      <c r="F80" s="6">
        <v>6</v>
      </c>
      <c r="G80" s="6">
        <v>6</v>
      </c>
      <c r="H80" s="6">
        <v>3</v>
      </c>
      <c r="I80" s="6">
        <v>4883602</v>
      </c>
      <c r="J80" s="6">
        <v>4883602</v>
      </c>
      <c r="K80" s="6">
        <v>4879012</v>
      </c>
      <c r="L80" s="6">
        <v>4879012</v>
      </c>
      <c r="M80" s="6">
        <v>4879012</v>
      </c>
      <c r="N80" s="6">
        <v>4768434</v>
      </c>
      <c r="O80" s="6">
        <v>7</v>
      </c>
      <c r="P80" s="6">
        <v>3069517</v>
      </c>
      <c r="Q80" s="6">
        <v>4883602</v>
      </c>
      <c r="R80" s="6">
        <v>52.27</v>
      </c>
      <c r="S80" s="6">
        <v>3069517</v>
      </c>
      <c r="T80" s="6">
        <v>1605223</v>
      </c>
      <c r="U80" s="6">
        <v>2459573.9</v>
      </c>
      <c r="V80" s="6">
        <v>1</v>
      </c>
      <c r="W80" s="6">
        <v>2</v>
      </c>
      <c r="X80" s="6">
        <v>0</v>
      </c>
    </row>
    <row r="81" spans="1:24" x14ac:dyDescent="0.25">
      <c r="A81" s="6" t="s">
        <v>341</v>
      </c>
      <c r="B81" s="6" t="str">
        <f>VLOOKUP(A81,'[1]SBV Isolates'!$A$2:$B$367,2,FALSE)</f>
        <v>plate03</v>
      </c>
      <c r="C81" s="6">
        <v>7</v>
      </c>
      <c r="D81" s="6">
        <v>7</v>
      </c>
      <c r="E81" s="6">
        <v>7</v>
      </c>
      <c r="F81" s="6">
        <v>6</v>
      </c>
      <c r="G81" s="6">
        <v>6</v>
      </c>
      <c r="H81" s="6">
        <v>5</v>
      </c>
      <c r="I81" s="6">
        <v>4815900</v>
      </c>
      <c r="J81" s="6">
        <v>4815900</v>
      </c>
      <c r="K81" s="6">
        <v>4815900</v>
      </c>
      <c r="L81" s="6">
        <v>4807762</v>
      </c>
      <c r="M81" s="6">
        <v>4807762</v>
      </c>
      <c r="N81" s="6">
        <v>4772143</v>
      </c>
      <c r="O81" s="6">
        <v>7</v>
      </c>
      <c r="P81" s="6">
        <v>1652078</v>
      </c>
      <c r="Q81" s="6">
        <v>4815900</v>
      </c>
      <c r="R81" s="6">
        <v>52.27</v>
      </c>
      <c r="S81" s="6">
        <v>1605244</v>
      </c>
      <c r="T81" s="6">
        <v>1331312</v>
      </c>
      <c r="U81" s="6">
        <v>1473606.6</v>
      </c>
      <c r="V81" s="6">
        <v>2</v>
      </c>
      <c r="W81" s="6">
        <v>3</v>
      </c>
      <c r="X81" s="6">
        <v>0</v>
      </c>
    </row>
    <row r="82" spans="1:24" x14ac:dyDescent="0.25">
      <c r="A82" s="6" t="s">
        <v>343</v>
      </c>
      <c r="B82" s="6" t="str">
        <f>VLOOKUP(A82,'[1]SBV Isolates'!$A$2:$B$367,2,FALSE)</f>
        <v>plate03</v>
      </c>
      <c r="C82" s="6">
        <v>7</v>
      </c>
      <c r="D82" s="6">
        <v>7</v>
      </c>
      <c r="E82" s="6">
        <v>6</v>
      </c>
      <c r="F82" s="6">
        <v>6</v>
      </c>
      <c r="G82" s="6">
        <v>6</v>
      </c>
      <c r="H82" s="6">
        <v>3</v>
      </c>
      <c r="I82" s="6">
        <v>4885001</v>
      </c>
      <c r="J82" s="6">
        <v>4885001</v>
      </c>
      <c r="K82" s="6">
        <v>4880431</v>
      </c>
      <c r="L82" s="6">
        <v>4880431</v>
      </c>
      <c r="M82" s="6">
        <v>4880431</v>
      </c>
      <c r="N82" s="6">
        <v>4768447</v>
      </c>
      <c r="O82" s="6">
        <v>7</v>
      </c>
      <c r="P82" s="6">
        <v>3069541</v>
      </c>
      <c r="Q82" s="6">
        <v>4885001</v>
      </c>
      <c r="R82" s="6">
        <v>52.27</v>
      </c>
      <c r="S82" s="6">
        <v>3069541</v>
      </c>
      <c r="T82" s="6">
        <v>1605197</v>
      </c>
      <c r="U82" s="6">
        <v>2458906.2000000002</v>
      </c>
      <c r="V82" s="6">
        <v>1</v>
      </c>
      <c r="W82" s="6">
        <v>2</v>
      </c>
      <c r="X82" s="6">
        <v>0</v>
      </c>
    </row>
    <row r="83" spans="1:24" x14ac:dyDescent="0.25">
      <c r="A83" s="6" t="s">
        <v>348</v>
      </c>
      <c r="B83" s="6" t="str">
        <f>VLOOKUP(A83,'[1]SBV Isolates'!$A$2:$B$367,2,FALSE)</f>
        <v>plate03</v>
      </c>
      <c r="C83" s="6">
        <v>7</v>
      </c>
      <c r="D83" s="6">
        <v>7</v>
      </c>
      <c r="E83" s="6">
        <v>6</v>
      </c>
      <c r="F83" s="6">
        <v>6</v>
      </c>
      <c r="G83" s="6">
        <v>6</v>
      </c>
      <c r="H83" s="6">
        <v>3</v>
      </c>
      <c r="I83" s="6">
        <v>4883383</v>
      </c>
      <c r="J83" s="6">
        <v>4883383</v>
      </c>
      <c r="K83" s="6">
        <v>4878803</v>
      </c>
      <c r="L83" s="6">
        <v>4878803</v>
      </c>
      <c r="M83" s="6">
        <v>4878803</v>
      </c>
      <c r="N83" s="6">
        <v>4768327</v>
      </c>
      <c r="O83" s="6">
        <v>7</v>
      </c>
      <c r="P83" s="6">
        <v>3069381</v>
      </c>
      <c r="Q83" s="6">
        <v>4883383</v>
      </c>
      <c r="R83" s="6">
        <v>52.27</v>
      </c>
      <c r="S83" s="6">
        <v>3069381</v>
      </c>
      <c r="T83" s="6">
        <v>1605237</v>
      </c>
      <c r="U83" s="6">
        <v>2459521.6</v>
      </c>
      <c r="V83" s="6">
        <v>1</v>
      </c>
      <c r="W83" s="6">
        <v>2</v>
      </c>
      <c r="X83" s="6">
        <v>0</v>
      </c>
    </row>
    <row r="84" spans="1:24" x14ac:dyDescent="0.25">
      <c r="A84" s="6" t="s">
        <v>350</v>
      </c>
      <c r="B84" s="6" t="str">
        <f>VLOOKUP(A84,'[1]SBV Isolates'!$A$2:$B$367,2,FALSE)</f>
        <v>plate03</v>
      </c>
      <c r="C84" s="6">
        <v>7</v>
      </c>
      <c r="D84" s="6">
        <v>7</v>
      </c>
      <c r="E84" s="6">
        <v>7</v>
      </c>
      <c r="F84" s="6">
        <v>6</v>
      </c>
      <c r="G84" s="6">
        <v>6</v>
      </c>
      <c r="H84" s="6">
        <v>3</v>
      </c>
      <c r="I84" s="6">
        <v>4886604</v>
      </c>
      <c r="J84" s="6">
        <v>4886604</v>
      </c>
      <c r="K84" s="6">
        <v>4886604</v>
      </c>
      <c r="L84" s="6">
        <v>4878446</v>
      </c>
      <c r="M84" s="6">
        <v>4878446</v>
      </c>
      <c r="N84" s="6">
        <v>4768464</v>
      </c>
      <c r="O84" s="6">
        <v>7</v>
      </c>
      <c r="P84" s="6">
        <v>3069517</v>
      </c>
      <c r="Q84" s="6">
        <v>4886604</v>
      </c>
      <c r="R84" s="6">
        <v>52.26</v>
      </c>
      <c r="S84" s="6">
        <v>3069517</v>
      </c>
      <c r="T84" s="6">
        <v>1605244</v>
      </c>
      <c r="U84" s="6">
        <v>2458078.2000000002</v>
      </c>
      <c r="V84" s="6">
        <v>1</v>
      </c>
      <c r="W84" s="6">
        <v>2</v>
      </c>
      <c r="X84" s="6">
        <v>0</v>
      </c>
    </row>
    <row r="85" spans="1:24" x14ac:dyDescent="0.25">
      <c r="A85" s="6" t="s">
        <v>354</v>
      </c>
      <c r="B85" s="6" t="str">
        <f>VLOOKUP(A85,'[1]SBV Isolates'!$A$2:$B$367,2,FALSE)</f>
        <v>plate03</v>
      </c>
      <c r="C85" s="6">
        <v>7</v>
      </c>
      <c r="D85" s="6">
        <v>7</v>
      </c>
      <c r="E85" s="6">
        <v>6</v>
      </c>
      <c r="F85" s="6">
        <v>5</v>
      </c>
      <c r="G85" s="6">
        <v>5</v>
      </c>
      <c r="H85" s="6">
        <v>3</v>
      </c>
      <c r="I85" s="6">
        <v>4855324</v>
      </c>
      <c r="J85" s="6">
        <v>4855324</v>
      </c>
      <c r="K85" s="6">
        <v>4853271</v>
      </c>
      <c r="L85" s="6">
        <v>4845179</v>
      </c>
      <c r="M85" s="6">
        <v>4845179</v>
      </c>
      <c r="N85" s="6">
        <v>4768423</v>
      </c>
      <c r="O85" s="6">
        <v>7</v>
      </c>
      <c r="P85" s="6">
        <v>3069512</v>
      </c>
      <c r="Q85" s="6">
        <v>4855324</v>
      </c>
      <c r="R85" s="6">
        <v>52.27</v>
      </c>
      <c r="S85" s="6">
        <v>3069512</v>
      </c>
      <c r="T85" s="6">
        <v>1605250</v>
      </c>
      <c r="U85" s="6">
        <v>2473686.6</v>
      </c>
      <c r="V85" s="6">
        <v>1</v>
      </c>
      <c r="W85" s="6">
        <v>2</v>
      </c>
      <c r="X85" s="6">
        <v>0</v>
      </c>
    </row>
    <row r="86" spans="1:24" x14ac:dyDescent="0.25">
      <c r="A86" s="6" t="s">
        <v>356</v>
      </c>
      <c r="B86" s="6" t="str">
        <f>VLOOKUP(A86,'[1]SBV Isolates'!$A$2:$B$367,2,FALSE)</f>
        <v>plate03</v>
      </c>
      <c r="C86" s="6">
        <v>7</v>
      </c>
      <c r="D86" s="6">
        <v>7</v>
      </c>
      <c r="E86" s="6">
        <v>7</v>
      </c>
      <c r="F86" s="6">
        <v>5</v>
      </c>
      <c r="G86" s="6">
        <v>4</v>
      </c>
      <c r="H86" s="6">
        <v>3</v>
      </c>
      <c r="I86" s="6">
        <v>4963187</v>
      </c>
      <c r="J86" s="6">
        <v>4963187</v>
      </c>
      <c r="K86" s="6">
        <v>4963187</v>
      </c>
      <c r="L86" s="6">
        <v>4949704</v>
      </c>
      <c r="M86" s="6">
        <v>4937124</v>
      </c>
      <c r="N86" s="6">
        <v>4896486</v>
      </c>
      <c r="O86" s="6">
        <v>7</v>
      </c>
      <c r="P86" s="6">
        <v>4744538</v>
      </c>
      <c r="Q86" s="6">
        <v>4963187</v>
      </c>
      <c r="R86" s="6">
        <v>52.18</v>
      </c>
      <c r="S86" s="6">
        <v>4744538</v>
      </c>
      <c r="T86" s="6">
        <v>4744538</v>
      </c>
      <c r="U86" s="6">
        <v>4538356.9000000004</v>
      </c>
      <c r="V86" s="6">
        <v>1</v>
      </c>
      <c r="W86" s="6">
        <v>1</v>
      </c>
      <c r="X86" s="6">
        <v>0</v>
      </c>
    </row>
    <row r="87" spans="1:24" x14ac:dyDescent="0.25">
      <c r="A87" s="6" t="s">
        <v>358</v>
      </c>
      <c r="B87" s="6" t="str">
        <f>VLOOKUP(A87,'[1]SBV Isolates'!$A$2:$B$367,2,FALSE)</f>
        <v>plate03</v>
      </c>
      <c r="C87" s="6">
        <v>7</v>
      </c>
      <c r="D87" s="6">
        <v>7</v>
      </c>
      <c r="E87" s="6">
        <v>7</v>
      </c>
      <c r="F87" s="6">
        <v>6</v>
      </c>
      <c r="G87" s="6">
        <v>6</v>
      </c>
      <c r="H87" s="6">
        <v>3</v>
      </c>
      <c r="I87" s="6">
        <v>4888402</v>
      </c>
      <c r="J87" s="6">
        <v>4888402</v>
      </c>
      <c r="K87" s="6">
        <v>4888402</v>
      </c>
      <c r="L87" s="6">
        <v>4880203</v>
      </c>
      <c r="M87" s="6">
        <v>4880203</v>
      </c>
      <c r="N87" s="6">
        <v>4768474</v>
      </c>
      <c r="O87" s="6">
        <v>7</v>
      </c>
      <c r="P87" s="6">
        <v>3069517</v>
      </c>
      <c r="Q87" s="6">
        <v>4888402</v>
      </c>
      <c r="R87" s="6">
        <v>52.27</v>
      </c>
      <c r="S87" s="6">
        <v>3069517</v>
      </c>
      <c r="T87" s="6">
        <v>1605244</v>
      </c>
      <c r="U87" s="6">
        <v>2457202.1</v>
      </c>
      <c r="V87" s="6">
        <v>1</v>
      </c>
      <c r="W87" s="6">
        <v>2</v>
      </c>
      <c r="X87" s="6">
        <v>0</v>
      </c>
    </row>
    <row r="88" spans="1:24" x14ac:dyDescent="0.25">
      <c r="A88" s="6" t="s">
        <v>361</v>
      </c>
      <c r="B88" s="6" t="str">
        <f>VLOOKUP(A88,'[1]SBV Isolates'!$A$2:$B$367,2,FALSE)</f>
        <v>plate03</v>
      </c>
      <c r="C88" s="6">
        <v>7</v>
      </c>
      <c r="D88" s="6">
        <v>7</v>
      </c>
      <c r="E88" s="6">
        <v>6</v>
      </c>
      <c r="F88" s="6">
        <v>6</v>
      </c>
      <c r="G88" s="6">
        <v>6</v>
      </c>
      <c r="H88" s="6">
        <v>3</v>
      </c>
      <c r="I88" s="6">
        <v>4883882</v>
      </c>
      <c r="J88" s="6">
        <v>4883882</v>
      </c>
      <c r="K88" s="6">
        <v>4879295</v>
      </c>
      <c r="L88" s="6">
        <v>4879295</v>
      </c>
      <c r="M88" s="6">
        <v>4879295</v>
      </c>
      <c r="N88" s="6">
        <v>4768456</v>
      </c>
      <c r="O88" s="6">
        <v>7</v>
      </c>
      <c r="P88" s="6">
        <v>3069517</v>
      </c>
      <c r="Q88" s="6">
        <v>4883882</v>
      </c>
      <c r="R88" s="6">
        <v>52.27</v>
      </c>
      <c r="S88" s="6">
        <v>3069517</v>
      </c>
      <c r="T88" s="6">
        <v>1605244</v>
      </c>
      <c r="U88" s="6">
        <v>2459450.4</v>
      </c>
      <c r="V88" s="6">
        <v>1</v>
      </c>
      <c r="W88" s="6">
        <v>2</v>
      </c>
      <c r="X88" s="6">
        <v>0</v>
      </c>
    </row>
    <row r="89" spans="1:24" x14ac:dyDescent="0.25">
      <c r="A89" s="6" t="s">
        <v>364</v>
      </c>
      <c r="B89" s="6" t="str">
        <f>VLOOKUP(A89,'[1]SBV Isolates'!$A$2:$B$367,2,FALSE)</f>
        <v>plate03</v>
      </c>
      <c r="C89" s="6">
        <v>7</v>
      </c>
      <c r="D89" s="6">
        <v>7</v>
      </c>
      <c r="E89" s="6">
        <v>7</v>
      </c>
      <c r="F89" s="6">
        <v>6</v>
      </c>
      <c r="G89" s="6">
        <v>6</v>
      </c>
      <c r="H89" s="6">
        <v>3</v>
      </c>
      <c r="I89" s="6">
        <v>4887240</v>
      </c>
      <c r="J89" s="6">
        <v>4887240</v>
      </c>
      <c r="K89" s="6">
        <v>4887240</v>
      </c>
      <c r="L89" s="6">
        <v>4879144</v>
      </c>
      <c r="M89" s="6">
        <v>4879144</v>
      </c>
      <c r="N89" s="6">
        <v>4768418</v>
      </c>
      <c r="O89" s="6">
        <v>7</v>
      </c>
      <c r="P89" s="6">
        <v>3069517</v>
      </c>
      <c r="Q89" s="6">
        <v>4887240</v>
      </c>
      <c r="R89" s="6">
        <v>52.26</v>
      </c>
      <c r="S89" s="6">
        <v>3069517</v>
      </c>
      <c r="T89" s="6">
        <v>1605220</v>
      </c>
      <c r="U89" s="6">
        <v>2457751.7999999998</v>
      </c>
      <c r="V89" s="6">
        <v>1</v>
      </c>
      <c r="W89" s="6">
        <v>2</v>
      </c>
      <c r="X89" s="6">
        <v>0</v>
      </c>
    </row>
    <row r="90" spans="1:24" x14ac:dyDescent="0.25">
      <c r="A90" s="6" t="s">
        <v>369</v>
      </c>
      <c r="B90" s="6" t="str">
        <f>VLOOKUP(A90,'[1]SBV Isolates'!$A$2:$B$367,2,FALSE)</f>
        <v>plate03</v>
      </c>
      <c r="C90" s="6">
        <v>7</v>
      </c>
      <c r="D90" s="6">
        <v>7</v>
      </c>
      <c r="E90" s="6">
        <v>7</v>
      </c>
      <c r="F90" s="6">
        <v>6</v>
      </c>
      <c r="G90" s="6">
        <v>6</v>
      </c>
      <c r="H90" s="6">
        <v>3</v>
      </c>
      <c r="I90" s="6">
        <v>4887638</v>
      </c>
      <c r="J90" s="6">
        <v>4887638</v>
      </c>
      <c r="K90" s="6">
        <v>4887638</v>
      </c>
      <c r="L90" s="6">
        <v>4879420</v>
      </c>
      <c r="M90" s="6">
        <v>4879420</v>
      </c>
      <c r="N90" s="6">
        <v>4768465</v>
      </c>
      <c r="O90" s="6">
        <v>7</v>
      </c>
      <c r="P90" s="6">
        <v>3069512</v>
      </c>
      <c r="Q90" s="6">
        <v>4887638</v>
      </c>
      <c r="R90" s="6">
        <v>52.26</v>
      </c>
      <c r="S90" s="6">
        <v>3069512</v>
      </c>
      <c r="T90" s="6">
        <v>1605243</v>
      </c>
      <c r="U90" s="6">
        <v>2457565.2000000002</v>
      </c>
      <c r="V90" s="6">
        <v>1</v>
      </c>
      <c r="W90" s="6">
        <v>2</v>
      </c>
      <c r="X90" s="6">
        <v>0</v>
      </c>
    </row>
    <row r="91" spans="1:24" x14ac:dyDescent="0.25">
      <c r="A91" s="6" t="s">
        <v>370</v>
      </c>
      <c r="B91" s="6" t="str">
        <f>VLOOKUP(A91,'[1]SBV Isolates'!$A$2:$B$367,2,FALSE)</f>
        <v>plate03</v>
      </c>
      <c r="C91" s="6">
        <v>7</v>
      </c>
      <c r="D91" s="6">
        <v>7</v>
      </c>
      <c r="E91" s="6">
        <v>7</v>
      </c>
      <c r="F91" s="6">
        <v>6</v>
      </c>
      <c r="G91" s="6">
        <v>6</v>
      </c>
      <c r="H91" s="6">
        <v>3</v>
      </c>
      <c r="I91" s="6">
        <v>4887132</v>
      </c>
      <c r="J91" s="6">
        <v>4887132</v>
      </c>
      <c r="K91" s="6">
        <v>4887132</v>
      </c>
      <c r="L91" s="6">
        <v>4878969</v>
      </c>
      <c r="M91" s="6">
        <v>4878969</v>
      </c>
      <c r="N91" s="6">
        <v>4768437</v>
      </c>
      <c r="O91" s="6">
        <v>7</v>
      </c>
      <c r="P91" s="6">
        <v>3069500</v>
      </c>
      <c r="Q91" s="6">
        <v>4887132</v>
      </c>
      <c r="R91" s="6">
        <v>52.27</v>
      </c>
      <c r="S91" s="6">
        <v>3069500</v>
      </c>
      <c r="T91" s="6">
        <v>1605243</v>
      </c>
      <c r="U91" s="6">
        <v>2457797.9</v>
      </c>
      <c r="V91" s="6">
        <v>1</v>
      </c>
      <c r="W91" s="6">
        <v>2</v>
      </c>
      <c r="X91" s="6">
        <v>0</v>
      </c>
    </row>
    <row r="92" spans="1:24" x14ac:dyDescent="0.25">
      <c r="A92" s="6" t="s">
        <v>371</v>
      </c>
      <c r="B92" s="6" t="str">
        <f>VLOOKUP(A92,'[1]SBV Isolates'!$A$2:$B$367,2,FALSE)</f>
        <v>plate03</v>
      </c>
      <c r="C92" s="6">
        <v>7</v>
      </c>
      <c r="D92" s="6">
        <v>7</v>
      </c>
      <c r="E92" s="6">
        <v>7</v>
      </c>
      <c r="F92" s="6">
        <v>6</v>
      </c>
      <c r="G92" s="6">
        <v>6</v>
      </c>
      <c r="H92" s="6">
        <v>3</v>
      </c>
      <c r="I92" s="6">
        <v>4888557</v>
      </c>
      <c r="J92" s="6">
        <v>4888557</v>
      </c>
      <c r="K92" s="6">
        <v>4888557</v>
      </c>
      <c r="L92" s="6">
        <v>4880248</v>
      </c>
      <c r="M92" s="6">
        <v>4880248</v>
      </c>
      <c r="N92" s="6">
        <v>4768433</v>
      </c>
      <c r="O92" s="6">
        <v>7</v>
      </c>
      <c r="P92" s="6">
        <v>3069540</v>
      </c>
      <c r="Q92" s="6">
        <v>4888557</v>
      </c>
      <c r="R92" s="6">
        <v>52.27</v>
      </c>
      <c r="S92" s="6">
        <v>3069540</v>
      </c>
      <c r="T92" s="6">
        <v>1605202</v>
      </c>
      <c r="U92" s="6">
        <v>2457126.2000000002</v>
      </c>
      <c r="V92" s="6">
        <v>1</v>
      </c>
      <c r="W92" s="6">
        <v>2</v>
      </c>
      <c r="X92" s="6">
        <v>0</v>
      </c>
    </row>
    <row r="93" spans="1:24" x14ac:dyDescent="0.25">
      <c r="A93" s="6" t="s">
        <v>373</v>
      </c>
      <c r="B93" s="6" t="str">
        <f>VLOOKUP(A93,'[1]SBV Isolates'!$A$2:$B$367,2,FALSE)</f>
        <v>plate03</v>
      </c>
      <c r="C93" s="6">
        <v>7</v>
      </c>
      <c r="D93" s="6">
        <v>7</v>
      </c>
      <c r="E93" s="6">
        <v>7</v>
      </c>
      <c r="F93" s="6">
        <v>6</v>
      </c>
      <c r="G93" s="6">
        <v>6</v>
      </c>
      <c r="H93" s="6">
        <v>3</v>
      </c>
      <c r="I93" s="6">
        <v>4887333</v>
      </c>
      <c r="J93" s="6">
        <v>4887333</v>
      </c>
      <c r="K93" s="6">
        <v>4887333</v>
      </c>
      <c r="L93" s="6">
        <v>4879054</v>
      </c>
      <c r="M93" s="6">
        <v>4879054</v>
      </c>
      <c r="N93" s="6">
        <v>4768070</v>
      </c>
      <c r="O93" s="6">
        <v>7</v>
      </c>
      <c r="P93" s="6">
        <v>3069124</v>
      </c>
      <c r="Q93" s="6">
        <v>4887333</v>
      </c>
      <c r="R93" s="6">
        <v>52.27</v>
      </c>
      <c r="S93" s="6">
        <v>3069124</v>
      </c>
      <c r="T93" s="6">
        <v>1605244</v>
      </c>
      <c r="U93" s="6">
        <v>2457232.1</v>
      </c>
      <c r="V93" s="6">
        <v>1</v>
      </c>
      <c r="W93" s="6">
        <v>2</v>
      </c>
      <c r="X93" s="6">
        <v>0</v>
      </c>
    </row>
    <row r="94" spans="1:24" x14ac:dyDescent="0.25">
      <c r="A94" s="6" t="s">
        <v>375</v>
      </c>
      <c r="B94" s="6" t="str">
        <f>VLOOKUP(A94,'[1]SBV Isolates'!$A$2:$B$367,2,FALSE)</f>
        <v>plate03</v>
      </c>
      <c r="C94" s="6">
        <v>7</v>
      </c>
      <c r="D94" s="6">
        <v>7</v>
      </c>
      <c r="E94" s="6">
        <v>6</v>
      </c>
      <c r="F94" s="6">
        <v>6</v>
      </c>
      <c r="G94" s="6">
        <v>6</v>
      </c>
      <c r="H94" s="6">
        <v>3</v>
      </c>
      <c r="I94" s="6">
        <v>4884074</v>
      </c>
      <c r="J94" s="6">
        <v>4884074</v>
      </c>
      <c r="K94" s="6">
        <v>4879497</v>
      </c>
      <c r="L94" s="6">
        <v>4879497</v>
      </c>
      <c r="M94" s="6">
        <v>4879497</v>
      </c>
      <c r="N94" s="6">
        <v>4768642</v>
      </c>
      <c r="O94" s="6">
        <v>7</v>
      </c>
      <c r="P94" s="6">
        <v>3069513</v>
      </c>
      <c r="Q94" s="6">
        <v>4884074</v>
      </c>
      <c r="R94" s="6">
        <v>52.27</v>
      </c>
      <c r="S94" s="6">
        <v>3069513</v>
      </c>
      <c r="T94" s="6">
        <v>1605426</v>
      </c>
      <c r="U94" s="6">
        <v>2459468.9</v>
      </c>
      <c r="V94" s="6">
        <v>1</v>
      </c>
      <c r="W94" s="6">
        <v>2</v>
      </c>
      <c r="X94" s="6">
        <v>0</v>
      </c>
    </row>
    <row r="95" spans="1:24" x14ac:dyDescent="0.25">
      <c r="A95" s="6" t="s">
        <v>376</v>
      </c>
      <c r="B95" s="6" t="str">
        <f>VLOOKUP(A95,'[1]SBV Isolates'!$A$2:$B$367,2,FALSE)</f>
        <v>plate03</v>
      </c>
      <c r="C95" s="6">
        <v>7</v>
      </c>
      <c r="D95" s="6">
        <v>7</v>
      </c>
      <c r="E95" s="6">
        <v>6</v>
      </c>
      <c r="F95" s="6">
        <v>6</v>
      </c>
      <c r="G95" s="6">
        <v>6</v>
      </c>
      <c r="H95" s="6">
        <v>3</v>
      </c>
      <c r="I95" s="6">
        <v>4883403</v>
      </c>
      <c r="J95" s="6">
        <v>4883403</v>
      </c>
      <c r="K95" s="6">
        <v>4878891</v>
      </c>
      <c r="L95" s="6">
        <v>4878891</v>
      </c>
      <c r="M95" s="6">
        <v>4878891</v>
      </c>
      <c r="N95" s="6">
        <v>4768048</v>
      </c>
      <c r="O95" s="6">
        <v>7</v>
      </c>
      <c r="P95" s="6">
        <v>3069106</v>
      </c>
      <c r="Q95" s="6">
        <v>4883403</v>
      </c>
      <c r="R95" s="6">
        <v>52.27</v>
      </c>
      <c r="S95" s="6">
        <v>3069106</v>
      </c>
      <c r="T95" s="6">
        <v>1605246</v>
      </c>
      <c r="U95" s="6">
        <v>2459176.1</v>
      </c>
      <c r="V95" s="6">
        <v>1</v>
      </c>
      <c r="W95" s="6">
        <v>2</v>
      </c>
      <c r="X95" s="6">
        <v>0</v>
      </c>
    </row>
    <row r="96" spans="1:24" x14ac:dyDescent="0.25">
      <c r="A96" s="6" t="s">
        <v>381</v>
      </c>
      <c r="B96" s="6" t="str">
        <f>VLOOKUP(A96,'[1]SBV Isolates'!$A$2:$B$367,2,FALSE)</f>
        <v>plate04</v>
      </c>
      <c r="C96" s="6">
        <v>7</v>
      </c>
      <c r="D96" s="6">
        <v>7</v>
      </c>
      <c r="E96" s="6">
        <v>7</v>
      </c>
      <c r="F96" s="6">
        <v>6</v>
      </c>
      <c r="G96" s="6">
        <v>6</v>
      </c>
      <c r="H96" s="6">
        <v>3</v>
      </c>
      <c r="I96" s="6">
        <v>4886906</v>
      </c>
      <c r="J96" s="6">
        <v>4886906</v>
      </c>
      <c r="K96" s="6">
        <v>4886906</v>
      </c>
      <c r="L96" s="6">
        <v>4879571</v>
      </c>
      <c r="M96" s="6">
        <v>4879571</v>
      </c>
      <c r="N96" s="6">
        <v>4768428</v>
      </c>
      <c r="O96" s="6">
        <v>7</v>
      </c>
      <c r="P96" s="6">
        <v>3069492</v>
      </c>
      <c r="Q96" s="6">
        <v>4886906</v>
      </c>
      <c r="R96" s="6">
        <v>52.27</v>
      </c>
      <c r="S96" s="6">
        <v>3069492</v>
      </c>
      <c r="T96" s="6">
        <v>1605244</v>
      </c>
      <c r="U96" s="6">
        <v>2457907.9</v>
      </c>
      <c r="V96" s="6">
        <v>1</v>
      </c>
      <c r="W96" s="6">
        <v>2</v>
      </c>
      <c r="X96" s="6">
        <v>0</v>
      </c>
    </row>
    <row r="97" spans="1:24" x14ac:dyDescent="0.25">
      <c r="A97" s="6" t="s">
        <v>386</v>
      </c>
      <c r="B97" s="6" t="str">
        <f>VLOOKUP(A97,'[1]SBV Isolates'!$A$2:$B$367,2,FALSE)</f>
        <v>plate04</v>
      </c>
      <c r="C97" s="6">
        <v>7</v>
      </c>
      <c r="D97" s="6">
        <v>7</v>
      </c>
      <c r="E97" s="6">
        <v>7</v>
      </c>
      <c r="F97" s="6">
        <v>6</v>
      </c>
      <c r="G97" s="6">
        <v>6</v>
      </c>
      <c r="H97" s="6">
        <v>4</v>
      </c>
      <c r="I97" s="6">
        <v>4942370</v>
      </c>
      <c r="J97" s="6">
        <v>4942370</v>
      </c>
      <c r="K97" s="6">
        <v>4942370</v>
      </c>
      <c r="L97" s="6">
        <v>4934455</v>
      </c>
      <c r="M97" s="6">
        <v>4934455</v>
      </c>
      <c r="N97" s="6">
        <v>4855892</v>
      </c>
      <c r="O97" s="6">
        <v>7</v>
      </c>
      <c r="P97" s="6">
        <v>3069517</v>
      </c>
      <c r="Q97" s="6">
        <v>4942370</v>
      </c>
      <c r="R97" s="6">
        <v>52.23</v>
      </c>
      <c r="S97" s="6">
        <v>3069517</v>
      </c>
      <c r="T97" s="6">
        <v>1605166</v>
      </c>
      <c r="U97" s="6">
        <v>2431648.2000000002</v>
      </c>
      <c r="V97" s="6">
        <v>1</v>
      </c>
      <c r="W97" s="6">
        <v>2</v>
      </c>
      <c r="X97" s="6">
        <v>0</v>
      </c>
    </row>
    <row r="98" spans="1:24" x14ac:dyDescent="0.25">
      <c r="A98" s="6" t="s">
        <v>388</v>
      </c>
      <c r="B98" s="6" t="str">
        <f>VLOOKUP(A98,'[1]SBV Isolates'!$A$2:$B$367,2,FALSE)</f>
        <v>plate04</v>
      </c>
      <c r="C98" s="6">
        <v>7</v>
      </c>
      <c r="D98" s="6">
        <v>7</v>
      </c>
      <c r="E98" s="6">
        <v>7</v>
      </c>
      <c r="F98" s="6">
        <v>7</v>
      </c>
      <c r="G98" s="6">
        <v>6</v>
      </c>
      <c r="H98" s="6">
        <v>3</v>
      </c>
      <c r="I98" s="6">
        <v>4926767</v>
      </c>
      <c r="J98" s="6">
        <v>4926767</v>
      </c>
      <c r="K98" s="6">
        <v>4926767</v>
      </c>
      <c r="L98" s="6">
        <v>4926767</v>
      </c>
      <c r="M98" s="6">
        <v>4913940</v>
      </c>
      <c r="N98" s="6">
        <v>4803640</v>
      </c>
      <c r="O98" s="6">
        <v>7</v>
      </c>
      <c r="P98" s="6">
        <v>3069518</v>
      </c>
      <c r="Q98" s="6">
        <v>4926767</v>
      </c>
      <c r="R98" s="6">
        <v>52.26</v>
      </c>
      <c r="S98" s="6">
        <v>3069518</v>
      </c>
      <c r="T98" s="6">
        <v>1640411</v>
      </c>
      <c r="U98" s="6">
        <v>2461233</v>
      </c>
      <c r="V98" s="6">
        <v>1</v>
      </c>
      <c r="W98" s="6">
        <v>2</v>
      </c>
      <c r="X98" s="6">
        <v>0</v>
      </c>
    </row>
    <row r="99" spans="1:24" x14ac:dyDescent="0.25">
      <c r="A99" s="6" t="s">
        <v>389</v>
      </c>
      <c r="B99" s="6" t="str">
        <f>VLOOKUP(A99,'[1]SBV Isolates'!$A$2:$B$367,2,FALSE)</f>
        <v>plate04</v>
      </c>
      <c r="C99" s="6">
        <v>7</v>
      </c>
      <c r="D99" s="6">
        <v>7</v>
      </c>
      <c r="E99" s="6">
        <v>6</v>
      </c>
      <c r="F99" s="6">
        <v>6</v>
      </c>
      <c r="G99" s="6">
        <v>6</v>
      </c>
      <c r="H99" s="6">
        <v>3</v>
      </c>
      <c r="I99" s="6">
        <v>4884026</v>
      </c>
      <c r="J99" s="6">
        <v>4884026</v>
      </c>
      <c r="K99" s="6">
        <v>4879453</v>
      </c>
      <c r="L99" s="6">
        <v>4879453</v>
      </c>
      <c r="M99" s="6">
        <v>4879453</v>
      </c>
      <c r="N99" s="6">
        <v>4768481</v>
      </c>
      <c r="O99" s="6">
        <v>7</v>
      </c>
      <c r="P99" s="6">
        <v>3069516</v>
      </c>
      <c r="Q99" s="6">
        <v>4884026</v>
      </c>
      <c r="R99" s="6">
        <v>52.27</v>
      </c>
      <c r="S99" s="6">
        <v>3069516</v>
      </c>
      <c r="T99" s="6">
        <v>1605250</v>
      </c>
      <c r="U99" s="6">
        <v>2459382.6</v>
      </c>
      <c r="V99" s="6">
        <v>1</v>
      </c>
      <c r="W99" s="6">
        <v>2</v>
      </c>
      <c r="X99" s="6">
        <v>0</v>
      </c>
    </row>
    <row r="100" spans="1:24" x14ac:dyDescent="0.25">
      <c r="A100" s="6" t="s">
        <v>391</v>
      </c>
      <c r="B100" s="6" t="str">
        <f>VLOOKUP(A100,'[1]SBV Isolates'!$A$2:$B$367,2,FALSE)</f>
        <v>plate04</v>
      </c>
      <c r="C100" s="6">
        <v>7</v>
      </c>
      <c r="D100" s="6">
        <v>7</v>
      </c>
      <c r="E100" s="6">
        <v>7</v>
      </c>
      <c r="F100" s="6">
        <v>6</v>
      </c>
      <c r="G100" s="6">
        <v>6</v>
      </c>
      <c r="H100" s="6">
        <v>3</v>
      </c>
      <c r="I100" s="6">
        <v>4887382</v>
      </c>
      <c r="J100" s="6">
        <v>4887382</v>
      </c>
      <c r="K100" s="6">
        <v>4887382</v>
      </c>
      <c r="L100" s="6">
        <v>4879079</v>
      </c>
      <c r="M100" s="6">
        <v>4879079</v>
      </c>
      <c r="N100" s="6">
        <v>4768468</v>
      </c>
      <c r="O100" s="6">
        <v>7</v>
      </c>
      <c r="P100" s="6">
        <v>3069517</v>
      </c>
      <c r="Q100" s="6">
        <v>4887382</v>
      </c>
      <c r="R100" s="6">
        <v>52.27</v>
      </c>
      <c r="S100" s="6">
        <v>3069517</v>
      </c>
      <c r="T100" s="6">
        <v>1605238</v>
      </c>
      <c r="U100" s="6">
        <v>2457692.5</v>
      </c>
      <c r="V100" s="6">
        <v>1</v>
      </c>
      <c r="W100" s="6">
        <v>2</v>
      </c>
      <c r="X100" s="6">
        <v>0</v>
      </c>
    </row>
    <row r="101" spans="1:24" x14ac:dyDescent="0.25">
      <c r="A101" s="6" t="s">
        <v>392</v>
      </c>
      <c r="B101" s="6" t="str">
        <f>VLOOKUP(A101,'[1]SBV Isolates'!$A$2:$B$367,2,FALSE)</f>
        <v>plate04</v>
      </c>
      <c r="C101" s="6">
        <v>7</v>
      </c>
      <c r="D101" s="6">
        <v>7</v>
      </c>
      <c r="E101" s="6">
        <v>6</v>
      </c>
      <c r="F101" s="6">
        <v>6</v>
      </c>
      <c r="G101" s="6">
        <v>6</v>
      </c>
      <c r="H101" s="6">
        <v>3</v>
      </c>
      <c r="I101" s="6">
        <v>4883352</v>
      </c>
      <c r="J101" s="6">
        <v>4883352</v>
      </c>
      <c r="K101" s="6">
        <v>4878776</v>
      </c>
      <c r="L101" s="6">
        <v>4878776</v>
      </c>
      <c r="M101" s="6">
        <v>4878776</v>
      </c>
      <c r="N101" s="6">
        <v>4768259</v>
      </c>
      <c r="O101" s="6">
        <v>7</v>
      </c>
      <c r="P101" s="6">
        <v>3069415</v>
      </c>
      <c r="Q101" s="6">
        <v>4883352</v>
      </c>
      <c r="R101" s="6">
        <v>52.27</v>
      </c>
      <c r="S101" s="6">
        <v>3069415</v>
      </c>
      <c r="T101" s="6">
        <v>1605197</v>
      </c>
      <c r="U101" s="6">
        <v>2459551.9</v>
      </c>
      <c r="V101" s="6">
        <v>1</v>
      </c>
      <c r="W101" s="6">
        <v>2</v>
      </c>
      <c r="X101" s="6">
        <v>0</v>
      </c>
    </row>
    <row r="102" spans="1:24" x14ac:dyDescent="0.25">
      <c r="A102" s="6" t="s">
        <v>397</v>
      </c>
      <c r="B102" s="6" t="str">
        <f>VLOOKUP(A102,'[1]SBV Isolates'!$A$2:$B$367,2,FALSE)</f>
        <v>plate04</v>
      </c>
      <c r="C102" s="6">
        <v>7</v>
      </c>
      <c r="D102" s="6">
        <v>7</v>
      </c>
      <c r="E102" s="6">
        <v>7</v>
      </c>
      <c r="F102" s="6">
        <v>6</v>
      </c>
      <c r="G102" s="6">
        <v>6</v>
      </c>
      <c r="H102" s="6">
        <v>3</v>
      </c>
      <c r="I102" s="6">
        <v>4889008</v>
      </c>
      <c r="J102" s="6">
        <v>4889008</v>
      </c>
      <c r="K102" s="6">
        <v>4889008</v>
      </c>
      <c r="L102" s="6">
        <v>4880466</v>
      </c>
      <c r="M102" s="6">
        <v>4880466</v>
      </c>
      <c r="N102" s="6">
        <v>4768454</v>
      </c>
      <c r="O102" s="6">
        <v>7</v>
      </c>
      <c r="P102" s="6">
        <v>3069517</v>
      </c>
      <c r="Q102" s="6">
        <v>4889008</v>
      </c>
      <c r="R102" s="6">
        <v>52.27</v>
      </c>
      <c r="S102" s="6">
        <v>3069517</v>
      </c>
      <c r="T102" s="6">
        <v>1605244</v>
      </c>
      <c r="U102" s="6">
        <v>2456902</v>
      </c>
      <c r="V102" s="6">
        <v>1</v>
      </c>
      <c r="W102" s="6">
        <v>2</v>
      </c>
      <c r="X102" s="6">
        <v>0</v>
      </c>
    </row>
    <row r="103" spans="1:24" x14ac:dyDescent="0.25">
      <c r="A103" s="6" t="s">
        <v>416</v>
      </c>
      <c r="B103" s="6" t="str">
        <f>VLOOKUP(A103,'[1]SBV Isolates'!$A$2:$B$367,2,FALSE)</f>
        <v>plate04</v>
      </c>
      <c r="C103" s="6">
        <v>7</v>
      </c>
      <c r="D103" s="6">
        <v>7</v>
      </c>
      <c r="E103" s="6">
        <v>7</v>
      </c>
      <c r="F103" s="6">
        <v>6</v>
      </c>
      <c r="G103" s="6">
        <v>6</v>
      </c>
      <c r="H103" s="6">
        <v>3</v>
      </c>
      <c r="I103" s="6">
        <v>4887387</v>
      </c>
      <c r="J103" s="6">
        <v>4887387</v>
      </c>
      <c r="K103" s="6">
        <v>4887387</v>
      </c>
      <c r="L103" s="6">
        <v>4879102</v>
      </c>
      <c r="M103" s="6">
        <v>4879102</v>
      </c>
      <c r="N103" s="6">
        <v>4768467</v>
      </c>
      <c r="O103" s="6">
        <v>7</v>
      </c>
      <c r="P103" s="6">
        <v>3069517</v>
      </c>
      <c r="Q103" s="6">
        <v>4887387</v>
      </c>
      <c r="R103" s="6">
        <v>52.27</v>
      </c>
      <c r="S103" s="6">
        <v>3069517</v>
      </c>
      <c r="T103" s="6">
        <v>1605244</v>
      </c>
      <c r="U103" s="6">
        <v>2457693.9</v>
      </c>
      <c r="V103" s="6">
        <v>1</v>
      </c>
      <c r="W103" s="6">
        <v>2</v>
      </c>
      <c r="X103" s="6">
        <v>0</v>
      </c>
    </row>
    <row r="104" spans="1:24" x14ac:dyDescent="0.25">
      <c r="A104" s="6" t="s">
        <v>419</v>
      </c>
      <c r="B104" s="6" t="str">
        <f>VLOOKUP(A104,'[1]SBV Isolates'!$A$2:$B$367,2,FALSE)</f>
        <v>plate04</v>
      </c>
      <c r="C104" s="6">
        <v>7</v>
      </c>
      <c r="D104" s="6">
        <v>7</v>
      </c>
      <c r="E104" s="6">
        <v>6</v>
      </c>
      <c r="F104" s="6">
        <v>6</v>
      </c>
      <c r="G104" s="6">
        <v>6</v>
      </c>
      <c r="H104" s="6">
        <v>3</v>
      </c>
      <c r="I104" s="6">
        <v>4883165</v>
      </c>
      <c r="J104" s="6">
        <v>4883165</v>
      </c>
      <c r="K104" s="6">
        <v>4878577</v>
      </c>
      <c r="L104" s="6">
        <v>4878577</v>
      </c>
      <c r="M104" s="6">
        <v>4878577</v>
      </c>
      <c r="N104" s="6">
        <v>4768424</v>
      </c>
      <c r="O104" s="6">
        <v>7</v>
      </c>
      <c r="P104" s="6">
        <v>3069532</v>
      </c>
      <c r="Q104" s="6">
        <v>4883165</v>
      </c>
      <c r="R104" s="6">
        <v>52.27</v>
      </c>
      <c r="S104" s="6">
        <v>3069532</v>
      </c>
      <c r="T104" s="6">
        <v>1605209</v>
      </c>
      <c r="U104" s="6">
        <v>2459797.4</v>
      </c>
      <c r="V104" s="6">
        <v>1</v>
      </c>
      <c r="W104" s="6">
        <v>2</v>
      </c>
      <c r="X104" s="6">
        <v>0</v>
      </c>
    </row>
    <row r="105" spans="1:24" x14ac:dyDescent="0.25">
      <c r="A105" s="6" t="s">
        <v>429</v>
      </c>
      <c r="B105" s="6" t="str">
        <f>VLOOKUP(A105,'[1]SBV Isolates'!$A$2:$B$367,2,FALSE)</f>
        <v>plate04</v>
      </c>
      <c r="C105" s="6">
        <v>7</v>
      </c>
      <c r="D105" s="6">
        <v>7</v>
      </c>
      <c r="E105" s="6">
        <v>6</v>
      </c>
      <c r="F105" s="6">
        <v>6</v>
      </c>
      <c r="G105" s="6">
        <v>6</v>
      </c>
      <c r="H105" s="6">
        <v>3</v>
      </c>
      <c r="I105" s="6">
        <v>4885229</v>
      </c>
      <c r="J105" s="6">
        <v>4885229</v>
      </c>
      <c r="K105" s="6">
        <v>4880640</v>
      </c>
      <c r="L105" s="6">
        <v>4880640</v>
      </c>
      <c r="M105" s="6">
        <v>4880640</v>
      </c>
      <c r="N105" s="6">
        <v>4768426</v>
      </c>
      <c r="O105" s="6">
        <v>7</v>
      </c>
      <c r="P105" s="6">
        <v>3069529</v>
      </c>
      <c r="Q105" s="6">
        <v>4885229</v>
      </c>
      <c r="R105" s="6">
        <v>52.27</v>
      </c>
      <c r="S105" s="6">
        <v>3069529</v>
      </c>
      <c r="T105" s="6">
        <v>1605190</v>
      </c>
      <c r="U105" s="6">
        <v>2458775</v>
      </c>
      <c r="V105" s="6">
        <v>1</v>
      </c>
      <c r="W105" s="6">
        <v>2</v>
      </c>
      <c r="X105" s="6">
        <v>0</v>
      </c>
    </row>
    <row r="106" spans="1:24" x14ac:dyDescent="0.25">
      <c r="A106" s="6" t="s">
        <v>431</v>
      </c>
      <c r="B106" s="6" t="str">
        <f>VLOOKUP(A106,'[1]SBV Isolates'!$A$2:$B$367,2,FALSE)</f>
        <v>plate04</v>
      </c>
      <c r="C106" s="6">
        <v>7</v>
      </c>
      <c r="D106" s="6">
        <v>7</v>
      </c>
      <c r="E106" s="6">
        <v>7</v>
      </c>
      <c r="F106" s="6">
        <v>6</v>
      </c>
      <c r="G106" s="6">
        <v>6</v>
      </c>
      <c r="H106" s="6">
        <v>3</v>
      </c>
      <c r="I106" s="6">
        <v>4887459</v>
      </c>
      <c r="J106" s="6">
        <v>4887459</v>
      </c>
      <c r="K106" s="6">
        <v>4887459</v>
      </c>
      <c r="L106" s="6">
        <v>4879141</v>
      </c>
      <c r="M106" s="6">
        <v>4879141</v>
      </c>
      <c r="N106" s="6">
        <v>4768444</v>
      </c>
      <c r="O106" s="6">
        <v>7</v>
      </c>
      <c r="P106" s="6">
        <v>3069541</v>
      </c>
      <c r="Q106" s="6">
        <v>4887459</v>
      </c>
      <c r="R106" s="6">
        <v>52.26</v>
      </c>
      <c r="S106" s="6">
        <v>3069541</v>
      </c>
      <c r="T106" s="6">
        <v>1605208</v>
      </c>
      <c r="U106" s="6">
        <v>2457664.7999999998</v>
      </c>
      <c r="V106" s="6">
        <v>1</v>
      </c>
      <c r="W106" s="6">
        <v>2</v>
      </c>
      <c r="X106" s="6">
        <v>0</v>
      </c>
    </row>
    <row r="107" spans="1:24" x14ac:dyDescent="0.25">
      <c r="A107" s="6" t="s">
        <v>434</v>
      </c>
      <c r="B107" s="6" t="str">
        <f>VLOOKUP(A107,'[1]SBV Isolates'!$A$2:$B$367,2,FALSE)</f>
        <v>plate04</v>
      </c>
      <c r="C107" s="6">
        <v>7</v>
      </c>
      <c r="D107" s="6">
        <v>7</v>
      </c>
      <c r="E107" s="6">
        <v>7</v>
      </c>
      <c r="F107" s="6">
        <v>6</v>
      </c>
      <c r="G107" s="6">
        <v>6</v>
      </c>
      <c r="H107" s="6">
        <v>3</v>
      </c>
      <c r="I107" s="6">
        <v>4889087</v>
      </c>
      <c r="J107" s="6">
        <v>4889087</v>
      </c>
      <c r="K107" s="6">
        <v>4889087</v>
      </c>
      <c r="L107" s="6">
        <v>4880803</v>
      </c>
      <c r="M107" s="6">
        <v>4880803</v>
      </c>
      <c r="N107" s="6">
        <v>4768440</v>
      </c>
      <c r="O107" s="6">
        <v>7</v>
      </c>
      <c r="P107" s="6">
        <v>3069538</v>
      </c>
      <c r="Q107" s="6">
        <v>4889087</v>
      </c>
      <c r="R107" s="6">
        <v>52.27</v>
      </c>
      <c r="S107" s="6">
        <v>3069538</v>
      </c>
      <c r="T107" s="6">
        <v>1605203</v>
      </c>
      <c r="U107" s="6">
        <v>2456866.2000000002</v>
      </c>
      <c r="V107" s="6">
        <v>1</v>
      </c>
      <c r="W107" s="6">
        <v>2</v>
      </c>
      <c r="X107" s="6">
        <v>0</v>
      </c>
    </row>
    <row r="108" spans="1:24" x14ac:dyDescent="0.25">
      <c r="A108" s="6" t="s">
        <v>442</v>
      </c>
      <c r="B108" s="6" t="str">
        <f>VLOOKUP(A108,'[1]SBV Isolates'!$A$2:$B$367,2,FALSE)</f>
        <v>plate04</v>
      </c>
      <c r="C108" s="6">
        <v>7</v>
      </c>
      <c r="D108" s="6">
        <v>7</v>
      </c>
      <c r="E108" s="6">
        <v>6</v>
      </c>
      <c r="F108" s="6">
        <v>6</v>
      </c>
      <c r="G108" s="6">
        <v>6</v>
      </c>
      <c r="H108" s="6">
        <v>3</v>
      </c>
      <c r="I108" s="6">
        <v>4885220</v>
      </c>
      <c r="J108" s="6">
        <v>4885220</v>
      </c>
      <c r="K108" s="6">
        <v>4880640</v>
      </c>
      <c r="L108" s="6">
        <v>4880640</v>
      </c>
      <c r="M108" s="6">
        <v>4880640</v>
      </c>
      <c r="N108" s="6">
        <v>4768480</v>
      </c>
      <c r="O108" s="6">
        <v>7</v>
      </c>
      <c r="P108" s="6">
        <v>3069517</v>
      </c>
      <c r="Q108" s="6">
        <v>4885220</v>
      </c>
      <c r="R108" s="6">
        <v>52.27</v>
      </c>
      <c r="S108" s="6">
        <v>3069517</v>
      </c>
      <c r="T108" s="6">
        <v>1605244</v>
      </c>
      <c r="U108" s="6">
        <v>2458799.6</v>
      </c>
      <c r="V108" s="6">
        <v>1</v>
      </c>
      <c r="W108" s="6">
        <v>2</v>
      </c>
      <c r="X108" s="6">
        <v>0</v>
      </c>
    </row>
    <row r="109" spans="1:24" x14ac:dyDescent="0.25">
      <c r="A109" s="6" t="s">
        <v>455</v>
      </c>
      <c r="B109" s="6" t="str">
        <f>VLOOKUP(A109,'[1]SBV Isolates'!$A$2:$B$367,2,FALSE)</f>
        <v>plate04</v>
      </c>
      <c r="C109" s="6">
        <v>7</v>
      </c>
      <c r="D109" s="6">
        <v>7</v>
      </c>
      <c r="E109" s="6">
        <v>6</v>
      </c>
      <c r="F109" s="6">
        <v>6</v>
      </c>
      <c r="G109" s="6">
        <v>6</v>
      </c>
      <c r="H109" s="6">
        <v>3</v>
      </c>
      <c r="I109" s="6">
        <v>4883787</v>
      </c>
      <c r="J109" s="6">
        <v>4883787</v>
      </c>
      <c r="K109" s="6">
        <v>4879211</v>
      </c>
      <c r="L109" s="6">
        <v>4879211</v>
      </c>
      <c r="M109" s="6">
        <v>4879211</v>
      </c>
      <c r="N109" s="6">
        <v>4768255</v>
      </c>
      <c r="O109" s="6">
        <v>7</v>
      </c>
      <c r="P109" s="6">
        <v>3069530</v>
      </c>
      <c r="Q109" s="6">
        <v>4883787</v>
      </c>
      <c r="R109" s="6">
        <v>52.27</v>
      </c>
      <c r="S109" s="6">
        <v>3069530</v>
      </c>
      <c r="T109" s="6">
        <v>1605026</v>
      </c>
      <c r="U109" s="6">
        <v>2459373.1</v>
      </c>
      <c r="V109" s="6">
        <v>1</v>
      </c>
      <c r="W109" s="6">
        <v>2</v>
      </c>
      <c r="X109" s="6">
        <v>0</v>
      </c>
    </row>
    <row r="110" spans="1:24" x14ac:dyDescent="0.25">
      <c r="A110" s="6" t="s">
        <v>136</v>
      </c>
      <c r="B110" s="6" t="str">
        <f>VLOOKUP(A110,'[1]SBV Isolates'!$A$2:$B$367,2,FALSE)</f>
        <v>plate01</v>
      </c>
      <c r="C110" s="6">
        <v>6</v>
      </c>
      <c r="D110" s="6">
        <v>6</v>
      </c>
      <c r="E110" s="6">
        <v>5</v>
      </c>
      <c r="F110" s="6">
        <v>5</v>
      </c>
      <c r="G110" s="6">
        <v>5</v>
      </c>
      <c r="H110" s="6">
        <v>3</v>
      </c>
      <c r="I110" s="6">
        <v>4970555</v>
      </c>
      <c r="J110" s="6">
        <v>4970555</v>
      </c>
      <c r="K110" s="6">
        <v>4965973</v>
      </c>
      <c r="L110" s="6">
        <v>4965973</v>
      </c>
      <c r="M110" s="6">
        <v>4965973</v>
      </c>
      <c r="N110" s="6">
        <v>4889209</v>
      </c>
      <c r="O110" s="6">
        <v>6</v>
      </c>
      <c r="P110" s="6">
        <v>3190447</v>
      </c>
      <c r="Q110" s="6">
        <v>4970555</v>
      </c>
      <c r="R110" s="6">
        <v>52.2</v>
      </c>
      <c r="S110" s="6">
        <v>3190447</v>
      </c>
      <c r="T110" s="6">
        <v>1605064</v>
      </c>
      <c r="U110" s="6">
        <v>2568514.9</v>
      </c>
      <c r="V110" s="6">
        <v>1</v>
      </c>
      <c r="W110" s="6">
        <v>2</v>
      </c>
      <c r="X110" s="6">
        <v>0</v>
      </c>
    </row>
    <row r="111" spans="1:24" x14ac:dyDescent="0.25">
      <c r="A111" s="6" t="s">
        <v>154</v>
      </c>
      <c r="B111" s="6" t="str">
        <f>VLOOKUP(A111,'[1]SBV Isolates'!$A$2:$B$367,2,FALSE)</f>
        <v>plate01</v>
      </c>
      <c r="C111" s="6">
        <v>6</v>
      </c>
      <c r="D111" s="6">
        <v>6</v>
      </c>
      <c r="E111" s="6">
        <v>5</v>
      </c>
      <c r="F111" s="6">
        <v>5</v>
      </c>
      <c r="G111" s="6">
        <v>5</v>
      </c>
      <c r="H111" s="6">
        <v>3</v>
      </c>
      <c r="I111" s="6">
        <v>4849799</v>
      </c>
      <c r="J111" s="6">
        <v>4849799</v>
      </c>
      <c r="K111" s="6">
        <v>4845227</v>
      </c>
      <c r="L111" s="6">
        <v>4845227</v>
      </c>
      <c r="M111" s="6">
        <v>4845227</v>
      </c>
      <c r="N111" s="6">
        <v>4768463</v>
      </c>
      <c r="O111" s="6">
        <v>6</v>
      </c>
      <c r="P111" s="6">
        <v>3069513</v>
      </c>
      <c r="Q111" s="6">
        <v>4849799</v>
      </c>
      <c r="R111" s="6">
        <v>52.27</v>
      </c>
      <c r="S111" s="6">
        <v>3069513</v>
      </c>
      <c r="T111" s="6">
        <v>1605250</v>
      </c>
      <c r="U111" s="6">
        <v>2476494.4</v>
      </c>
      <c r="V111" s="6">
        <v>1</v>
      </c>
      <c r="W111" s="6">
        <v>2</v>
      </c>
      <c r="X111" s="6">
        <v>0</v>
      </c>
    </row>
    <row r="112" spans="1:24" x14ac:dyDescent="0.25">
      <c r="A112" s="6" t="s">
        <v>166</v>
      </c>
      <c r="B112" s="6" t="str">
        <f>VLOOKUP(A112,'[1]SBV Isolates'!$A$2:$B$367,2,FALSE)</f>
        <v>plate01</v>
      </c>
      <c r="C112" s="6">
        <v>6</v>
      </c>
      <c r="D112" s="6">
        <v>6</v>
      </c>
      <c r="E112" s="6">
        <v>5</v>
      </c>
      <c r="F112" s="6">
        <v>5</v>
      </c>
      <c r="G112" s="6">
        <v>5</v>
      </c>
      <c r="H112" s="6">
        <v>3</v>
      </c>
      <c r="I112" s="6">
        <v>4997917</v>
      </c>
      <c r="J112" s="6">
        <v>4997917</v>
      </c>
      <c r="K112" s="6">
        <v>4993336</v>
      </c>
      <c r="L112" s="6">
        <v>4993336</v>
      </c>
      <c r="M112" s="6">
        <v>4993336</v>
      </c>
      <c r="N112" s="6">
        <v>4925396</v>
      </c>
      <c r="O112" s="6">
        <v>6</v>
      </c>
      <c r="P112" s="6">
        <v>4743917</v>
      </c>
      <c r="Q112" s="6">
        <v>4997917</v>
      </c>
      <c r="R112" s="6">
        <v>52.22</v>
      </c>
      <c r="S112" s="6">
        <v>4743917</v>
      </c>
      <c r="T112" s="6">
        <v>4743917</v>
      </c>
      <c r="U112" s="6">
        <v>4506590.0999999996</v>
      </c>
      <c r="V112" s="6">
        <v>1</v>
      </c>
      <c r="W112" s="6">
        <v>1</v>
      </c>
      <c r="X112" s="6">
        <v>0</v>
      </c>
    </row>
    <row r="113" spans="1:24" x14ac:dyDescent="0.25">
      <c r="A113" s="6" t="s">
        <v>170</v>
      </c>
      <c r="B113" s="6" t="str">
        <f>VLOOKUP(A113,'[1]SBV Isolates'!$A$2:$B$367,2,FALSE)</f>
        <v>plate01</v>
      </c>
      <c r="C113" s="6">
        <v>6</v>
      </c>
      <c r="D113" s="6">
        <v>6</v>
      </c>
      <c r="E113" s="6">
        <v>5</v>
      </c>
      <c r="F113" s="6">
        <v>4</v>
      </c>
      <c r="G113" s="6">
        <v>4</v>
      </c>
      <c r="H113" s="6">
        <v>3</v>
      </c>
      <c r="I113" s="6">
        <v>4812492</v>
      </c>
      <c r="J113" s="6">
        <v>4812492</v>
      </c>
      <c r="K113" s="6">
        <v>4810407</v>
      </c>
      <c r="L113" s="6">
        <v>4802075</v>
      </c>
      <c r="M113" s="6">
        <v>4802075</v>
      </c>
      <c r="N113" s="6">
        <v>4768442</v>
      </c>
      <c r="O113" s="6">
        <v>6</v>
      </c>
      <c r="P113" s="6">
        <v>3069532</v>
      </c>
      <c r="Q113" s="6">
        <v>4812492</v>
      </c>
      <c r="R113" s="6">
        <v>52.27</v>
      </c>
      <c r="S113" s="6">
        <v>3069532</v>
      </c>
      <c r="T113" s="6">
        <v>1605203</v>
      </c>
      <c r="U113" s="6">
        <v>2495316.2000000002</v>
      </c>
      <c r="V113" s="6">
        <v>1</v>
      </c>
      <c r="W113" s="6">
        <v>2</v>
      </c>
      <c r="X113" s="6">
        <v>0</v>
      </c>
    </row>
    <row r="114" spans="1:24" x14ac:dyDescent="0.25">
      <c r="A114" s="6" t="s">
        <v>174</v>
      </c>
      <c r="B114" s="6" t="str">
        <f>VLOOKUP(A114,'[1]SBV Isolates'!$A$2:$B$367,2,FALSE)</f>
        <v>plate01</v>
      </c>
      <c r="C114" s="6">
        <v>6</v>
      </c>
      <c r="D114" s="6">
        <v>6</v>
      </c>
      <c r="E114" s="6">
        <v>6</v>
      </c>
      <c r="F114" s="6">
        <v>6</v>
      </c>
      <c r="G114" s="6">
        <v>6</v>
      </c>
      <c r="H114" s="6">
        <v>3</v>
      </c>
      <c r="I114" s="6">
        <v>4879150</v>
      </c>
      <c r="J114" s="6">
        <v>4879150</v>
      </c>
      <c r="K114" s="6">
        <v>4879150</v>
      </c>
      <c r="L114" s="6">
        <v>4879150</v>
      </c>
      <c r="M114" s="6">
        <v>4879150</v>
      </c>
      <c r="N114" s="6">
        <v>4768450</v>
      </c>
      <c r="O114" s="6">
        <v>6</v>
      </c>
      <c r="P114" s="6">
        <v>3069513</v>
      </c>
      <c r="Q114" s="6">
        <v>4879150</v>
      </c>
      <c r="R114" s="6">
        <v>52.27</v>
      </c>
      <c r="S114" s="6">
        <v>3069513</v>
      </c>
      <c r="T114" s="6">
        <v>1605228</v>
      </c>
      <c r="U114" s="6">
        <v>2461814.4</v>
      </c>
      <c r="V114" s="6">
        <v>1</v>
      </c>
      <c r="W114" s="6">
        <v>2</v>
      </c>
      <c r="X114" s="6">
        <v>0</v>
      </c>
    </row>
    <row r="115" spans="1:24" x14ac:dyDescent="0.25">
      <c r="A115" s="6" t="s">
        <v>194</v>
      </c>
      <c r="B115" s="6" t="str">
        <f>VLOOKUP(A115,'[1]SBV Isolates'!$A$2:$B$367,2,FALSE)</f>
        <v>plate02</v>
      </c>
      <c r="C115" s="6">
        <v>6</v>
      </c>
      <c r="D115" s="6">
        <v>6</v>
      </c>
      <c r="E115" s="6">
        <v>4</v>
      </c>
      <c r="F115" s="6">
        <v>4</v>
      </c>
      <c r="G115" s="6">
        <v>4</v>
      </c>
      <c r="H115" s="6">
        <v>3</v>
      </c>
      <c r="I115" s="6">
        <v>4811716</v>
      </c>
      <c r="J115" s="6">
        <v>4811716</v>
      </c>
      <c r="K115" s="6">
        <v>4804053</v>
      </c>
      <c r="L115" s="6">
        <v>4804053</v>
      </c>
      <c r="M115" s="6">
        <v>4804053</v>
      </c>
      <c r="N115" s="6">
        <v>4768436</v>
      </c>
      <c r="O115" s="6">
        <v>6</v>
      </c>
      <c r="P115" s="6">
        <v>3069517</v>
      </c>
      <c r="Q115" s="6">
        <v>4811716</v>
      </c>
      <c r="R115" s="6">
        <v>52.26</v>
      </c>
      <c r="S115" s="6">
        <v>3069517</v>
      </c>
      <c r="T115" s="6">
        <v>1605232</v>
      </c>
      <c r="U115" s="6">
        <v>2495737.6</v>
      </c>
      <c r="V115" s="6">
        <v>1</v>
      </c>
      <c r="W115" s="6">
        <v>2</v>
      </c>
      <c r="X115" s="6">
        <v>0</v>
      </c>
    </row>
    <row r="116" spans="1:24" x14ac:dyDescent="0.25">
      <c r="A116" s="6" t="s">
        <v>207</v>
      </c>
      <c r="B116" s="6" t="str">
        <f>VLOOKUP(A116,'[1]SBV Isolates'!$A$2:$B$367,2,FALSE)</f>
        <v>plate02</v>
      </c>
      <c r="C116" s="6">
        <v>6</v>
      </c>
      <c r="D116" s="6">
        <v>6</v>
      </c>
      <c r="E116" s="6">
        <v>6</v>
      </c>
      <c r="F116" s="6">
        <v>4</v>
      </c>
      <c r="G116" s="6">
        <v>4</v>
      </c>
      <c r="H116" s="6">
        <v>3</v>
      </c>
      <c r="I116" s="6">
        <v>4817249</v>
      </c>
      <c r="J116" s="6">
        <v>4817249</v>
      </c>
      <c r="K116" s="6">
        <v>4817249</v>
      </c>
      <c r="L116" s="6">
        <v>4804083</v>
      </c>
      <c r="M116" s="6">
        <v>4804083</v>
      </c>
      <c r="N116" s="6">
        <v>4768456</v>
      </c>
      <c r="O116" s="6">
        <v>6</v>
      </c>
      <c r="P116" s="6">
        <v>3069517</v>
      </c>
      <c r="Q116" s="6">
        <v>4817249</v>
      </c>
      <c r="R116" s="6">
        <v>52.24</v>
      </c>
      <c r="S116" s="6">
        <v>3069517</v>
      </c>
      <c r="T116" s="6">
        <v>1605244</v>
      </c>
      <c r="U116" s="6">
        <v>2492891.7999999998</v>
      </c>
      <c r="V116" s="6">
        <v>1</v>
      </c>
      <c r="W116" s="6">
        <v>2</v>
      </c>
      <c r="X116" s="6">
        <v>0</v>
      </c>
    </row>
    <row r="117" spans="1:24" x14ac:dyDescent="0.25">
      <c r="A117" s="6" t="s">
        <v>210</v>
      </c>
      <c r="B117" s="6" t="str">
        <f>VLOOKUP(A117,'[1]SBV Isolates'!$A$2:$B$367,2,FALSE)</f>
        <v>plate02</v>
      </c>
      <c r="C117" s="6">
        <v>6</v>
      </c>
      <c r="D117" s="6">
        <v>6</v>
      </c>
      <c r="E117" s="6">
        <v>4</v>
      </c>
      <c r="F117" s="6">
        <v>4</v>
      </c>
      <c r="G117" s="6">
        <v>4</v>
      </c>
      <c r="H117" s="6">
        <v>3</v>
      </c>
      <c r="I117" s="6">
        <v>4811760</v>
      </c>
      <c r="J117" s="6">
        <v>4811760</v>
      </c>
      <c r="K117" s="6">
        <v>4804098</v>
      </c>
      <c r="L117" s="6">
        <v>4804098</v>
      </c>
      <c r="M117" s="6">
        <v>4804098</v>
      </c>
      <c r="N117" s="6">
        <v>4768466</v>
      </c>
      <c r="O117" s="6">
        <v>6</v>
      </c>
      <c r="P117" s="6">
        <v>3069517</v>
      </c>
      <c r="Q117" s="6">
        <v>4811760</v>
      </c>
      <c r="R117" s="6">
        <v>52.26</v>
      </c>
      <c r="S117" s="6">
        <v>3069517</v>
      </c>
      <c r="T117" s="6">
        <v>1605238</v>
      </c>
      <c r="U117" s="6">
        <v>2495720</v>
      </c>
      <c r="V117" s="6">
        <v>1</v>
      </c>
      <c r="W117" s="6">
        <v>2</v>
      </c>
      <c r="X117" s="6">
        <v>0</v>
      </c>
    </row>
    <row r="118" spans="1:24" x14ac:dyDescent="0.25">
      <c r="A118" s="6" t="s">
        <v>212</v>
      </c>
      <c r="B118" s="6" t="str">
        <f>VLOOKUP(A118,'[1]SBV Isolates'!$A$2:$B$367,2,FALSE)</f>
        <v>plate02</v>
      </c>
      <c r="C118" s="6">
        <v>6</v>
      </c>
      <c r="D118" s="6">
        <v>6</v>
      </c>
      <c r="E118" s="6">
        <v>5</v>
      </c>
      <c r="F118" s="6">
        <v>5</v>
      </c>
      <c r="G118" s="6">
        <v>5</v>
      </c>
      <c r="H118" s="6">
        <v>4</v>
      </c>
      <c r="I118" s="6">
        <v>4903646</v>
      </c>
      <c r="J118" s="6">
        <v>4903646</v>
      </c>
      <c r="K118" s="6">
        <v>4899057</v>
      </c>
      <c r="L118" s="6">
        <v>4899057</v>
      </c>
      <c r="M118" s="6">
        <v>4899057</v>
      </c>
      <c r="N118" s="6">
        <v>4864072</v>
      </c>
      <c r="O118" s="6">
        <v>6</v>
      </c>
      <c r="P118" s="6">
        <v>3069642</v>
      </c>
      <c r="Q118" s="6">
        <v>4903646</v>
      </c>
      <c r="R118" s="6">
        <v>52.21</v>
      </c>
      <c r="S118" s="6">
        <v>3069642</v>
      </c>
      <c r="T118" s="6">
        <v>1605203</v>
      </c>
      <c r="U118" s="6">
        <v>2450937.2999999998</v>
      </c>
      <c r="V118" s="6">
        <v>1</v>
      </c>
      <c r="W118" s="6">
        <v>2</v>
      </c>
      <c r="X118" s="6">
        <v>0</v>
      </c>
    </row>
    <row r="119" spans="1:24" x14ac:dyDescent="0.25">
      <c r="A119" s="6" t="s">
        <v>222</v>
      </c>
      <c r="B119" s="6" t="str">
        <f>VLOOKUP(A119,'[1]SBV Isolates'!$A$2:$B$367,2,FALSE)</f>
        <v>plate02</v>
      </c>
      <c r="C119" s="6">
        <v>6</v>
      </c>
      <c r="D119" s="6">
        <v>6</v>
      </c>
      <c r="E119" s="6">
        <v>6</v>
      </c>
      <c r="F119" s="6">
        <v>6</v>
      </c>
      <c r="G119" s="6">
        <v>6</v>
      </c>
      <c r="H119" s="6">
        <v>3</v>
      </c>
      <c r="I119" s="6">
        <v>4880486</v>
      </c>
      <c r="J119" s="6">
        <v>4880486</v>
      </c>
      <c r="K119" s="6">
        <v>4880486</v>
      </c>
      <c r="L119" s="6">
        <v>4880486</v>
      </c>
      <c r="M119" s="6">
        <v>4880486</v>
      </c>
      <c r="N119" s="6">
        <v>4769833</v>
      </c>
      <c r="O119" s="6">
        <v>6</v>
      </c>
      <c r="P119" s="6">
        <v>3069532</v>
      </c>
      <c r="Q119" s="6">
        <v>4880486</v>
      </c>
      <c r="R119" s="6">
        <v>52.27</v>
      </c>
      <c r="S119" s="6">
        <v>3069532</v>
      </c>
      <c r="T119" s="6">
        <v>1606596</v>
      </c>
      <c r="U119" s="6">
        <v>2462063.9</v>
      </c>
      <c r="V119" s="6">
        <v>1</v>
      </c>
      <c r="W119" s="6">
        <v>2</v>
      </c>
      <c r="X119" s="6">
        <v>0</v>
      </c>
    </row>
    <row r="120" spans="1:24" x14ac:dyDescent="0.25">
      <c r="A120" s="6" t="s">
        <v>231</v>
      </c>
      <c r="B120" s="6" t="str">
        <f>VLOOKUP(A120,'[1]SBV Isolates'!$A$2:$B$367,2,FALSE)</f>
        <v>plate02</v>
      </c>
      <c r="C120" s="6">
        <v>6</v>
      </c>
      <c r="D120" s="6">
        <v>6</v>
      </c>
      <c r="E120" s="6">
        <v>6</v>
      </c>
      <c r="F120" s="6">
        <v>6</v>
      </c>
      <c r="G120" s="6">
        <v>6</v>
      </c>
      <c r="H120" s="6">
        <v>5</v>
      </c>
      <c r="I120" s="6">
        <v>4809912</v>
      </c>
      <c r="J120" s="6">
        <v>4809912</v>
      </c>
      <c r="K120" s="6">
        <v>4809912</v>
      </c>
      <c r="L120" s="6">
        <v>4809912</v>
      </c>
      <c r="M120" s="6">
        <v>4809912</v>
      </c>
      <c r="N120" s="6">
        <v>4774276</v>
      </c>
      <c r="O120" s="6">
        <v>6</v>
      </c>
      <c r="P120" s="6">
        <v>1669262</v>
      </c>
      <c r="Q120" s="6">
        <v>4809912</v>
      </c>
      <c r="R120" s="6">
        <v>52.27</v>
      </c>
      <c r="S120" s="6">
        <v>1605244</v>
      </c>
      <c r="T120" s="6">
        <v>1316632</v>
      </c>
      <c r="U120" s="6">
        <v>1479198.1</v>
      </c>
      <c r="V120" s="6">
        <v>2</v>
      </c>
      <c r="W120" s="6">
        <v>3</v>
      </c>
      <c r="X120" s="6">
        <v>0</v>
      </c>
    </row>
    <row r="121" spans="1:24" x14ac:dyDescent="0.25">
      <c r="A121" s="6" t="s">
        <v>237</v>
      </c>
      <c r="B121" s="6" t="str">
        <f>VLOOKUP(A121,'[1]SBV Isolates'!$A$2:$B$367,2,FALSE)</f>
        <v>plate02</v>
      </c>
      <c r="C121" s="6">
        <v>6</v>
      </c>
      <c r="D121" s="6">
        <v>6</v>
      </c>
      <c r="E121" s="6">
        <v>6</v>
      </c>
      <c r="F121" s="6">
        <v>5</v>
      </c>
      <c r="G121" s="6">
        <v>5</v>
      </c>
      <c r="H121" s="6">
        <v>3</v>
      </c>
      <c r="I121" s="6">
        <v>4853164</v>
      </c>
      <c r="J121" s="6">
        <v>4853164</v>
      </c>
      <c r="K121" s="6">
        <v>4853164</v>
      </c>
      <c r="L121" s="6">
        <v>4845140</v>
      </c>
      <c r="M121" s="6">
        <v>4845140</v>
      </c>
      <c r="N121" s="6">
        <v>4768441</v>
      </c>
      <c r="O121" s="6">
        <v>6</v>
      </c>
      <c r="P121" s="6">
        <v>3069499</v>
      </c>
      <c r="Q121" s="6">
        <v>4853164</v>
      </c>
      <c r="R121" s="6">
        <v>52.27</v>
      </c>
      <c r="S121" s="6">
        <v>3069499</v>
      </c>
      <c r="T121" s="6">
        <v>1605244</v>
      </c>
      <c r="U121" s="6">
        <v>2474763.4</v>
      </c>
      <c r="V121" s="6">
        <v>1</v>
      </c>
      <c r="W121" s="6">
        <v>2</v>
      </c>
      <c r="X121" s="6">
        <v>0</v>
      </c>
    </row>
    <row r="122" spans="1:24" x14ac:dyDescent="0.25">
      <c r="A122" s="6" t="s">
        <v>240</v>
      </c>
      <c r="B122" s="6" t="str">
        <f>VLOOKUP(A122,'[1]SBV Isolates'!$A$2:$B$367,2,FALSE)</f>
        <v>plate02</v>
      </c>
      <c r="C122" s="6">
        <v>6</v>
      </c>
      <c r="D122" s="6">
        <v>6</v>
      </c>
      <c r="E122" s="6">
        <v>6</v>
      </c>
      <c r="F122" s="6">
        <v>5</v>
      </c>
      <c r="G122" s="6">
        <v>5</v>
      </c>
      <c r="H122" s="6">
        <v>4</v>
      </c>
      <c r="I122" s="6">
        <v>4926751</v>
      </c>
      <c r="J122" s="6">
        <v>4926751</v>
      </c>
      <c r="K122" s="6">
        <v>4926751</v>
      </c>
      <c r="L122" s="6">
        <v>4918886</v>
      </c>
      <c r="M122" s="6">
        <v>4918886</v>
      </c>
      <c r="N122" s="6">
        <v>4883258</v>
      </c>
      <c r="O122" s="6">
        <v>6</v>
      </c>
      <c r="P122" s="6">
        <v>3069493</v>
      </c>
      <c r="Q122" s="6">
        <v>4926751</v>
      </c>
      <c r="R122" s="6">
        <v>51.99</v>
      </c>
      <c r="S122" s="6">
        <v>3069493</v>
      </c>
      <c r="T122" s="6">
        <v>1605229</v>
      </c>
      <c r="U122" s="6">
        <v>2440116.2999999998</v>
      </c>
      <c r="V122" s="6">
        <v>1</v>
      </c>
      <c r="W122" s="6">
        <v>2</v>
      </c>
      <c r="X122" s="6">
        <v>0</v>
      </c>
    </row>
    <row r="123" spans="1:24" x14ac:dyDescent="0.25">
      <c r="A123" s="6" t="s">
        <v>249</v>
      </c>
      <c r="B123" s="6" t="str">
        <f>VLOOKUP(A123,'[1]SBV Isolates'!$A$2:$B$367,2,FALSE)</f>
        <v>plate02</v>
      </c>
      <c r="C123" s="6">
        <v>6</v>
      </c>
      <c r="D123" s="6">
        <v>6</v>
      </c>
      <c r="E123" s="6">
        <v>6</v>
      </c>
      <c r="F123" s="6">
        <v>5</v>
      </c>
      <c r="G123" s="6">
        <v>5</v>
      </c>
      <c r="H123" s="6">
        <v>3</v>
      </c>
      <c r="I123" s="6">
        <v>4845622</v>
      </c>
      <c r="J123" s="6">
        <v>4845622</v>
      </c>
      <c r="K123" s="6">
        <v>4845622</v>
      </c>
      <c r="L123" s="6">
        <v>4837730</v>
      </c>
      <c r="M123" s="6">
        <v>4837730</v>
      </c>
      <c r="N123" s="6">
        <v>4767844</v>
      </c>
      <c r="O123" s="6">
        <v>6</v>
      </c>
      <c r="P123" s="6">
        <v>3068932</v>
      </c>
      <c r="Q123" s="6">
        <v>4845622</v>
      </c>
      <c r="R123" s="6">
        <v>52.24</v>
      </c>
      <c r="S123" s="6">
        <v>3068932</v>
      </c>
      <c r="T123" s="6">
        <v>1605203</v>
      </c>
      <c r="U123" s="6">
        <v>2477763.7999999998</v>
      </c>
      <c r="V123" s="6">
        <v>1</v>
      </c>
      <c r="W123" s="6">
        <v>2</v>
      </c>
      <c r="X123" s="6">
        <v>0</v>
      </c>
    </row>
    <row r="124" spans="1:24" x14ac:dyDescent="0.25">
      <c r="A124" s="6" t="s">
        <v>266</v>
      </c>
      <c r="B124" s="6" t="str">
        <f>VLOOKUP(A124,'[1]SBV Isolates'!$A$2:$B$367,2,FALSE)</f>
        <v>plate02</v>
      </c>
      <c r="C124" s="6">
        <v>6</v>
      </c>
      <c r="D124" s="6">
        <v>6</v>
      </c>
      <c r="E124" s="6">
        <v>6</v>
      </c>
      <c r="F124" s="6">
        <v>6</v>
      </c>
      <c r="G124" s="6">
        <v>6</v>
      </c>
      <c r="H124" s="6">
        <v>3</v>
      </c>
      <c r="I124" s="6">
        <v>4845900</v>
      </c>
      <c r="J124" s="6">
        <v>4845900</v>
      </c>
      <c r="K124" s="6">
        <v>4845900</v>
      </c>
      <c r="L124" s="6">
        <v>4845900</v>
      </c>
      <c r="M124" s="6">
        <v>4845900</v>
      </c>
      <c r="N124" s="6">
        <v>4734774</v>
      </c>
      <c r="O124" s="6">
        <v>6</v>
      </c>
      <c r="P124" s="6">
        <v>3069517</v>
      </c>
      <c r="Q124" s="6">
        <v>4845900</v>
      </c>
      <c r="R124" s="6">
        <v>52.28</v>
      </c>
      <c r="S124" s="6">
        <v>3069517</v>
      </c>
      <c r="T124" s="6">
        <v>1571559</v>
      </c>
      <c r="U124" s="6">
        <v>2456644.6</v>
      </c>
      <c r="V124" s="6">
        <v>1</v>
      </c>
      <c r="W124" s="6">
        <v>2</v>
      </c>
      <c r="X124" s="6">
        <v>0</v>
      </c>
    </row>
    <row r="125" spans="1:24" x14ac:dyDescent="0.25">
      <c r="A125" s="6" t="s">
        <v>290</v>
      </c>
      <c r="B125" s="6" t="str">
        <f>VLOOKUP(A125,'[1]SBV Isolates'!$A$2:$B$367,2,FALSE)</f>
        <v>plate03</v>
      </c>
      <c r="C125" s="6">
        <v>6</v>
      </c>
      <c r="D125" s="6">
        <v>6</v>
      </c>
      <c r="E125" s="6">
        <v>6</v>
      </c>
      <c r="F125" s="6">
        <v>4</v>
      </c>
      <c r="G125" s="6">
        <v>4</v>
      </c>
      <c r="H125" s="6">
        <v>3</v>
      </c>
      <c r="I125" s="6">
        <v>4818119</v>
      </c>
      <c r="J125" s="6">
        <v>4818119</v>
      </c>
      <c r="K125" s="6">
        <v>4818119</v>
      </c>
      <c r="L125" s="6">
        <v>4804079</v>
      </c>
      <c r="M125" s="6">
        <v>4804079</v>
      </c>
      <c r="N125" s="6">
        <v>4768460</v>
      </c>
      <c r="O125" s="6">
        <v>6</v>
      </c>
      <c r="P125" s="6">
        <v>3069513</v>
      </c>
      <c r="Q125" s="6">
        <v>4818119</v>
      </c>
      <c r="R125" s="6">
        <v>52.24</v>
      </c>
      <c r="S125" s="6">
        <v>3069513</v>
      </c>
      <c r="T125" s="6">
        <v>1605244</v>
      </c>
      <c r="U125" s="6">
        <v>2492439.2000000002</v>
      </c>
      <c r="V125" s="6">
        <v>1</v>
      </c>
      <c r="W125" s="6">
        <v>2</v>
      </c>
      <c r="X125" s="6">
        <v>0</v>
      </c>
    </row>
    <row r="126" spans="1:24" x14ac:dyDescent="0.25">
      <c r="A126" s="6" t="s">
        <v>291</v>
      </c>
      <c r="B126" s="6" t="str">
        <f>VLOOKUP(A126,'[1]SBV Isolates'!$A$2:$B$367,2,FALSE)</f>
        <v>plate03</v>
      </c>
      <c r="C126" s="6">
        <v>6</v>
      </c>
      <c r="D126" s="6">
        <v>6</v>
      </c>
      <c r="E126" s="6">
        <v>5</v>
      </c>
      <c r="F126" s="6">
        <v>5</v>
      </c>
      <c r="G126" s="6">
        <v>5</v>
      </c>
      <c r="H126" s="6">
        <v>3</v>
      </c>
      <c r="I126" s="6">
        <v>4849668</v>
      </c>
      <c r="J126" s="6">
        <v>4849668</v>
      </c>
      <c r="K126" s="6">
        <v>4845084</v>
      </c>
      <c r="L126" s="6">
        <v>4845084</v>
      </c>
      <c r="M126" s="6">
        <v>4845084</v>
      </c>
      <c r="N126" s="6">
        <v>4768437</v>
      </c>
      <c r="O126" s="6">
        <v>6</v>
      </c>
      <c r="P126" s="6">
        <v>3069512</v>
      </c>
      <c r="Q126" s="6">
        <v>4849668</v>
      </c>
      <c r="R126" s="6">
        <v>52.27</v>
      </c>
      <c r="S126" s="6">
        <v>3069512</v>
      </c>
      <c r="T126" s="6">
        <v>1605229</v>
      </c>
      <c r="U126" s="6">
        <v>2476544</v>
      </c>
      <c r="V126" s="6">
        <v>1</v>
      </c>
      <c r="W126" s="6">
        <v>2</v>
      </c>
      <c r="X126" s="6">
        <v>0</v>
      </c>
    </row>
    <row r="127" spans="1:24" x14ac:dyDescent="0.25">
      <c r="A127" s="6" t="s">
        <v>298</v>
      </c>
      <c r="B127" s="6" t="str">
        <f>VLOOKUP(A127,'[1]SBV Isolates'!$A$2:$B$367,2,FALSE)</f>
        <v>plate03</v>
      </c>
      <c r="C127" s="6">
        <v>6</v>
      </c>
      <c r="D127" s="6">
        <v>6</v>
      </c>
      <c r="E127" s="6">
        <v>6</v>
      </c>
      <c r="F127" s="6">
        <v>5</v>
      </c>
      <c r="G127" s="6">
        <v>5</v>
      </c>
      <c r="H127" s="6">
        <v>3</v>
      </c>
      <c r="I127" s="6">
        <v>4853218</v>
      </c>
      <c r="J127" s="6">
        <v>4853218</v>
      </c>
      <c r="K127" s="6">
        <v>4853218</v>
      </c>
      <c r="L127" s="6">
        <v>4845223</v>
      </c>
      <c r="M127" s="6">
        <v>4845223</v>
      </c>
      <c r="N127" s="6">
        <v>4768459</v>
      </c>
      <c r="O127" s="6">
        <v>6</v>
      </c>
      <c r="P127" s="6">
        <v>3069517</v>
      </c>
      <c r="Q127" s="6">
        <v>4853218</v>
      </c>
      <c r="R127" s="6">
        <v>52.27</v>
      </c>
      <c r="S127" s="6">
        <v>3069517</v>
      </c>
      <c r="T127" s="6">
        <v>1605238</v>
      </c>
      <c r="U127" s="6">
        <v>2474755.9</v>
      </c>
      <c r="V127" s="6">
        <v>1</v>
      </c>
      <c r="W127" s="6">
        <v>2</v>
      </c>
      <c r="X127" s="6">
        <v>0</v>
      </c>
    </row>
    <row r="128" spans="1:24" x14ac:dyDescent="0.25">
      <c r="A128" s="6" t="s">
        <v>303</v>
      </c>
      <c r="B128" s="6" t="str">
        <f>VLOOKUP(A128,'[1]SBV Isolates'!$A$2:$B$367,2,FALSE)</f>
        <v>plate03</v>
      </c>
      <c r="C128" s="6">
        <v>6</v>
      </c>
      <c r="D128" s="6">
        <v>6</v>
      </c>
      <c r="E128" s="6">
        <v>6</v>
      </c>
      <c r="F128" s="6">
        <v>5</v>
      </c>
      <c r="G128" s="6">
        <v>5</v>
      </c>
      <c r="H128" s="6">
        <v>3</v>
      </c>
      <c r="I128" s="6">
        <v>4893897</v>
      </c>
      <c r="J128" s="6">
        <v>4893897</v>
      </c>
      <c r="K128" s="6">
        <v>4893897</v>
      </c>
      <c r="L128" s="6">
        <v>4885509</v>
      </c>
      <c r="M128" s="6">
        <v>4885509</v>
      </c>
      <c r="N128" s="6">
        <v>4808745</v>
      </c>
      <c r="O128" s="6">
        <v>6</v>
      </c>
      <c r="P128" s="6">
        <v>3069531</v>
      </c>
      <c r="Q128" s="6">
        <v>4893897</v>
      </c>
      <c r="R128" s="6">
        <v>52.27</v>
      </c>
      <c r="S128" s="6">
        <v>3069531</v>
      </c>
      <c r="T128" s="6">
        <v>1645512</v>
      </c>
      <c r="U128" s="6">
        <v>2480955.9</v>
      </c>
      <c r="V128" s="6">
        <v>1</v>
      </c>
      <c r="W128" s="6">
        <v>2</v>
      </c>
      <c r="X128" s="6">
        <v>0</v>
      </c>
    </row>
    <row r="129" spans="1:24" x14ac:dyDescent="0.25">
      <c r="A129" s="6" t="s">
        <v>312</v>
      </c>
      <c r="B129" s="6" t="str">
        <f>VLOOKUP(A129,'[1]SBV Isolates'!$A$2:$B$367,2,FALSE)</f>
        <v>plate03</v>
      </c>
      <c r="C129" s="6">
        <v>6</v>
      </c>
      <c r="D129" s="6">
        <v>6</v>
      </c>
      <c r="E129" s="6">
        <v>5</v>
      </c>
      <c r="F129" s="6">
        <v>5</v>
      </c>
      <c r="G129" s="6">
        <v>5</v>
      </c>
      <c r="H129" s="6">
        <v>3</v>
      </c>
      <c r="I129" s="6">
        <v>4849747</v>
      </c>
      <c r="J129" s="6">
        <v>4849747</v>
      </c>
      <c r="K129" s="6">
        <v>4845174</v>
      </c>
      <c r="L129" s="6">
        <v>4845174</v>
      </c>
      <c r="M129" s="6">
        <v>4845174</v>
      </c>
      <c r="N129" s="6">
        <v>4768410</v>
      </c>
      <c r="O129" s="6">
        <v>6</v>
      </c>
      <c r="P129" s="6">
        <v>3069541</v>
      </c>
      <c r="Q129" s="6">
        <v>4849747</v>
      </c>
      <c r="R129" s="6">
        <v>52.27</v>
      </c>
      <c r="S129" s="6">
        <v>3069541</v>
      </c>
      <c r="T129" s="6">
        <v>1605181</v>
      </c>
      <c r="U129" s="6">
        <v>2476510.2000000002</v>
      </c>
      <c r="V129" s="6">
        <v>1</v>
      </c>
      <c r="W129" s="6">
        <v>2</v>
      </c>
      <c r="X129" s="6">
        <v>0</v>
      </c>
    </row>
    <row r="130" spans="1:24" x14ac:dyDescent="0.25">
      <c r="A130" s="6" t="s">
        <v>336</v>
      </c>
      <c r="B130" s="6" t="str">
        <f>VLOOKUP(A130,'[1]SBV Isolates'!$A$2:$B$367,2,FALSE)</f>
        <v>plate03</v>
      </c>
      <c r="C130" s="6">
        <v>6</v>
      </c>
      <c r="D130" s="6">
        <v>6</v>
      </c>
      <c r="E130" s="6">
        <v>5</v>
      </c>
      <c r="F130" s="6">
        <v>5</v>
      </c>
      <c r="G130" s="6">
        <v>5</v>
      </c>
      <c r="H130" s="6">
        <v>4</v>
      </c>
      <c r="I130" s="6">
        <v>4896379</v>
      </c>
      <c r="J130" s="6">
        <v>4896379</v>
      </c>
      <c r="K130" s="6">
        <v>4892123</v>
      </c>
      <c r="L130" s="6">
        <v>4892123</v>
      </c>
      <c r="M130" s="6">
        <v>4892123</v>
      </c>
      <c r="N130" s="6">
        <v>4856511</v>
      </c>
      <c r="O130" s="6">
        <v>6</v>
      </c>
      <c r="P130" s="6">
        <v>3069513</v>
      </c>
      <c r="Q130" s="6">
        <v>4896379</v>
      </c>
      <c r="R130" s="6">
        <v>52.23</v>
      </c>
      <c r="S130" s="6">
        <v>3069513</v>
      </c>
      <c r="T130" s="6">
        <v>1605244</v>
      </c>
      <c r="U130" s="6">
        <v>2454168.2000000002</v>
      </c>
      <c r="V130" s="6">
        <v>1</v>
      </c>
      <c r="W130" s="6">
        <v>2</v>
      </c>
      <c r="X130" s="6">
        <v>0</v>
      </c>
    </row>
    <row r="131" spans="1:24" x14ac:dyDescent="0.25">
      <c r="A131" s="6" t="s">
        <v>337</v>
      </c>
      <c r="B131" s="6" t="str">
        <f>VLOOKUP(A131,'[1]SBV Isolates'!$A$2:$B$367,2,FALSE)</f>
        <v>plate03</v>
      </c>
      <c r="C131" s="6">
        <v>6</v>
      </c>
      <c r="D131" s="6">
        <v>6</v>
      </c>
      <c r="E131" s="6">
        <v>6</v>
      </c>
      <c r="F131" s="6">
        <v>5</v>
      </c>
      <c r="G131" s="6">
        <v>5</v>
      </c>
      <c r="H131" s="6">
        <v>3</v>
      </c>
      <c r="I131" s="6">
        <v>4888262</v>
      </c>
      <c r="J131" s="6">
        <v>4888262</v>
      </c>
      <c r="K131" s="6">
        <v>4888262</v>
      </c>
      <c r="L131" s="6">
        <v>4880421</v>
      </c>
      <c r="M131" s="6">
        <v>4880421</v>
      </c>
      <c r="N131" s="6">
        <v>4803657</v>
      </c>
      <c r="O131" s="6">
        <v>6</v>
      </c>
      <c r="P131" s="6">
        <v>3104702</v>
      </c>
      <c r="Q131" s="6">
        <v>4888262</v>
      </c>
      <c r="R131" s="6">
        <v>52.27</v>
      </c>
      <c r="S131" s="6">
        <v>3104702</v>
      </c>
      <c r="T131" s="6">
        <v>1605256</v>
      </c>
      <c r="U131" s="6">
        <v>2501466.6</v>
      </c>
      <c r="V131" s="6">
        <v>1</v>
      </c>
      <c r="W131" s="6">
        <v>2</v>
      </c>
      <c r="X131" s="6">
        <v>0</v>
      </c>
    </row>
    <row r="132" spans="1:24" x14ac:dyDescent="0.25">
      <c r="A132" s="6" t="s">
        <v>345</v>
      </c>
      <c r="B132" s="6" t="str">
        <f>VLOOKUP(A132,'[1]SBV Isolates'!$A$2:$B$367,2,FALSE)</f>
        <v>plate03</v>
      </c>
      <c r="C132" s="6">
        <v>6</v>
      </c>
      <c r="D132" s="6">
        <v>5</v>
      </c>
      <c r="E132" s="6">
        <v>4</v>
      </c>
      <c r="F132" s="6">
        <v>4</v>
      </c>
      <c r="G132" s="6">
        <v>4</v>
      </c>
      <c r="H132" s="6">
        <v>3</v>
      </c>
      <c r="I132" s="6">
        <v>4808646</v>
      </c>
      <c r="J132" s="6">
        <v>4807837</v>
      </c>
      <c r="K132" s="6">
        <v>4804077</v>
      </c>
      <c r="L132" s="6">
        <v>4804077</v>
      </c>
      <c r="M132" s="6">
        <v>4804077</v>
      </c>
      <c r="N132" s="6">
        <v>4768464</v>
      </c>
      <c r="O132" s="6">
        <v>6</v>
      </c>
      <c r="P132" s="6">
        <v>3069528</v>
      </c>
      <c r="Q132" s="6">
        <v>4808646</v>
      </c>
      <c r="R132" s="6">
        <v>52.27</v>
      </c>
      <c r="S132" s="6">
        <v>3069528</v>
      </c>
      <c r="T132" s="6">
        <v>1605238</v>
      </c>
      <c r="U132" s="6">
        <v>2497346.1</v>
      </c>
      <c r="V132" s="6">
        <v>1</v>
      </c>
      <c r="W132" s="6">
        <v>2</v>
      </c>
      <c r="X132" s="6">
        <v>0</v>
      </c>
    </row>
    <row r="133" spans="1:24" x14ac:dyDescent="0.25">
      <c r="A133" s="6" t="s">
        <v>357</v>
      </c>
      <c r="B133" s="6" t="str">
        <f>VLOOKUP(A133,'[1]SBV Isolates'!$A$2:$B$367,2,FALSE)</f>
        <v>plate03</v>
      </c>
      <c r="C133" s="6">
        <v>6</v>
      </c>
      <c r="D133" s="6">
        <v>6</v>
      </c>
      <c r="E133" s="6">
        <v>6</v>
      </c>
      <c r="F133" s="6">
        <v>5</v>
      </c>
      <c r="G133" s="6">
        <v>5</v>
      </c>
      <c r="H133" s="6">
        <v>3</v>
      </c>
      <c r="I133" s="6">
        <v>4852944</v>
      </c>
      <c r="J133" s="6">
        <v>4852944</v>
      </c>
      <c r="K133" s="6">
        <v>4852944</v>
      </c>
      <c r="L133" s="6">
        <v>4845822</v>
      </c>
      <c r="M133" s="6">
        <v>4845822</v>
      </c>
      <c r="N133" s="6">
        <v>4768462</v>
      </c>
      <c r="O133" s="6">
        <v>6</v>
      </c>
      <c r="P133" s="6">
        <v>3069517</v>
      </c>
      <c r="Q133" s="6">
        <v>4852944</v>
      </c>
      <c r="R133" s="6">
        <v>52.27</v>
      </c>
      <c r="S133" s="6">
        <v>3069517</v>
      </c>
      <c r="T133" s="6">
        <v>1605239</v>
      </c>
      <c r="U133" s="6">
        <v>2474907.2999999998</v>
      </c>
      <c r="V133" s="6">
        <v>1</v>
      </c>
      <c r="W133" s="6">
        <v>2</v>
      </c>
      <c r="X133" s="6">
        <v>0</v>
      </c>
    </row>
    <row r="134" spans="1:24" x14ac:dyDescent="0.25">
      <c r="A134" s="6" t="s">
        <v>362</v>
      </c>
      <c r="B134" s="6" t="str">
        <f>VLOOKUP(A134,'[1]SBV Isolates'!$A$2:$B$367,2,FALSE)</f>
        <v>plate03</v>
      </c>
      <c r="C134" s="6">
        <v>6</v>
      </c>
      <c r="D134" s="6">
        <v>6</v>
      </c>
      <c r="E134" s="6">
        <v>5</v>
      </c>
      <c r="F134" s="6">
        <v>5</v>
      </c>
      <c r="G134" s="6">
        <v>5</v>
      </c>
      <c r="H134" s="6">
        <v>3</v>
      </c>
      <c r="I134" s="6">
        <v>4849753</v>
      </c>
      <c r="J134" s="6">
        <v>4849753</v>
      </c>
      <c r="K134" s="6">
        <v>4845189</v>
      </c>
      <c r="L134" s="6">
        <v>4845189</v>
      </c>
      <c r="M134" s="6">
        <v>4845189</v>
      </c>
      <c r="N134" s="6">
        <v>4768423</v>
      </c>
      <c r="O134" s="6">
        <v>6</v>
      </c>
      <c r="P134" s="6">
        <v>3069532</v>
      </c>
      <c r="Q134" s="6">
        <v>4849753</v>
      </c>
      <c r="R134" s="6">
        <v>52.27</v>
      </c>
      <c r="S134" s="6">
        <v>3069532</v>
      </c>
      <c r="T134" s="6">
        <v>1605197</v>
      </c>
      <c r="U134" s="6">
        <v>2476509.7999999998</v>
      </c>
      <c r="V134" s="6">
        <v>1</v>
      </c>
      <c r="W134" s="6">
        <v>2</v>
      </c>
      <c r="X134" s="6">
        <v>0</v>
      </c>
    </row>
    <row r="135" spans="1:24" x14ac:dyDescent="0.25">
      <c r="A135" s="6" t="s">
        <v>384</v>
      </c>
      <c r="B135" s="6" t="str">
        <f>VLOOKUP(A135,'[1]SBV Isolates'!$A$2:$B$367,2,FALSE)</f>
        <v>plate04</v>
      </c>
      <c r="C135" s="6">
        <v>6</v>
      </c>
      <c r="D135" s="6">
        <v>6</v>
      </c>
      <c r="E135" s="6">
        <v>5</v>
      </c>
      <c r="F135" s="6">
        <v>5</v>
      </c>
      <c r="G135" s="6">
        <v>5</v>
      </c>
      <c r="H135" s="6">
        <v>3</v>
      </c>
      <c r="I135" s="6">
        <v>4851387</v>
      </c>
      <c r="J135" s="6">
        <v>4851387</v>
      </c>
      <c r="K135" s="6">
        <v>4846852</v>
      </c>
      <c r="L135" s="6">
        <v>4846852</v>
      </c>
      <c r="M135" s="6">
        <v>4846852</v>
      </c>
      <c r="N135" s="6">
        <v>4768389</v>
      </c>
      <c r="O135" s="6">
        <v>6</v>
      </c>
      <c r="P135" s="6">
        <v>3069514</v>
      </c>
      <c r="Q135" s="6">
        <v>4851387</v>
      </c>
      <c r="R135" s="6">
        <v>52.27</v>
      </c>
      <c r="S135" s="6">
        <v>3069514</v>
      </c>
      <c r="T135" s="6">
        <v>1605166</v>
      </c>
      <c r="U135" s="6">
        <v>2475659.2999999998</v>
      </c>
      <c r="V135" s="6">
        <v>1</v>
      </c>
      <c r="W135" s="6">
        <v>2</v>
      </c>
      <c r="X135" s="6">
        <v>0</v>
      </c>
    </row>
    <row r="136" spans="1:24" x14ac:dyDescent="0.25">
      <c r="A136" s="6" t="s">
        <v>385</v>
      </c>
      <c r="B136" s="6" t="str">
        <f>VLOOKUP(A136,'[1]SBV Isolates'!$A$2:$B$367,2,FALSE)</f>
        <v>plate04</v>
      </c>
      <c r="C136" s="6">
        <v>6</v>
      </c>
      <c r="D136" s="6">
        <v>6</v>
      </c>
      <c r="E136" s="6">
        <v>6</v>
      </c>
      <c r="F136" s="6">
        <v>5</v>
      </c>
      <c r="G136" s="6">
        <v>5</v>
      </c>
      <c r="H136" s="6">
        <v>3</v>
      </c>
      <c r="I136" s="6">
        <v>4853922</v>
      </c>
      <c r="J136" s="6">
        <v>4853922</v>
      </c>
      <c r="K136" s="6">
        <v>4853922</v>
      </c>
      <c r="L136" s="6">
        <v>4846349</v>
      </c>
      <c r="M136" s="6">
        <v>4846349</v>
      </c>
      <c r="N136" s="6">
        <v>4768369</v>
      </c>
      <c r="O136" s="6">
        <v>6</v>
      </c>
      <c r="P136" s="6">
        <v>3069517</v>
      </c>
      <c r="Q136" s="6">
        <v>4853922</v>
      </c>
      <c r="R136" s="6">
        <v>52.27</v>
      </c>
      <c r="S136" s="6">
        <v>3069517</v>
      </c>
      <c r="T136" s="6">
        <v>1605166</v>
      </c>
      <c r="U136" s="6">
        <v>2474369.7999999998</v>
      </c>
      <c r="V136" s="6">
        <v>1</v>
      </c>
      <c r="W136" s="6">
        <v>2</v>
      </c>
      <c r="X136" s="6">
        <v>0</v>
      </c>
    </row>
    <row r="137" spans="1:24" x14ac:dyDescent="0.25">
      <c r="A137" s="6" t="s">
        <v>387</v>
      </c>
      <c r="B137" s="6" t="str">
        <f>VLOOKUP(A137,'[1]SBV Isolates'!$A$2:$B$367,2,FALSE)</f>
        <v>plate04</v>
      </c>
      <c r="C137" s="6">
        <v>6</v>
      </c>
      <c r="D137" s="6">
        <v>6</v>
      </c>
      <c r="E137" s="6">
        <v>5</v>
      </c>
      <c r="F137" s="6">
        <v>4</v>
      </c>
      <c r="G137" s="6">
        <v>4</v>
      </c>
      <c r="H137" s="6">
        <v>3</v>
      </c>
      <c r="I137" s="6">
        <v>4813341</v>
      </c>
      <c r="J137" s="6">
        <v>4813341</v>
      </c>
      <c r="K137" s="6">
        <v>4811555</v>
      </c>
      <c r="L137" s="6">
        <v>4803939</v>
      </c>
      <c r="M137" s="6">
        <v>4803939</v>
      </c>
      <c r="N137" s="6">
        <v>4768320</v>
      </c>
      <c r="O137" s="6">
        <v>6</v>
      </c>
      <c r="P137" s="6">
        <v>3069413</v>
      </c>
      <c r="Q137" s="6">
        <v>4813341</v>
      </c>
      <c r="R137" s="6">
        <v>52.26</v>
      </c>
      <c r="S137" s="6">
        <v>3069413</v>
      </c>
      <c r="T137" s="6">
        <v>1605211</v>
      </c>
      <c r="U137" s="6">
        <v>2494755.2000000002</v>
      </c>
      <c r="V137" s="6">
        <v>1</v>
      </c>
      <c r="W137" s="6">
        <v>2</v>
      </c>
      <c r="X137" s="6">
        <v>0</v>
      </c>
    </row>
    <row r="138" spans="1:24" x14ac:dyDescent="0.25">
      <c r="A138" s="6" t="s">
        <v>395</v>
      </c>
      <c r="B138" s="6" t="str">
        <f>VLOOKUP(A138,'[1]SBV Isolates'!$A$2:$B$367,2,FALSE)</f>
        <v>plate04</v>
      </c>
      <c r="C138" s="6">
        <v>6</v>
      </c>
      <c r="D138" s="6">
        <v>6</v>
      </c>
      <c r="E138" s="6">
        <v>6</v>
      </c>
      <c r="F138" s="6">
        <v>5</v>
      </c>
      <c r="G138" s="6">
        <v>5</v>
      </c>
      <c r="H138" s="6">
        <v>3</v>
      </c>
      <c r="I138" s="6">
        <v>4853364</v>
      </c>
      <c r="J138" s="6">
        <v>4853364</v>
      </c>
      <c r="K138" s="6">
        <v>4853364</v>
      </c>
      <c r="L138" s="6">
        <v>4845223</v>
      </c>
      <c r="M138" s="6">
        <v>4845223</v>
      </c>
      <c r="N138" s="6">
        <v>4768459</v>
      </c>
      <c r="O138" s="6">
        <v>6</v>
      </c>
      <c r="P138" s="6">
        <v>3069505</v>
      </c>
      <c r="Q138" s="6">
        <v>4853364</v>
      </c>
      <c r="R138" s="6">
        <v>52.27</v>
      </c>
      <c r="S138" s="6">
        <v>3069505</v>
      </c>
      <c r="T138" s="6">
        <v>1605244</v>
      </c>
      <c r="U138" s="6">
        <v>2474670.9</v>
      </c>
      <c r="V138" s="6">
        <v>1</v>
      </c>
      <c r="W138" s="6">
        <v>2</v>
      </c>
      <c r="X138" s="6">
        <v>0</v>
      </c>
    </row>
    <row r="139" spans="1:24" x14ac:dyDescent="0.25">
      <c r="A139" s="6" t="s">
        <v>417</v>
      </c>
      <c r="B139" s="6" t="str">
        <f>VLOOKUP(A139,'[1]SBV Isolates'!$A$2:$B$367,2,FALSE)</f>
        <v>plate04</v>
      </c>
      <c r="C139" s="6">
        <v>6</v>
      </c>
      <c r="D139" s="6">
        <v>6</v>
      </c>
      <c r="E139" s="6">
        <v>6</v>
      </c>
      <c r="F139" s="6">
        <v>5</v>
      </c>
      <c r="G139" s="6">
        <v>5</v>
      </c>
      <c r="H139" s="6">
        <v>3</v>
      </c>
      <c r="I139" s="6">
        <v>4845904</v>
      </c>
      <c r="J139" s="6">
        <v>4845904</v>
      </c>
      <c r="K139" s="6">
        <v>4845904</v>
      </c>
      <c r="L139" s="6">
        <v>4838085</v>
      </c>
      <c r="M139" s="6">
        <v>4838085</v>
      </c>
      <c r="N139" s="6">
        <v>4761321</v>
      </c>
      <c r="O139" s="6">
        <v>6</v>
      </c>
      <c r="P139" s="6">
        <v>3069590</v>
      </c>
      <c r="Q139" s="6">
        <v>4845904</v>
      </c>
      <c r="R139" s="6">
        <v>52.28</v>
      </c>
      <c r="S139" s="6">
        <v>3069590</v>
      </c>
      <c r="T139" s="6">
        <v>1598034</v>
      </c>
      <c r="U139" s="6">
        <v>2473820.7000000002</v>
      </c>
      <c r="V139" s="6">
        <v>1</v>
      </c>
      <c r="W139" s="6">
        <v>2</v>
      </c>
      <c r="X139" s="6">
        <v>0</v>
      </c>
    </row>
    <row r="140" spans="1:24" x14ac:dyDescent="0.25">
      <c r="A140" s="6" t="s">
        <v>421</v>
      </c>
      <c r="B140" s="6" t="str">
        <f>VLOOKUP(A140,'[1]SBV Isolates'!$A$2:$B$367,2,FALSE)</f>
        <v>plate04</v>
      </c>
      <c r="C140" s="6">
        <v>6</v>
      </c>
      <c r="D140" s="6">
        <v>6</v>
      </c>
      <c r="E140" s="6">
        <v>6</v>
      </c>
      <c r="F140" s="6">
        <v>6</v>
      </c>
      <c r="G140" s="6">
        <v>6</v>
      </c>
      <c r="H140" s="6">
        <v>3</v>
      </c>
      <c r="I140" s="6">
        <v>4878976</v>
      </c>
      <c r="J140" s="6">
        <v>4878976</v>
      </c>
      <c r="K140" s="6">
        <v>4878976</v>
      </c>
      <c r="L140" s="6">
        <v>4878976</v>
      </c>
      <c r="M140" s="6">
        <v>4878976</v>
      </c>
      <c r="N140" s="6">
        <v>4768445</v>
      </c>
      <c r="O140" s="6">
        <v>6</v>
      </c>
      <c r="P140" s="6">
        <v>3069517</v>
      </c>
      <c r="Q140" s="6">
        <v>4878976</v>
      </c>
      <c r="R140" s="6">
        <v>52.27</v>
      </c>
      <c r="S140" s="6">
        <v>3069517</v>
      </c>
      <c r="T140" s="6">
        <v>1605244</v>
      </c>
      <c r="U140" s="6">
        <v>2461914.4</v>
      </c>
      <c r="V140" s="6">
        <v>1</v>
      </c>
      <c r="W140" s="6">
        <v>2</v>
      </c>
      <c r="X140" s="6">
        <v>0</v>
      </c>
    </row>
    <row r="141" spans="1:24" x14ac:dyDescent="0.25">
      <c r="A141" s="6" t="s">
        <v>423</v>
      </c>
      <c r="B141" s="6" t="str">
        <f>VLOOKUP(A141,'[1]SBV Isolates'!$A$2:$B$367,2,FALSE)</f>
        <v>plate04</v>
      </c>
      <c r="C141" s="6">
        <v>6</v>
      </c>
      <c r="D141" s="6">
        <v>6</v>
      </c>
      <c r="E141" s="6">
        <v>6</v>
      </c>
      <c r="F141" s="6">
        <v>5</v>
      </c>
      <c r="G141" s="6">
        <v>5</v>
      </c>
      <c r="H141" s="6">
        <v>3</v>
      </c>
      <c r="I141" s="6">
        <v>4853563</v>
      </c>
      <c r="J141" s="6">
        <v>4853563</v>
      </c>
      <c r="K141" s="6">
        <v>4853563</v>
      </c>
      <c r="L141" s="6">
        <v>4845197</v>
      </c>
      <c r="M141" s="6">
        <v>4845197</v>
      </c>
      <c r="N141" s="6">
        <v>4768435</v>
      </c>
      <c r="O141" s="6">
        <v>6</v>
      </c>
      <c r="P141" s="6">
        <v>3069532</v>
      </c>
      <c r="Q141" s="6">
        <v>4853563</v>
      </c>
      <c r="R141" s="6">
        <v>52.27</v>
      </c>
      <c r="S141" s="6">
        <v>3069532</v>
      </c>
      <c r="T141" s="6">
        <v>1605203</v>
      </c>
      <c r="U141" s="6">
        <v>2474576.7999999998</v>
      </c>
      <c r="V141" s="6">
        <v>1</v>
      </c>
      <c r="W141" s="6">
        <v>2</v>
      </c>
      <c r="X141" s="6">
        <v>0</v>
      </c>
    </row>
    <row r="142" spans="1:24" x14ac:dyDescent="0.25">
      <c r="A142" s="6" t="s">
        <v>424</v>
      </c>
      <c r="B142" s="6" t="str">
        <f>VLOOKUP(A142,'[1]SBV Isolates'!$A$2:$B$367,2,FALSE)</f>
        <v>plate04</v>
      </c>
      <c r="C142" s="6">
        <v>6</v>
      </c>
      <c r="D142" s="6">
        <v>6</v>
      </c>
      <c r="E142" s="6">
        <v>6</v>
      </c>
      <c r="F142" s="6">
        <v>5</v>
      </c>
      <c r="G142" s="6">
        <v>5</v>
      </c>
      <c r="H142" s="6">
        <v>3</v>
      </c>
      <c r="I142" s="6">
        <v>4857264</v>
      </c>
      <c r="J142" s="6">
        <v>4857264</v>
      </c>
      <c r="K142" s="6">
        <v>4857264</v>
      </c>
      <c r="L142" s="6">
        <v>4849195</v>
      </c>
      <c r="M142" s="6">
        <v>4849195</v>
      </c>
      <c r="N142" s="6">
        <v>4768406</v>
      </c>
      <c r="O142" s="6">
        <v>6</v>
      </c>
      <c r="P142" s="6">
        <v>3069513</v>
      </c>
      <c r="Q142" s="6">
        <v>4857264</v>
      </c>
      <c r="R142" s="6">
        <v>52.25</v>
      </c>
      <c r="S142" s="6">
        <v>3069513</v>
      </c>
      <c r="T142" s="6">
        <v>1605221</v>
      </c>
      <c r="U142" s="6">
        <v>2472748.6</v>
      </c>
      <c r="V142" s="6">
        <v>1</v>
      </c>
      <c r="W142" s="6">
        <v>2</v>
      </c>
      <c r="X142" s="6">
        <v>0</v>
      </c>
    </row>
    <row r="143" spans="1:24" x14ac:dyDescent="0.25">
      <c r="A143" s="6" t="s">
        <v>438</v>
      </c>
      <c r="B143" s="6" t="str">
        <f>VLOOKUP(A143,'[1]SBV Isolates'!$A$2:$B$367,2,FALSE)</f>
        <v>plate04</v>
      </c>
      <c r="C143" s="6">
        <v>6</v>
      </c>
      <c r="D143" s="6">
        <v>6</v>
      </c>
      <c r="E143" s="6">
        <v>6</v>
      </c>
      <c r="F143" s="6">
        <v>6</v>
      </c>
      <c r="G143" s="6">
        <v>6</v>
      </c>
      <c r="H143" s="6">
        <v>3</v>
      </c>
      <c r="I143" s="6">
        <v>4879448</v>
      </c>
      <c r="J143" s="6">
        <v>4879448</v>
      </c>
      <c r="K143" s="6">
        <v>4879448</v>
      </c>
      <c r="L143" s="6">
        <v>4879448</v>
      </c>
      <c r="M143" s="6">
        <v>4879448</v>
      </c>
      <c r="N143" s="6">
        <v>4768486</v>
      </c>
      <c r="O143" s="6">
        <v>6</v>
      </c>
      <c r="P143" s="6">
        <v>3069517</v>
      </c>
      <c r="Q143" s="6">
        <v>4879448</v>
      </c>
      <c r="R143" s="6">
        <v>52.27</v>
      </c>
      <c r="S143" s="6">
        <v>3069517</v>
      </c>
      <c r="T143" s="6">
        <v>1605244</v>
      </c>
      <c r="U143" s="6">
        <v>2461683.9</v>
      </c>
      <c r="V143" s="6">
        <v>1</v>
      </c>
      <c r="W143" s="6">
        <v>2</v>
      </c>
      <c r="X143" s="6">
        <v>0</v>
      </c>
    </row>
    <row r="144" spans="1:24" x14ac:dyDescent="0.25">
      <c r="A144" s="6" t="s">
        <v>463</v>
      </c>
      <c r="B144" s="6" t="str">
        <f>VLOOKUP(A144,'[1]SBV Isolates'!$A$2:$B$367,2,FALSE)</f>
        <v>plate04</v>
      </c>
      <c r="C144" s="6">
        <v>6</v>
      </c>
      <c r="D144" s="6">
        <v>6</v>
      </c>
      <c r="E144" s="6">
        <v>6</v>
      </c>
      <c r="F144" s="6">
        <v>5</v>
      </c>
      <c r="G144" s="6">
        <v>5</v>
      </c>
      <c r="H144" s="6">
        <v>3</v>
      </c>
      <c r="I144" s="6">
        <v>4853184</v>
      </c>
      <c r="J144" s="6">
        <v>4853184</v>
      </c>
      <c r="K144" s="6">
        <v>4853184</v>
      </c>
      <c r="L144" s="6">
        <v>4845231</v>
      </c>
      <c r="M144" s="6">
        <v>4845231</v>
      </c>
      <c r="N144" s="6">
        <v>4768475</v>
      </c>
      <c r="O144" s="6">
        <v>6</v>
      </c>
      <c r="P144" s="6">
        <v>3069517</v>
      </c>
      <c r="Q144" s="6">
        <v>4853184</v>
      </c>
      <c r="R144" s="6">
        <v>52.27</v>
      </c>
      <c r="S144" s="6">
        <v>3069517</v>
      </c>
      <c r="T144" s="6">
        <v>1605250</v>
      </c>
      <c r="U144" s="6">
        <v>2474784.2000000002</v>
      </c>
      <c r="V144" s="6">
        <v>1</v>
      </c>
      <c r="W144" s="6">
        <v>2</v>
      </c>
      <c r="X144" s="6">
        <v>0</v>
      </c>
    </row>
    <row r="145" spans="1:24" x14ac:dyDescent="0.25">
      <c r="A145" s="6" t="s">
        <v>121</v>
      </c>
      <c r="B145" s="6" t="str">
        <f>VLOOKUP(A145,'[1]SBV Isolates'!$A$2:$B$367,2,FALSE)</f>
        <v>plate01</v>
      </c>
      <c r="C145" s="6">
        <v>5</v>
      </c>
      <c r="D145" s="6">
        <v>5</v>
      </c>
      <c r="E145" s="6">
        <v>5</v>
      </c>
      <c r="F145" s="6">
        <v>4</v>
      </c>
      <c r="G145" s="6">
        <v>4</v>
      </c>
      <c r="H145" s="6">
        <v>3</v>
      </c>
      <c r="I145" s="6">
        <v>4812469</v>
      </c>
      <c r="J145" s="6">
        <v>4812469</v>
      </c>
      <c r="K145" s="6">
        <v>4812469</v>
      </c>
      <c r="L145" s="6">
        <v>4804030</v>
      </c>
      <c r="M145" s="6">
        <v>4804030</v>
      </c>
      <c r="N145" s="6">
        <v>4768418</v>
      </c>
      <c r="O145" s="6">
        <v>5</v>
      </c>
      <c r="P145" s="6">
        <v>3069513</v>
      </c>
      <c r="Q145" s="6">
        <v>4812469</v>
      </c>
      <c r="R145" s="6">
        <v>52.27</v>
      </c>
      <c r="S145" s="6">
        <v>3069513</v>
      </c>
      <c r="T145" s="6">
        <v>1605231</v>
      </c>
      <c r="U145" s="6">
        <v>2495349.2000000002</v>
      </c>
      <c r="V145" s="6">
        <v>1</v>
      </c>
      <c r="W145" s="6">
        <v>2</v>
      </c>
      <c r="X145" s="6">
        <v>0</v>
      </c>
    </row>
    <row r="146" spans="1:24" x14ac:dyDescent="0.25">
      <c r="A146" s="6" t="s">
        <v>127</v>
      </c>
      <c r="B146" s="6" t="str">
        <f>VLOOKUP(A146,'[1]SBV Isolates'!$A$2:$B$367,2,FALSE)</f>
        <v>plate01</v>
      </c>
      <c r="C146" s="6">
        <v>5</v>
      </c>
      <c r="D146" s="6">
        <v>5</v>
      </c>
      <c r="E146" s="6">
        <v>5</v>
      </c>
      <c r="F146" s="6">
        <v>2</v>
      </c>
      <c r="G146" s="6">
        <v>2</v>
      </c>
      <c r="H146" s="6">
        <v>1</v>
      </c>
      <c r="I146" s="6">
        <v>4819440</v>
      </c>
      <c r="J146" s="6">
        <v>4819440</v>
      </c>
      <c r="K146" s="6">
        <v>4819440</v>
      </c>
      <c r="L146" s="6">
        <v>4799587</v>
      </c>
      <c r="M146" s="6">
        <v>4799587</v>
      </c>
      <c r="N146" s="6">
        <v>4769923</v>
      </c>
      <c r="O146" s="6">
        <v>5</v>
      </c>
      <c r="P146" s="6">
        <v>4769923</v>
      </c>
      <c r="Q146" s="6">
        <v>4819440</v>
      </c>
      <c r="R146" s="6">
        <v>52.13</v>
      </c>
      <c r="S146" s="6">
        <v>4769923</v>
      </c>
      <c r="T146" s="6">
        <v>4769923</v>
      </c>
      <c r="U146" s="6">
        <v>4721124.7</v>
      </c>
      <c r="V146" s="6">
        <v>1</v>
      </c>
      <c r="W146" s="6">
        <v>1</v>
      </c>
      <c r="X146" s="6">
        <v>0</v>
      </c>
    </row>
    <row r="147" spans="1:24" x14ac:dyDescent="0.25">
      <c r="A147" s="6" t="s">
        <v>130</v>
      </c>
      <c r="B147" s="6" t="str">
        <f>VLOOKUP(A147,'[1]SBV Isolates'!$A$2:$B$367,2,FALSE)</f>
        <v>plate01</v>
      </c>
      <c r="C147" s="6">
        <v>5</v>
      </c>
      <c r="D147" s="6">
        <v>5</v>
      </c>
      <c r="E147" s="6">
        <v>5</v>
      </c>
      <c r="F147" s="6">
        <v>5</v>
      </c>
      <c r="G147" s="6">
        <v>5</v>
      </c>
      <c r="H147" s="6">
        <v>3</v>
      </c>
      <c r="I147" s="6">
        <v>4963727</v>
      </c>
      <c r="J147" s="6">
        <v>4963727</v>
      </c>
      <c r="K147" s="6">
        <v>4963727</v>
      </c>
      <c r="L147" s="6">
        <v>4963727</v>
      </c>
      <c r="M147" s="6">
        <v>4963727</v>
      </c>
      <c r="N147" s="6">
        <v>4890374</v>
      </c>
      <c r="O147" s="6">
        <v>5</v>
      </c>
      <c r="P147" s="6">
        <v>3875579</v>
      </c>
      <c r="Q147" s="6">
        <v>4963727</v>
      </c>
      <c r="R147" s="6">
        <v>52.09</v>
      </c>
      <c r="S147" s="6">
        <v>3875579</v>
      </c>
      <c r="T147" s="6">
        <v>921068</v>
      </c>
      <c r="U147" s="6">
        <v>3199206.4</v>
      </c>
      <c r="V147" s="6">
        <v>1</v>
      </c>
      <c r="W147" s="6">
        <v>2</v>
      </c>
      <c r="X147" s="6">
        <v>0</v>
      </c>
    </row>
    <row r="148" spans="1:24" x14ac:dyDescent="0.25">
      <c r="A148" s="6" t="s">
        <v>137</v>
      </c>
      <c r="B148" s="6" t="str">
        <f>VLOOKUP(A148,'[1]SBV Isolates'!$A$2:$B$367,2,FALSE)</f>
        <v>plate01</v>
      </c>
      <c r="C148" s="6">
        <v>5</v>
      </c>
      <c r="D148" s="6">
        <v>5</v>
      </c>
      <c r="E148" s="6">
        <v>5</v>
      </c>
      <c r="F148" s="6">
        <v>4</v>
      </c>
      <c r="G148" s="6">
        <v>4</v>
      </c>
      <c r="H148" s="6">
        <v>3</v>
      </c>
      <c r="I148" s="6">
        <v>4811874</v>
      </c>
      <c r="J148" s="6">
        <v>4811874</v>
      </c>
      <c r="K148" s="6">
        <v>4811874</v>
      </c>
      <c r="L148" s="6">
        <v>4804084</v>
      </c>
      <c r="M148" s="6">
        <v>4804084</v>
      </c>
      <c r="N148" s="6">
        <v>4768454</v>
      </c>
      <c r="O148" s="6">
        <v>5</v>
      </c>
      <c r="P148" s="6">
        <v>3069517</v>
      </c>
      <c r="Q148" s="6">
        <v>4811874</v>
      </c>
      <c r="R148" s="6">
        <v>52.27</v>
      </c>
      <c r="S148" s="6">
        <v>3069517</v>
      </c>
      <c r="T148" s="6">
        <v>1605244</v>
      </c>
      <c r="U148" s="6">
        <v>2495670.4</v>
      </c>
      <c r="V148" s="6">
        <v>1</v>
      </c>
      <c r="W148" s="6">
        <v>2</v>
      </c>
      <c r="X148" s="6">
        <v>0</v>
      </c>
    </row>
    <row r="149" spans="1:24" x14ac:dyDescent="0.25">
      <c r="A149" s="6" t="s">
        <v>139</v>
      </c>
      <c r="B149" s="6" t="str">
        <f>VLOOKUP(A149,'[1]SBV Isolates'!$A$2:$B$367,2,FALSE)</f>
        <v>plate01</v>
      </c>
      <c r="C149" s="6">
        <v>5</v>
      </c>
      <c r="D149" s="6">
        <v>5</v>
      </c>
      <c r="E149" s="6">
        <v>3</v>
      </c>
      <c r="F149" s="6">
        <v>3</v>
      </c>
      <c r="G149" s="6">
        <v>3</v>
      </c>
      <c r="H149" s="6">
        <v>3</v>
      </c>
      <c r="I149" s="6">
        <v>4932965</v>
      </c>
      <c r="J149" s="6">
        <v>4932965</v>
      </c>
      <c r="K149" s="6">
        <v>4926073</v>
      </c>
      <c r="L149" s="6">
        <v>4926073</v>
      </c>
      <c r="M149" s="6">
        <v>4926073</v>
      </c>
      <c r="N149" s="6">
        <v>4926073</v>
      </c>
      <c r="O149" s="6">
        <v>5</v>
      </c>
      <c r="P149" s="6">
        <v>4744712</v>
      </c>
      <c r="Q149" s="6">
        <v>4932965</v>
      </c>
      <c r="R149" s="6">
        <v>52.23</v>
      </c>
      <c r="S149" s="6">
        <v>4744712</v>
      </c>
      <c r="T149" s="6">
        <v>4744712</v>
      </c>
      <c r="U149" s="6">
        <v>4566986.0999999996</v>
      </c>
      <c r="V149" s="6">
        <v>1</v>
      </c>
      <c r="W149" s="6">
        <v>1</v>
      </c>
      <c r="X149" s="6">
        <v>0</v>
      </c>
    </row>
    <row r="150" spans="1:24" x14ac:dyDescent="0.25">
      <c r="A150" s="6" t="s">
        <v>148</v>
      </c>
      <c r="B150" s="6" t="str">
        <f>VLOOKUP(A150,'[1]SBV Isolates'!$A$2:$B$367,2,FALSE)</f>
        <v>plate01</v>
      </c>
      <c r="C150" s="6">
        <v>5</v>
      </c>
      <c r="D150" s="6">
        <v>5</v>
      </c>
      <c r="E150" s="6">
        <v>4</v>
      </c>
      <c r="F150" s="6">
        <v>4</v>
      </c>
      <c r="G150" s="6">
        <v>4</v>
      </c>
      <c r="H150" s="6">
        <v>4</v>
      </c>
      <c r="I150" s="6">
        <v>4850851</v>
      </c>
      <c r="J150" s="6">
        <v>4850851</v>
      </c>
      <c r="K150" s="6">
        <v>4846268</v>
      </c>
      <c r="L150" s="6">
        <v>4846268</v>
      </c>
      <c r="M150" s="6">
        <v>4846268</v>
      </c>
      <c r="N150" s="6">
        <v>4846268</v>
      </c>
      <c r="O150" s="6">
        <v>5</v>
      </c>
      <c r="P150" s="6">
        <v>4478431</v>
      </c>
      <c r="Q150" s="6">
        <v>4850851</v>
      </c>
      <c r="R150" s="6">
        <v>52.29</v>
      </c>
      <c r="S150" s="6">
        <v>4478431</v>
      </c>
      <c r="T150" s="6">
        <v>4478431</v>
      </c>
      <c r="U150" s="6">
        <v>4145084.8</v>
      </c>
      <c r="V150" s="6">
        <v>1</v>
      </c>
      <c r="W150" s="6">
        <v>1</v>
      </c>
      <c r="X150" s="6">
        <v>0</v>
      </c>
    </row>
    <row r="151" spans="1:24" x14ac:dyDescent="0.25">
      <c r="A151" s="6" t="s">
        <v>159</v>
      </c>
      <c r="B151" s="6" t="str">
        <f>VLOOKUP(A151,'[1]SBV Isolates'!$A$2:$B$367,2,FALSE)</f>
        <v>plate01</v>
      </c>
      <c r="C151" s="6">
        <v>5</v>
      </c>
      <c r="D151" s="6">
        <v>5</v>
      </c>
      <c r="E151" s="6">
        <v>5</v>
      </c>
      <c r="F151" s="6">
        <v>4</v>
      </c>
      <c r="G151" s="6">
        <v>4</v>
      </c>
      <c r="H151" s="6">
        <v>3</v>
      </c>
      <c r="I151" s="6">
        <v>4811676</v>
      </c>
      <c r="J151" s="6">
        <v>4811676</v>
      </c>
      <c r="K151" s="6">
        <v>4811676</v>
      </c>
      <c r="L151" s="6">
        <v>4803858</v>
      </c>
      <c r="M151" s="6">
        <v>4803858</v>
      </c>
      <c r="N151" s="6">
        <v>4768450</v>
      </c>
      <c r="O151" s="6">
        <v>5</v>
      </c>
      <c r="P151" s="6">
        <v>3069517</v>
      </c>
      <c r="Q151" s="6">
        <v>4811676</v>
      </c>
      <c r="R151" s="6">
        <v>52.27</v>
      </c>
      <c r="S151" s="6">
        <v>3069517</v>
      </c>
      <c r="T151" s="6">
        <v>1605244</v>
      </c>
      <c r="U151" s="6">
        <v>2495769.7000000002</v>
      </c>
      <c r="V151" s="6">
        <v>1</v>
      </c>
      <c r="W151" s="6">
        <v>2</v>
      </c>
      <c r="X151" s="6">
        <v>0</v>
      </c>
    </row>
    <row r="152" spans="1:24" x14ac:dyDescent="0.25">
      <c r="A152" s="6" t="s">
        <v>171</v>
      </c>
      <c r="B152" s="6" t="str">
        <f>VLOOKUP(A152,'[1]SBV Isolates'!$A$2:$B$367,2,FALSE)</f>
        <v>plate01</v>
      </c>
      <c r="C152" s="6">
        <v>5</v>
      </c>
      <c r="D152" s="6">
        <v>5</v>
      </c>
      <c r="E152" s="6">
        <v>5</v>
      </c>
      <c r="F152" s="6">
        <v>4</v>
      </c>
      <c r="G152" s="6">
        <v>4</v>
      </c>
      <c r="H152" s="6">
        <v>3</v>
      </c>
      <c r="I152" s="6">
        <v>4812313</v>
      </c>
      <c r="J152" s="6">
        <v>4812313</v>
      </c>
      <c r="K152" s="6">
        <v>4812313</v>
      </c>
      <c r="L152" s="6">
        <v>4804020</v>
      </c>
      <c r="M152" s="6">
        <v>4804020</v>
      </c>
      <c r="N152" s="6">
        <v>4768432</v>
      </c>
      <c r="O152" s="6">
        <v>5</v>
      </c>
      <c r="P152" s="6">
        <v>3069549</v>
      </c>
      <c r="Q152" s="6">
        <v>4812313</v>
      </c>
      <c r="R152" s="6">
        <v>52.27</v>
      </c>
      <c r="S152" s="6">
        <v>3069549</v>
      </c>
      <c r="T152" s="6">
        <v>1605187</v>
      </c>
      <c r="U152" s="6">
        <v>2495446.7000000002</v>
      </c>
      <c r="V152" s="6">
        <v>1</v>
      </c>
      <c r="W152" s="6">
        <v>2</v>
      </c>
      <c r="X152" s="6">
        <v>0</v>
      </c>
    </row>
    <row r="153" spans="1:24" x14ac:dyDescent="0.25">
      <c r="A153" s="6" t="s">
        <v>172</v>
      </c>
      <c r="B153" s="6" t="str">
        <f>VLOOKUP(A153,'[1]SBV Isolates'!$A$2:$B$367,2,FALSE)</f>
        <v>plate01</v>
      </c>
      <c r="C153" s="6">
        <v>5</v>
      </c>
      <c r="D153" s="6">
        <v>5</v>
      </c>
      <c r="E153" s="6">
        <v>4</v>
      </c>
      <c r="F153" s="6">
        <v>3</v>
      </c>
      <c r="G153" s="6">
        <v>3</v>
      </c>
      <c r="H153" s="6">
        <v>2</v>
      </c>
      <c r="I153" s="6">
        <v>4881290</v>
      </c>
      <c r="J153" s="6">
        <v>4881290</v>
      </c>
      <c r="K153" s="6">
        <v>4878213</v>
      </c>
      <c r="L153" s="6">
        <v>4870436</v>
      </c>
      <c r="M153" s="6">
        <v>4870436</v>
      </c>
      <c r="N153" s="6">
        <v>4834827</v>
      </c>
      <c r="O153" s="6">
        <v>5</v>
      </c>
      <c r="P153" s="6">
        <v>4741444</v>
      </c>
      <c r="Q153" s="6">
        <v>4881290</v>
      </c>
      <c r="R153" s="6">
        <v>52.26</v>
      </c>
      <c r="S153" s="6">
        <v>4741444</v>
      </c>
      <c r="T153" s="6">
        <v>4741444</v>
      </c>
      <c r="U153" s="6">
        <v>4607665.0999999996</v>
      </c>
      <c r="V153" s="6">
        <v>1</v>
      </c>
      <c r="W153" s="6">
        <v>1</v>
      </c>
      <c r="X153" s="6">
        <v>0</v>
      </c>
    </row>
    <row r="154" spans="1:24" x14ac:dyDescent="0.25">
      <c r="A154" s="6" t="s">
        <v>175</v>
      </c>
      <c r="B154" s="6" t="str">
        <f>VLOOKUP(A154,'[1]SBV Isolates'!$A$2:$B$367,2,FALSE)</f>
        <v>plate01</v>
      </c>
      <c r="C154" s="6">
        <v>5</v>
      </c>
      <c r="D154" s="6">
        <v>5</v>
      </c>
      <c r="E154" s="6">
        <v>5</v>
      </c>
      <c r="F154" s="6">
        <v>5</v>
      </c>
      <c r="G154" s="6">
        <v>5</v>
      </c>
      <c r="H154" s="6">
        <v>3</v>
      </c>
      <c r="I154" s="6">
        <v>4845181</v>
      </c>
      <c r="J154" s="6">
        <v>4845181</v>
      </c>
      <c r="K154" s="6">
        <v>4845181</v>
      </c>
      <c r="L154" s="6">
        <v>4845181</v>
      </c>
      <c r="M154" s="6">
        <v>4845181</v>
      </c>
      <c r="N154" s="6">
        <v>4768417</v>
      </c>
      <c r="O154" s="6">
        <v>5</v>
      </c>
      <c r="P154" s="6">
        <v>3069513</v>
      </c>
      <c r="Q154" s="6">
        <v>4845181</v>
      </c>
      <c r="R154" s="6">
        <v>52.27</v>
      </c>
      <c r="S154" s="6">
        <v>3069513</v>
      </c>
      <c r="T154" s="6">
        <v>1605229</v>
      </c>
      <c r="U154" s="6">
        <v>2478835.6</v>
      </c>
      <c r="V154" s="6">
        <v>1</v>
      </c>
      <c r="W154" s="6">
        <v>2</v>
      </c>
      <c r="X154" s="6">
        <v>0</v>
      </c>
    </row>
    <row r="155" spans="1:24" x14ac:dyDescent="0.25">
      <c r="A155" s="6" t="s">
        <v>176</v>
      </c>
      <c r="B155" s="6" t="str">
        <f>VLOOKUP(A155,'[1]SBV Isolates'!$A$2:$B$367,2,FALSE)</f>
        <v>plate01</v>
      </c>
      <c r="C155" s="6">
        <v>5</v>
      </c>
      <c r="D155" s="6">
        <v>5</v>
      </c>
      <c r="E155" s="6">
        <v>4</v>
      </c>
      <c r="F155" s="6">
        <v>4</v>
      </c>
      <c r="G155" s="6">
        <v>4</v>
      </c>
      <c r="H155" s="6">
        <v>3</v>
      </c>
      <c r="I155" s="6">
        <v>4800172</v>
      </c>
      <c r="J155" s="6">
        <v>4800172</v>
      </c>
      <c r="K155" s="6">
        <v>4795580</v>
      </c>
      <c r="L155" s="6">
        <v>4795580</v>
      </c>
      <c r="M155" s="6">
        <v>4795580</v>
      </c>
      <c r="N155" s="6">
        <v>4759963</v>
      </c>
      <c r="O155" s="6">
        <v>5</v>
      </c>
      <c r="P155" s="6">
        <v>3069513</v>
      </c>
      <c r="Q155" s="6">
        <v>4800172</v>
      </c>
      <c r="R155" s="6">
        <v>52.26</v>
      </c>
      <c r="S155" s="6">
        <v>3069513</v>
      </c>
      <c r="T155" s="6">
        <v>1596743</v>
      </c>
      <c r="U155" s="6">
        <v>2496070.7999999998</v>
      </c>
      <c r="V155" s="6">
        <v>1</v>
      </c>
      <c r="W155" s="6">
        <v>2</v>
      </c>
      <c r="X155" s="6">
        <v>0</v>
      </c>
    </row>
    <row r="156" spans="1:24" x14ac:dyDescent="0.25">
      <c r="A156" s="6" t="s">
        <v>177</v>
      </c>
      <c r="B156" s="6" t="str">
        <f>VLOOKUP(A156,'[1]SBV Isolates'!$A$2:$B$367,2,FALSE)</f>
        <v>plate01</v>
      </c>
      <c r="C156" s="6">
        <v>5</v>
      </c>
      <c r="D156" s="6">
        <v>5</v>
      </c>
      <c r="E156" s="6">
        <v>5</v>
      </c>
      <c r="F156" s="6">
        <v>4</v>
      </c>
      <c r="G156" s="6">
        <v>4</v>
      </c>
      <c r="H156" s="6">
        <v>3</v>
      </c>
      <c r="I156" s="6">
        <v>4812141</v>
      </c>
      <c r="J156" s="6">
        <v>4812141</v>
      </c>
      <c r="K156" s="6">
        <v>4812141</v>
      </c>
      <c r="L156" s="6">
        <v>4803768</v>
      </c>
      <c r="M156" s="6">
        <v>4803768</v>
      </c>
      <c r="N156" s="6">
        <v>4768416</v>
      </c>
      <c r="O156" s="6">
        <v>5</v>
      </c>
      <c r="P156" s="6">
        <v>3069513</v>
      </c>
      <c r="Q156" s="6">
        <v>4812141</v>
      </c>
      <c r="R156" s="6">
        <v>52.27</v>
      </c>
      <c r="S156" s="6">
        <v>3069513</v>
      </c>
      <c r="T156" s="6">
        <v>1605223</v>
      </c>
      <c r="U156" s="6">
        <v>2495510.2000000002</v>
      </c>
      <c r="V156" s="6">
        <v>1</v>
      </c>
      <c r="W156" s="6">
        <v>2</v>
      </c>
      <c r="X156" s="6">
        <v>0</v>
      </c>
    </row>
    <row r="157" spans="1:24" x14ac:dyDescent="0.25">
      <c r="A157" s="6" t="s">
        <v>178</v>
      </c>
      <c r="B157" s="6" t="str">
        <f>VLOOKUP(A157,'[1]SBV Isolates'!$A$2:$B$367,2,FALSE)</f>
        <v>plate03</v>
      </c>
      <c r="C157" s="6">
        <v>5</v>
      </c>
      <c r="D157" s="6">
        <v>5</v>
      </c>
      <c r="E157" s="6">
        <v>5</v>
      </c>
      <c r="F157" s="6">
        <v>4</v>
      </c>
      <c r="G157" s="6">
        <v>4</v>
      </c>
      <c r="H157" s="6">
        <v>3</v>
      </c>
      <c r="I157" s="6">
        <v>4968236</v>
      </c>
      <c r="J157" s="6">
        <v>4968236</v>
      </c>
      <c r="K157" s="6">
        <v>4968236</v>
      </c>
      <c r="L157" s="6">
        <v>4960058</v>
      </c>
      <c r="M157" s="6">
        <v>4960058</v>
      </c>
      <c r="N157" s="6">
        <v>4925419</v>
      </c>
      <c r="O157" s="6">
        <v>5</v>
      </c>
      <c r="P157" s="6">
        <v>4744863</v>
      </c>
      <c r="Q157" s="6">
        <v>4968236</v>
      </c>
      <c r="R157" s="6">
        <v>52.23</v>
      </c>
      <c r="S157" s="6">
        <v>4744863</v>
      </c>
      <c r="T157" s="6">
        <v>4744863</v>
      </c>
      <c r="U157" s="6">
        <v>4535073.4000000004</v>
      </c>
      <c r="V157" s="6">
        <v>1</v>
      </c>
      <c r="W157" s="6">
        <v>1</v>
      </c>
      <c r="X157" s="6">
        <v>0</v>
      </c>
    </row>
    <row r="158" spans="1:24" x14ac:dyDescent="0.25">
      <c r="A158" s="6" t="s">
        <v>180</v>
      </c>
      <c r="B158" s="6" t="str">
        <f>VLOOKUP(A158,'[1]SBV Isolates'!$A$2:$B$367,2,FALSE)</f>
        <v>plate01</v>
      </c>
      <c r="C158" s="6">
        <v>5</v>
      </c>
      <c r="D158" s="6">
        <v>5</v>
      </c>
      <c r="E158" s="6">
        <v>4</v>
      </c>
      <c r="F158" s="6">
        <v>4</v>
      </c>
      <c r="G158" s="6">
        <v>4</v>
      </c>
      <c r="H158" s="6">
        <v>3</v>
      </c>
      <c r="I158" s="6">
        <v>4807510</v>
      </c>
      <c r="J158" s="6">
        <v>4807510</v>
      </c>
      <c r="K158" s="6">
        <v>4802932</v>
      </c>
      <c r="L158" s="6">
        <v>4802932</v>
      </c>
      <c r="M158" s="6">
        <v>4802932</v>
      </c>
      <c r="N158" s="6">
        <v>4768420</v>
      </c>
      <c r="O158" s="6">
        <v>5</v>
      </c>
      <c r="P158" s="6">
        <v>3069513</v>
      </c>
      <c r="Q158" s="6">
        <v>4807510</v>
      </c>
      <c r="R158" s="6">
        <v>52.27</v>
      </c>
      <c r="S158" s="6">
        <v>3069513</v>
      </c>
      <c r="T158" s="6">
        <v>1605226</v>
      </c>
      <c r="U158" s="6">
        <v>2497893.7000000002</v>
      </c>
      <c r="V158" s="6">
        <v>1</v>
      </c>
      <c r="W158" s="6">
        <v>2</v>
      </c>
      <c r="X158" s="6">
        <v>0</v>
      </c>
    </row>
    <row r="159" spans="1:24" x14ac:dyDescent="0.25">
      <c r="A159" s="6" t="s">
        <v>181</v>
      </c>
      <c r="B159" s="6" t="str">
        <f>VLOOKUP(A159,'[1]SBV Isolates'!$A$2:$B$367,2,FALSE)</f>
        <v>plate01</v>
      </c>
      <c r="C159" s="6">
        <v>5</v>
      </c>
      <c r="D159" s="6">
        <v>5</v>
      </c>
      <c r="E159" s="6">
        <v>5</v>
      </c>
      <c r="F159" s="6">
        <v>4</v>
      </c>
      <c r="G159" s="6">
        <v>4</v>
      </c>
      <c r="H159" s="6">
        <v>2</v>
      </c>
      <c r="I159" s="6">
        <v>4913291</v>
      </c>
      <c r="J159" s="6">
        <v>4913291</v>
      </c>
      <c r="K159" s="6">
        <v>4913291</v>
      </c>
      <c r="L159" s="6">
        <v>4905033</v>
      </c>
      <c r="M159" s="6">
        <v>4905033</v>
      </c>
      <c r="N159" s="6">
        <v>4835113</v>
      </c>
      <c r="O159" s="6">
        <v>5</v>
      </c>
      <c r="P159" s="6">
        <v>4741413</v>
      </c>
      <c r="Q159" s="6">
        <v>4913291</v>
      </c>
      <c r="R159" s="6">
        <v>52.26</v>
      </c>
      <c r="S159" s="6">
        <v>4741413</v>
      </c>
      <c r="T159" s="6">
        <v>4741413</v>
      </c>
      <c r="U159" s="6">
        <v>4577846.2</v>
      </c>
      <c r="V159" s="6">
        <v>1</v>
      </c>
      <c r="W159" s="6">
        <v>1</v>
      </c>
      <c r="X159" s="6">
        <v>0</v>
      </c>
    </row>
    <row r="160" spans="1:24" x14ac:dyDescent="0.25">
      <c r="A160" s="6" t="s">
        <v>185</v>
      </c>
      <c r="B160" s="6" t="str">
        <f>VLOOKUP(A160,'[1]SBV Isolates'!$A$2:$B$367,2,FALSE)</f>
        <v>plate02</v>
      </c>
      <c r="C160" s="6">
        <v>5</v>
      </c>
      <c r="D160" s="6">
        <v>5</v>
      </c>
      <c r="E160" s="6">
        <v>4</v>
      </c>
      <c r="F160" s="6">
        <v>4</v>
      </c>
      <c r="G160" s="6">
        <v>4</v>
      </c>
      <c r="H160" s="6">
        <v>3</v>
      </c>
      <c r="I160" s="6">
        <v>4808649</v>
      </c>
      <c r="J160" s="6">
        <v>4808649</v>
      </c>
      <c r="K160" s="6">
        <v>4804078</v>
      </c>
      <c r="L160" s="6">
        <v>4804078</v>
      </c>
      <c r="M160" s="6">
        <v>4804078</v>
      </c>
      <c r="N160" s="6">
        <v>4768453</v>
      </c>
      <c r="O160" s="6">
        <v>5</v>
      </c>
      <c r="P160" s="6">
        <v>3069541</v>
      </c>
      <c r="Q160" s="6">
        <v>4808649</v>
      </c>
      <c r="R160" s="6">
        <v>52.27</v>
      </c>
      <c r="S160" s="6">
        <v>3069541</v>
      </c>
      <c r="T160" s="6">
        <v>1605209</v>
      </c>
      <c r="U160" s="6">
        <v>2497343.5</v>
      </c>
      <c r="V160" s="6">
        <v>1</v>
      </c>
      <c r="W160" s="6">
        <v>2</v>
      </c>
      <c r="X160" s="6">
        <v>0</v>
      </c>
    </row>
    <row r="161" spans="1:24" x14ac:dyDescent="0.25">
      <c r="A161" s="6" t="s">
        <v>186</v>
      </c>
      <c r="B161" s="6" t="str">
        <f>VLOOKUP(A161,'[1]SBV Isolates'!$A$2:$B$367,2,FALSE)</f>
        <v>plate03</v>
      </c>
      <c r="C161" s="6">
        <v>5</v>
      </c>
      <c r="D161" s="6">
        <v>5</v>
      </c>
      <c r="E161" s="6">
        <v>4</v>
      </c>
      <c r="F161" s="6">
        <v>4</v>
      </c>
      <c r="G161" s="6">
        <v>4</v>
      </c>
      <c r="H161" s="6">
        <v>3</v>
      </c>
      <c r="I161" s="6">
        <v>4808621</v>
      </c>
      <c r="J161" s="6">
        <v>4808621</v>
      </c>
      <c r="K161" s="6">
        <v>4804047</v>
      </c>
      <c r="L161" s="6">
        <v>4804047</v>
      </c>
      <c r="M161" s="6">
        <v>4804047</v>
      </c>
      <c r="N161" s="6">
        <v>4768435</v>
      </c>
      <c r="O161" s="6">
        <v>5</v>
      </c>
      <c r="P161" s="6">
        <v>3069517</v>
      </c>
      <c r="Q161" s="6">
        <v>4808621</v>
      </c>
      <c r="R161" s="6">
        <v>52.27</v>
      </c>
      <c r="S161" s="6">
        <v>3069517</v>
      </c>
      <c r="T161" s="6">
        <v>1605229</v>
      </c>
      <c r="U161" s="6">
        <v>2497340</v>
      </c>
      <c r="V161" s="6">
        <v>1</v>
      </c>
      <c r="W161" s="6">
        <v>2</v>
      </c>
      <c r="X161" s="6">
        <v>0</v>
      </c>
    </row>
    <row r="162" spans="1:24" x14ac:dyDescent="0.25">
      <c r="A162" s="6" t="s">
        <v>187</v>
      </c>
      <c r="B162" s="6" t="str">
        <f>VLOOKUP(A162,'[1]SBV Isolates'!$A$2:$B$367,2,FALSE)</f>
        <v>plate03</v>
      </c>
      <c r="C162" s="6">
        <v>5</v>
      </c>
      <c r="D162" s="6">
        <v>5</v>
      </c>
      <c r="E162" s="6">
        <v>4</v>
      </c>
      <c r="F162" s="6">
        <v>4</v>
      </c>
      <c r="G162" s="6">
        <v>4</v>
      </c>
      <c r="H162" s="6">
        <v>3</v>
      </c>
      <c r="I162" s="6">
        <v>4808463</v>
      </c>
      <c r="J162" s="6">
        <v>4808463</v>
      </c>
      <c r="K162" s="6">
        <v>4804095</v>
      </c>
      <c r="L162" s="6">
        <v>4804095</v>
      </c>
      <c r="M162" s="6">
        <v>4804095</v>
      </c>
      <c r="N162" s="6">
        <v>4768485</v>
      </c>
      <c r="O162" s="6">
        <v>5</v>
      </c>
      <c r="P162" s="6">
        <v>3069517</v>
      </c>
      <c r="Q162" s="6">
        <v>4808463</v>
      </c>
      <c r="R162" s="6">
        <v>52.27</v>
      </c>
      <c r="S162" s="6">
        <v>3069517</v>
      </c>
      <c r="T162" s="6">
        <v>1605263</v>
      </c>
      <c r="U162" s="6">
        <v>2497445</v>
      </c>
      <c r="V162" s="6">
        <v>1</v>
      </c>
      <c r="W162" s="6">
        <v>2</v>
      </c>
      <c r="X162" s="6">
        <v>0</v>
      </c>
    </row>
    <row r="163" spans="1:24" x14ac:dyDescent="0.25">
      <c r="A163" s="6" t="s">
        <v>192</v>
      </c>
      <c r="B163" s="6" t="str">
        <f>VLOOKUP(A163,'[1]SBV Isolates'!$A$2:$B$367,2,FALSE)</f>
        <v>plate02</v>
      </c>
      <c r="C163" s="6">
        <v>5</v>
      </c>
      <c r="D163" s="6">
        <v>5</v>
      </c>
      <c r="E163" s="6">
        <v>5</v>
      </c>
      <c r="F163" s="6">
        <v>4</v>
      </c>
      <c r="G163" s="6">
        <v>4</v>
      </c>
      <c r="H163" s="6">
        <v>3</v>
      </c>
      <c r="I163" s="6">
        <v>4812517</v>
      </c>
      <c r="J163" s="6">
        <v>4812517</v>
      </c>
      <c r="K163" s="6">
        <v>4812517</v>
      </c>
      <c r="L163" s="6">
        <v>4804079</v>
      </c>
      <c r="M163" s="6">
        <v>4804079</v>
      </c>
      <c r="N163" s="6">
        <v>4768462</v>
      </c>
      <c r="O163" s="6">
        <v>5</v>
      </c>
      <c r="P163" s="6">
        <v>3069517</v>
      </c>
      <c r="Q163" s="6">
        <v>4812517</v>
      </c>
      <c r="R163" s="6">
        <v>52.27</v>
      </c>
      <c r="S163" s="6">
        <v>3069517</v>
      </c>
      <c r="T163" s="6">
        <v>1605244</v>
      </c>
      <c r="U163" s="6">
        <v>2495339.2000000002</v>
      </c>
      <c r="V163" s="6">
        <v>1</v>
      </c>
      <c r="W163" s="6">
        <v>2</v>
      </c>
      <c r="X163" s="6">
        <v>0</v>
      </c>
    </row>
    <row r="164" spans="1:24" x14ac:dyDescent="0.25">
      <c r="A164" s="6" t="s">
        <v>193</v>
      </c>
      <c r="B164" s="6" t="str">
        <f>VLOOKUP(A164,'[1]SBV Isolates'!$A$2:$B$367,2,FALSE)</f>
        <v>plate02</v>
      </c>
      <c r="C164" s="6">
        <v>5</v>
      </c>
      <c r="D164" s="6">
        <v>5</v>
      </c>
      <c r="E164" s="6">
        <v>5</v>
      </c>
      <c r="F164" s="6">
        <v>4</v>
      </c>
      <c r="G164" s="6">
        <v>4</v>
      </c>
      <c r="H164" s="6">
        <v>3</v>
      </c>
      <c r="I164" s="6">
        <v>4812296</v>
      </c>
      <c r="J164" s="6">
        <v>4812296</v>
      </c>
      <c r="K164" s="6">
        <v>4812296</v>
      </c>
      <c r="L164" s="6">
        <v>4804061</v>
      </c>
      <c r="M164" s="6">
        <v>4804061</v>
      </c>
      <c r="N164" s="6">
        <v>4768419</v>
      </c>
      <c r="O164" s="6">
        <v>5</v>
      </c>
      <c r="P164" s="6">
        <v>3069532</v>
      </c>
      <c r="Q164" s="6">
        <v>4812296</v>
      </c>
      <c r="R164" s="6">
        <v>52.27</v>
      </c>
      <c r="S164" s="6">
        <v>3069532</v>
      </c>
      <c r="T164" s="6">
        <v>1605188</v>
      </c>
      <c r="U164" s="6">
        <v>2495435.2000000002</v>
      </c>
      <c r="V164" s="6">
        <v>1</v>
      </c>
      <c r="W164" s="6">
        <v>2</v>
      </c>
      <c r="X164" s="6">
        <v>0</v>
      </c>
    </row>
    <row r="165" spans="1:24" x14ac:dyDescent="0.25">
      <c r="A165" s="6" t="s">
        <v>197</v>
      </c>
      <c r="B165" s="6" t="str">
        <f>VLOOKUP(A165,'[1]SBV Isolates'!$A$2:$B$367,2,FALSE)</f>
        <v>plate02</v>
      </c>
      <c r="C165" s="6">
        <v>5</v>
      </c>
      <c r="D165" s="6">
        <v>5</v>
      </c>
      <c r="E165" s="6">
        <v>4</v>
      </c>
      <c r="F165" s="6">
        <v>4</v>
      </c>
      <c r="G165" s="6">
        <v>4</v>
      </c>
      <c r="H165" s="6">
        <v>3</v>
      </c>
      <c r="I165" s="6">
        <v>4808650</v>
      </c>
      <c r="J165" s="6">
        <v>4808650</v>
      </c>
      <c r="K165" s="6">
        <v>4804074</v>
      </c>
      <c r="L165" s="6">
        <v>4804074</v>
      </c>
      <c r="M165" s="6">
        <v>4804074</v>
      </c>
      <c r="N165" s="6">
        <v>4768449</v>
      </c>
      <c r="O165" s="6">
        <v>5</v>
      </c>
      <c r="P165" s="6">
        <v>3069541</v>
      </c>
      <c r="Q165" s="6">
        <v>4808650</v>
      </c>
      <c r="R165" s="6">
        <v>52.27</v>
      </c>
      <c r="S165" s="6">
        <v>3069541</v>
      </c>
      <c r="T165" s="6">
        <v>1605209</v>
      </c>
      <c r="U165" s="6">
        <v>2497342.7999999998</v>
      </c>
      <c r="V165" s="6">
        <v>1</v>
      </c>
      <c r="W165" s="6">
        <v>2</v>
      </c>
      <c r="X165" s="6">
        <v>0</v>
      </c>
    </row>
    <row r="166" spans="1:24" x14ac:dyDescent="0.25">
      <c r="A166" s="6" t="s">
        <v>198</v>
      </c>
      <c r="B166" s="6" t="str">
        <f>VLOOKUP(A166,'[1]SBV Isolates'!$A$2:$B$367,2,FALSE)</f>
        <v>plate03</v>
      </c>
      <c r="C166" s="6">
        <v>5</v>
      </c>
      <c r="D166" s="6">
        <v>5</v>
      </c>
      <c r="E166" s="6">
        <v>5</v>
      </c>
      <c r="F166" s="6">
        <v>4</v>
      </c>
      <c r="G166" s="6">
        <v>4</v>
      </c>
      <c r="H166" s="6">
        <v>3</v>
      </c>
      <c r="I166" s="6">
        <v>4811706</v>
      </c>
      <c r="J166" s="6">
        <v>4811706</v>
      </c>
      <c r="K166" s="6">
        <v>4811706</v>
      </c>
      <c r="L166" s="6">
        <v>4803623</v>
      </c>
      <c r="M166" s="6">
        <v>4803623</v>
      </c>
      <c r="N166" s="6">
        <v>4768014</v>
      </c>
      <c r="O166" s="6">
        <v>5</v>
      </c>
      <c r="P166" s="6">
        <v>3069516</v>
      </c>
      <c r="Q166" s="6">
        <v>4811706</v>
      </c>
      <c r="R166" s="6">
        <v>52.27</v>
      </c>
      <c r="S166" s="6">
        <v>3069516</v>
      </c>
      <c r="T166" s="6">
        <v>1604789</v>
      </c>
      <c r="U166" s="6">
        <v>2495454</v>
      </c>
      <c r="V166" s="6">
        <v>1</v>
      </c>
      <c r="W166" s="6">
        <v>2</v>
      </c>
      <c r="X166" s="6">
        <v>0</v>
      </c>
    </row>
    <row r="167" spans="1:24" x14ac:dyDescent="0.25">
      <c r="A167" s="6" t="s">
        <v>204</v>
      </c>
      <c r="B167" s="6" t="str">
        <f>VLOOKUP(A167,'[1]SBV Isolates'!$A$2:$B$367,2,FALSE)</f>
        <v>plate02</v>
      </c>
      <c r="C167" s="6">
        <v>5</v>
      </c>
      <c r="D167" s="6">
        <v>5</v>
      </c>
      <c r="E167" s="6">
        <v>5</v>
      </c>
      <c r="F167" s="6">
        <v>4</v>
      </c>
      <c r="G167" s="6">
        <v>4</v>
      </c>
      <c r="H167" s="6">
        <v>3</v>
      </c>
      <c r="I167" s="6">
        <v>4811894</v>
      </c>
      <c r="J167" s="6">
        <v>4811894</v>
      </c>
      <c r="K167" s="6">
        <v>4811894</v>
      </c>
      <c r="L167" s="6">
        <v>4803956</v>
      </c>
      <c r="M167" s="6">
        <v>4803956</v>
      </c>
      <c r="N167" s="6">
        <v>4768344</v>
      </c>
      <c r="O167" s="6">
        <v>5</v>
      </c>
      <c r="P167" s="6">
        <v>3069403</v>
      </c>
      <c r="Q167" s="6">
        <v>4811894</v>
      </c>
      <c r="R167" s="6">
        <v>52.27</v>
      </c>
      <c r="S167" s="6">
        <v>3069403</v>
      </c>
      <c r="T167" s="6">
        <v>1605235</v>
      </c>
      <c r="U167" s="6">
        <v>2495509.2999999998</v>
      </c>
      <c r="V167" s="6">
        <v>1</v>
      </c>
      <c r="W167" s="6">
        <v>2</v>
      </c>
      <c r="X167" s="6">
        <v>0</v>
      </c>
    </row>
    <row r="168" spans="1:24" x14ac:dyDescent="0.25">
      <c r="A168" s="6" t="s">
        <v>213</v>
      </c>
      <c r="B168" s="6" t="str">
        <f>VLOOKUP(A168,'[1]SBV Isolates'!$A$2:$B$367,2,FALSE)</f>
        <v>plate02</v>
      </c>
      <c r="C168" s="6">
        <v>5</v>
      </c>
      <c r="D168" s="6">
        <v>5</v>
      </c>
      <c r="E168" s="6">
        <v>5</v>
      </c>
      <c r="F168" s="6">
        <v>4</v>
      </c>
      <c r="G168" s="6">
        <v>4</v>
      </c>
      <c r="H168" s="6">
        <v>3</v>
      </c>
      <c r="I168" s="6">
        <v>4807332</v>
      </c>
      <c r="J168" s="6">
        <v>4807332</v>
      </c>
      <c r="K168" s="6">
        <v>4807332</v>
      </c>
      <c r="L168" s="6">
        <v>4799802</v>
      </c>
      <c r="M168" s="6">
        <v>4799802</v>
      </c>
      <c r="N168" s="6">
        <v>4764190</v>
      </c>
      <c r="O168" s="6">
        <v>5</v>
      </c>
      <c r="P168" s="6">
        <v>3069517</v>
      </c>
      <c r="Q168" s="6">
        <v>4807332</v>
      </c>
      <c r="R168" s="6">
        <v>52.27</v>
      </c>
      <c r="S168" s="6">
        <v>3069517</v>
      </c>
      <c r="T168" s="6">
        <v>1600979</v>
      </c>
      <c r="U168" s="6">
        <v>2495182.7000000002</v>
      </c>
      <c r="V168" s="6">
        <v>1</v>
      </c>
      <c r="W168" s="6">
        <v>2</v>
      </c>
      <c r="X168" s="6">
        <v>0</v>
      </c>
    </row>
    <row r="169" spans="1:24" x14ac:dyDescent="0.25">
      <c r="A169" s="6" t="s">
        <v>216</v>
      </c>
      <c r="B169" s="6" t="str">
        <f>VLOOKUP(A169,'[1]SBV Isolates'!$A$2:$B$367,2,FALSE)</f>
        <v>plate02</v>
      </c>
      <c r="C169" s="6">
        <v>5</v>
      </c>
      <c r="D169" s="6">
        <v>5</v>
      </c>
      <c r="E169" s="6">
        <v>5</v>
      </c>
      <c r="F169" s="6">
        <v>4</v>
      </c>
      <c r="G169" s="6">
        <v>4</v>
      </c>
      <c r="H169" s="6">
        <v>3</v>
      </c>
      <c r="I169" s="6">
        <v>4811668</v>
      </c>
      <c r="J169" s="6">
        <v>4811668</v>
      </c>
      <c r="K169" s="6">
        <v>4811668</v>
      </c>
      <c r="L169" s="6">
        <v>4803610</v>
      </c>
      <c r="M169" s="6">
        <v>4803610</v>
      </c>
      <c r="N169" s="6">
        <v>4768456</v>
      </c>
      <c r="O169" s="6">
        <v>5</v>
      </c>
      <c r="P169" s="6">
        <v>3069517</v>
      </c>
      <c r="Q169" s="6">
        <v>4811668</v>
      </c>
      <c r="R169" s="6">
        <v>52.27</v>
      </c>
      <c r="S169" s="6">
        <v>3069517</v>
      </c>
      <c r="T169" s="6">
        <v>1605229</v>
      </c>
      <c r="U169" s="6">
        <v>2495761.7999999998</v>
      </c>
      <c r="V169" s="6">
        <v>1</v>
      </c>
      <c r="W169" s="6">
        <v>2</v>
      </c>
      <c r="X169" s="6">
        <v>0</v>
      </c>
    </row>
    <row r="170" spans="1:24" x14ac:dyDescent="0.25">
      <c r="A170" s="6" t="s">
        <v>217</v>
      </c>
      <c r="B170" s="6" t="str">
        <f>VLOOKUP(A170,'[1]SBV Isolates'!$A$2:$B$367,2,FALSE)</f>
        <v>plate02</v>
      </c>
      <c r="C170" s="6">
        <v>5</v>
      </c>
      <c r="D170" s="6">
        <v>5</v>
      </c>
      <c r="E170" s="6">
        <v>5</v>
      </c>
      <c r="F170" s="6">
        <v>4</v>
      </c>
      <c r="G170" s="6">
        <v>4</v>
      </c>
      <c r="H170" s="6">
        <v>3</v>
      </c>
      <c r="I170" s="6">
        <v>4811793</v>
      </c>
      <c r="J170" s="6">
        <v>4811793</v>
      </c>
      <c r="K170" s="6">
        <v>4811793</v>
      </c>
      <c r="L170" s="6">
        <v>4803965</v>
      </c>
      <c r="M170" s="6">
        <v>4803965</v>
      </c>
      <c r="N170" s="6">
        <v>4768337</v>
      </c>
      <c r="O170" s="6">
        <v>5</v>
      </c>
      <c r="P170" s="6">
        <v>3069517</v>
      </c>
      <c r="Q170" s="6">
        <v>4811793</v>
      </c>
      <c r="R170" s="6">
        <v>52.27</v>
      </c>
      <c r="S170" s="6">
        <v>3069517</v>
      </c>
      <c r="T170" s="6">
        <v>1605111</v>
      </c>
      <c r="U170" s="6">
        <v>2495624.4</v>
      </c>
      <c r="V170" s="6">
        <v>1</v>
      </c>
      <c r="W170" s="6">
        <v>2</v>
      </c>
      <c r="X170" s="6">
        <v>0</v>
      </c>
    </row>
    <row r="171" spans="1:24" x14ac:dyDescent="0.25">
      <c r="A171" s="6" t="s">
        <v>219</v>
      </c>
      <c r="B171" s="6" t="str">
        <f>VLOOKUP(A171,'[1]SBV Isolates'!$A$2:$B$367,2,FALSE)</f>
        <v>plate02</v>
      </c>
      <c r="C171" s="6">
        <v>5</v>
      </c>
      <c r="D171" s="6">
        <v>5</v>
      </c>
      <c r="E171" s="6">
        <v>4</v>
      </c>
      <c r="F171" s="6">
        <v>4</v>
      </c>
      <c r="G171" s="6">
        <v>4</v>
      </c>
      <c r="H171" s="6">
        <v>3</v>
      </c>
      <c r="I171" s="6">
        <v>4808618</v>
      </c>
      <c r="J171" s="6">
        <v>4808618</v>
      </c>
      <c r="K171" s="6">
        <v>4804033</v>
      </c>
      <c r="L171" s="6">
        <v>4804033</v>
      </c>
      <c r="M171" s="6">
        <v>4804033</v>
      </c>
      <c r="N171" s="6">
        <v>4768488</v>
      </c>
      <c r="O171" s="6">
        <v>5</v>
      </c>
      <c r="P171" s="6">
        <v>3069550</v>
      </c>
      <c r="Q171" s="6">
        <v>4808618</v>
      </c>
      <c r="R171" s="6">
        <v>52.27</v>
      </c>
      <c r="S171" s="6">
        <v>3069550</v>
      </c>
      <c r="T171" s="6">
        <v>1605244</v>
      </c>
      <c r="U171" s="6">
        <v>2497392.9</v>
      </c>
      <c r="V171" s="6">
        <v>1</v>
      </c>
      <c r="W171" s="6">
        <v>2</v>
      </c>
      <c r="X171" s="6">
        <v>0</v>
      </c>
    </row>
    <row r="172" spans="1:24" x14ac:dyDescent="0.25">
      <c r="A172" s="6" t="s">
        <v>221</v>
      </c>
      <c r="B172" s="6" t="str">
        <f>VLOOKUP(A172,'[1]SBV Isolates'!$A$2:$B$367,2,FALSE)</f>
        <v>plate02</v>
      </c>
      <c r="C172" s="6">
        <v>5</v>
      </c>
      <c r="D172" s="6">
        <v>5</v>
      </c>
      <c r="E172" s="6">
        <v>5</v>
      </c>
      <c r="F172" s="6">
        <v>4</v>
      </c>
      <c r="G172" s="6">
        <v>4</v>
      </c>
      <c r="H172" s="6">
        <v>3</v>
      </c>
      <c r="I172" s="6">
        <v>4810822</v>
      </c>
      <c r="J172" s="6">
        <v>4810822</v>
      </c>
      <c r="K172" s="6">
        <v>4810822</v>
      </c>
      <c r="L172" s="6">
        <v>4802629</v>
      </c>
      <c r="M172" s="6">
        <v>4802629</v>
      </c>
      <c r="N172" s="6">
        <v>4767585</v>
      </c>
      <c r="O172" s="6">
        <v>5</v>
      </c>
      <c r="P172" s="6">
        <v>2961877</v>
      </c>
      <c r="Q172" s="6">
        <v>4810822</v>
      </c>
      <c r="R172" s="6">
        <v>52.26</v>
      </c>
      <c r="S172" s="6">
        <v>2961877</v>
      </c>
      <c r="T172" s="6">
        <v>1712890</v>
      </c>
      <c r="U172" s="6">
        <v>2435471.1</v>
      </c>
      <c r="V172" s="6">
        <v>1</v>
      </c>
      <c r="W172" s="6">
        <v>2</v>
      </c>
      <c r="X172" s="6">
        <v>0</v>
      </c>
    </row>
    <row r="173" spans="1:24" x14ac:dyDescent="0.25">
      <c r="A173" s="6" t="s">
        <v>230</v>
      </c>
      <c r="B173" s="6" t="str">
        <f>VLOOKUP(A173,'[1]SBV Isolates'!$A$2:$B$367,2,FALSE)</f>
        <v>plate02</v>
      </c>
      <c r="C173" s="6">
        <v>5</v>
      </c>
      <c r="D173" s="6">
        <v>5</v>
      </c>
      <c r="E173" s="6">
        <v>4</v>
      </c>
      <c r="F173" s="6">
        <v>4</v>
      </c>
      <c r="G173" s="6">
        <v>4</v>
      </c>
      <c r="H173" s="6">
        <v>3</v>
      </c>
      <c r="I173" s="6">
        <v>4808024</v>
      </c>
      <c r="J173" s="6">
        <v>4808024</v>
      </c>
      <c r="K173" s="6">
        <v>4803436</v>
      </c>
      <c r="L173" s="6">
        <v>4803436</v>
      </c>
      <c r="M173" s="6">
        <v>4803436</v>
      </c>
      <c r="N173" s="6">
        <v>4768455</v>
      </c>
      <c r="O173" s="6">
        <v>5</v>
      </c>
      <c r="P173" s="6">
        <v>3069513</v>
      </c>
      <c r="Q173" s="6">
        <v>4808024</v>
      </c>
      <c r="R173" s="6">
        <v>52.27</v>
      </c>
      <c r="S173" s="6">
        <v>3069513</v>
      </c>
      <c r="T173" s="6">
        <v>1605244</v>
      </c>
      <c r="U173" s="6">
        <v>2497646.1</v>
      </c>
      <c r="V173" s="6">
        <v>1</v>
      </c>
      <c r="W173" s="6">
        <v>2</v>
      </c>
      <c r="X173" s="6">
        <v>0</v>
      </c>
    </row>
    <row r="174" spans="1:24" x14ac:dyDescent="0.25">
      <c r="A174" s="6" t="s">
        <v>232</v>
      </c>
      <c r="B174" s="6" t="str">
        <f>VLOOKUP(A174,'[1]SBV Isolates'!$A$2:$B$367,2,FALSE)</f>
        <v>plate02</v>
      </c>
      <c r="C174" s="6">
        <v>5</v>
      </c>
      <c r="D174" s="6">
        <v>5</v>
      </c>
      <c r="E174" s="6">
        <v>4</v>
      </c>
      <c r="F174" s="6">
        <v>4</v>
      </c>
      <c r="G174" s="6">
        <v>4</v>
      </c>
      <c r="H174" s="6">
        <v>3</v>
      </c>
      <c r="I174" s="6">
        <v>4808635</v>
      </c>
      <c r="J174" s="6">
        <v>4808635</v>
      </c>
      <c r="K174" s="6">
        <v>4804053</v>
      </c>
      <c r="L174" s="6">
        <v>4804053</v>
      </c>
      <c r="M174" s="6">
        <v>4804053</v>
      </c>
      <c r="N174" s="6">
        <v>4768434</v>
      </c>
      <c r="O174" s="6">
        <v>5</v>
      </c>
      <c r="P174" s="6">
        <v>3069517</v>
      </c>
      <c r="Q174" s="6">
        <v>4808635</v>
      </c>
      <c r="R174" s="6">
        <v>52.27</v>
      </c>
      <c r="S174" s="6">
        <v>3069517</v>
      </c>
      <c r="T174" s="6">
        <v>1605229</v>
      </c>
      <c r="U174" s="6">
        <v>2497332.7999999998</v>
      </c>
      <c r="V174" s="6">
        <v>1</v>
      </c>
      <c r="W174" s="6">
        <v>2</v>
      </c>
      <c r="X174" s="6">
        <v>0</v>
      </c>
    </row>
    <row r="175" spans="1:24" x14ac:dyDescent="0.25">
      <c r="A175" s="6" t="s">
        <v>234</v>
      </c>
      <c r="B175" s="6" t="str">
        <f>VLOOKUP(A175,'[1]SBV Isolates'!$A$2:$B$367,2,FALSE)</f>
        <v>plate02</v>
      </c>
      <c r="C175" s="6">
        <v>5</v>
      </c>
      <c r="D175" s="6">
        <v>5</v>
      </c>
      <c r="E175" s="6">
        <v>5</v>
      </c>
      <c r="F175" s="6">
        <v>4</v>
      </c>
      <c r="G175" s="6">
        <v>4</v>
      </c>
      <c r="H175" s="6">
        <v>3</v>
      </c>
      <c r="I175" s="6">
        <v>4812217</v>
      </c>
      <c r="J175" s="6">
        <v>4812217</v>
      </c>
      <c r="K175" s="6">
        <v>4812217</v>
      </c>
      <c r="L175" s="6">
        <v>4804092</v>
      </c>
      <c r="M175" s="6">
        <v>4804092</v>
      </c>
      <c r="N175" s="6">
        <v>4768472</v>
      </c>
      <c r="O175" s="6">
        <v>5</v>
      </c>
      <c r="P175" s="6">
        <v>3069533</v>
      </c>
      <c r="Q175" s="6">
        <v>4812217</v>
      </c>
      <c r="R175" s="6">
        <v>52.27</v>
      </c>
      <c r="S175" s="6">
        <v>3069533</v>
      </c>
      <c r="T175" s="6">
        <v>1605227</v>
      </c>
      <c r="U175" s="6">
        <v>2495503.2999999998</v>
      </c>
      <c r="V175" s="6">
        <v>1</v>
      </c>
      <c r="W175" s="6">
        <v>2</v>
      </c>
      <c r="X175" s="6">
        <v>0</v>
      </c>
    </row>
    <row r="176" spans="1:24" x14ac:dyDescent="0.25">
      <c r="A176" s="6" t="s">
        <v>235</v>
      </c>
      <c r="B176" s="6" t="str">
        <f>VLOOKUP(A176,'[1]SBV Isolates'!$A$2:$B$367,2,FALSE)</f>
        <v>plate02</v>
      </c>
      <c r="C176" s="6">
        <v>5</v>
      </c>
      <c r="D176" s="6">
        <v>5</v>
      </c>
      <c r="E176" s="6">
        <v>5</v>
      </c>
      <c r="F176" s="6">
        <v>4</v>
      </c>
      <c r="G176" s="6">
        <v>4</v>
      </c>
      <c r="H176" s="6">
        <v>3</v>
      </c>
      <c r="I176" s="6">
        <v>4811589</v>
      </c>
      <c r="J176" s="6">
        <v>4811589</v>
      </c>
      <c r="K176" s="6">
        <v>4811589</v>
      </c>
      <c r="L176" s="6">
        <v>4803623</v>
      </c>
      <c r="M176" s="6">
        <v>4803623</v>
      </c>
      <c r="N176" s="6">
        <v>4768438</v>
      </c>
      <c r="O176" s="6">
        <v>5</v>
      </c>
      <c r="P176" s="6">
        <v>3069541</v>
      </c>
      <c r="Q176" s="6">
        <v>4811589</v>
      </c>
      <c r="R176" s="6">
        <v>52.27</v>
      </c>
      <c r="S176" s="6">
        <v>3069541</v>
      </c>
      <c r="T176" s="6">
        <v>1605203</v>
      </c>
      <c r="U176" s="6">
        <v>2495815.5</v>
      </c>
      <c r="V176" s="6">
        <v>1</v>
      </c>
      <c r="W176" s="6">
        <v>2</v>
      </c>
      <c r="X176" s="6">
        <v>0</v>
      </c>
    </row>
    <row r="177" spans="1:24" x14ac:dyDescent="0.25">
      <c r="A177" s="6" t="s">
        <v>239</v>
      </c>
      <c r="B177" s="6" t="str">
        <f>VLOOKUP(A177,'[1]SBV Isolates'!$A$2:$B$367,2,FALSE)</f>
        <v>plate03</v>
      </c>
      <c r="C177" s="6">
        <v>5</v>
      </c>
      <c r="D177" s="6">
        <v>5</v>
      </c>
      <c r="E177" s="6">
        <v>5</v>
      </c>
      <c r="F177" s="6">
        <v>4</v>
      </c>
      <c r="G177" s="6">
        <v>4</v>
      </c>
      <c r="H177" s="6">
        <v>3</v>
      </c>
      <c r="I177" s="6">
        <v>4809401</v>
      </c>
      <c r="J177" s="6">
        <v>4809401</v>
      </c>
      <c r="K177" s="6">
        <v>4809401</v>
      </c>
      <c r="L177" s="6">
        <v>4802596</v>
      </c>
      <c r="M177" s="6">
        <v>4802596</v>
      </c>
      <c r="N177" s="6">
        <v>4768149</v>
      </c>
      <c r="O177" s="6">
        <v>5</v>
      </c>
      <c r="P177" s="6">
        <v>3069237</v>
      </c>
      <c r="Q177" s="6">
        <v>4809401</v>
      </c>
      <c r="R177" s="6">
        <v>52.24</v>
      </c>
      <c r="S177" s="6">
        <v>3069237</v>
      </c>
      <c r="T177" s="6">
        <v>1605203</v>
      </c>
      <c r="U177" s="6">
        <v>2496549.2999999998</v>
      </c>
      <c r="V177" s="6">
        <v>1</v>
      </c>
      <c r="W177" s="6">
        <v>2</v>
      </c>
      <c r="X177" s="6">
        <v>0</v>
      </c>
    </row>
    <row r="178" spans="1:24" x14ac:dyDescent="0.25">
      <c r="A178" s="6" t="s">
        <v>244</v>
      </c>
      <c r="B178" s="6" t="str">
        <f>VLOOKUP(A178,'[1]SBV Isolates'!$A$2:$B$367,2,FALSE)</f>
        <v>plate03</v>
      </c>
      <c r="C178" s="6">
        <v>5</v>
      </c>
      <c r="D178" s="6">
        <v>5</v>
      </c>
      <c r="E178" s="6">
        <v>5</v>
      </c>
      <c r="F178" s="6">
        <v>4</v>
      </c>
      <c r="G178" s="6">
        <v>4</v>
      </c>
      <c r="H178" s="6">
        <v>3</v>
      </c>
      <c r="I178" s="6">
        <v>4812118</v>
      </c>
      <c r="J178" s="6">
        <v>4812118</v>
      </c>
      <c r="K178" s="6">
        <v>4812118</v>
      </c>
      <c r="L178" s="6">
        <v>4804105</v>
      </c>
      <c r="M178" s="6">
        <v>4804105</v>
      </c>
      <c r="N178" s="6">
        <v>4768490</v>
      </c>
      <c r="O178" s="6">
        <v>5</v>
      </c>
      <c r="P178" s="6">
        <v>3069514</v>
      </c>
      <c r="Q178" s="6">
        <v>4812118</v>
      </c>
      <c r="R178" s="6">
        <v>52.27</v>
      </c>
      <c r="S178" s="6">
        <v>3069514</v>
      </c>
      <c r="T178" s="6">
        <v>1605264</v>
      </c>
      <c r="U178" s="6">
        <v>2495554.6</v>
      </c>
      <c r="V178" s="6">
        <v>1</v>
      </c>
      <c r="W178" s="6">
        <v>2</v>
      </c>
      <c r="X178" s="6">
        <v>0</v>
      </c>
    </row>
    <row r="179" spans="1:24" x14ac:dyDescent="0.25">
      <c r="A179" s="6" t="s">
        <v>245</v>
      </c>
      <c r="B179" s="6" t="str">
        <f>VLOOKUP(A179,'[1]SBV Isolates'!$A$2:$B$367,2,FALSE)</f>
        <v>plate02</v>
      </c>
      <c r="C179" s="6">
        <v>5</v>
      </c>
      <c r="D179" s="6">
        <v>5</v>
      </c>
      <c r="E179" s="6">
        <v>5</v>
      </c>
      <c r="F179" s="6">
        <v>5</v>
      </c>
      <c r="G179" s="6">
        <v>5</v>
      </c>
      <c r="H179" s="6">
        <v>4</v>
      </c>
      <c r="I179" s="6">
        <v>5075216</v>
      </c>
      <c r="J179" s="6">
        <v>5075216</v>
      </c>
      <c r="K179" s="6">
        <v>5075216</v>
      </c>
      <c r="L179" s="6">
        <v>5075216</v>
      </c>
      <c r="M179" s="6">
        <v>5075216</v>
      </c>
      <c r="N179" s="6">
        <v>5039599</v>
      </c>
      <c r="O179" s="6">
        <v>5</v>
      </c>
      <c r="P179" s="6">
        <v>3069532</v>
      </c>
      <c r="Q179" s="6">
        <v>5075216</v>
      </c>
      <c r="R179" s="6">
        <v>52.01</v>
      </c>
      <c r="S179" s="6">
        <v>3069532</v>
      </c>
      <c r="T179" s="6">
        <v>1605203</v>
      </c>
      <c r="U179" s="6">
        <v>2380644.2000000002</v>
      </c>
      <c r="V179" s="6">
        <v>1</v>
      </c>
      <c r="W179" s="6">
        <v>2</v>
      </c>
      <c r="X179" s="6">
        <v>0</v>
      </c>
    </row>
    <row r="180" spans="1:24" x14ac:dyDescent="0.25">
      <c r="A180" s="6" t="s">
        <v>248</v>
      </c>
      <c r="B180" s="6" t="str">
        <f>VLOOKUP(A180,'[1]SBV Isolates'!$A$2:$B$367,2,FALSE)</f>
        <v>plate02</v>
      </c>
      <c r="C180" s="6">
        <v>5</v>
      </c>
      <c r="D180" s="6">
        <v>5</v>
      </c>
      <c r="E180" s="6">
        <v>4</v>
      </c>
      <c r="F180" s="6">
        <v>4</v>
      </c>
      <c r="G180" s="6">
        <v>4</v>
      </c>
      <c r="H180" s="6">
        <v>3</v>
      </c>
      <c r="I180" s="6">
        <v>4808234</v>
      </c>
      <c r="J180" s="6">
        <v>4808234</v>
      </c>
      <c r="K180" s="6">
        <v>4803655</v>
      </c>
      <c r="L180" s="6">
        <v>4803655</v>
      </c>
      <c r="M180" s="6">
        <v>4803655</v>
      </c>
      <c r="N180" s="6">
        <v>4768056</v>
      </c>
      <c r="O180" s="6">
        <v>5</v>
      </c>
      <c r="P180" s="6">
        <v>3069517</v>
      </c>
      <c r="Q180" s="6">
        <v>4808234</v>
      </c>
      <c r="R180" s="6">
        <v>52.27</v>
      </c>
      <c r="S180" s="6">
        <v>3069517</v>
      </c>
      <c r="T180" s="6">
        <v>1604844</v>
      </c>
      <c r="U180" s="6">
        <v>2497284</v>
      </c>
      <c r="V180" s="6">
        <v>1</v>
      </c>
      <c r="W180" s="6">
        <v>2</v>
      </c>
      <c r="X180" s="6">
        <v>0</v>
      </c>
    </row>
    <row r="181" spans="1:24" x14ac:dyDescent="0.25">
      <c r="A181" s="6" t="s">
        <v>253</v>
      </c>
      <c r="B181" s="6" t="str">
        <f>VLOOKUP(A181,'[1]SBV Isolates'!$A$2:$B$367,2,FALSE)</f>
        <v>plate02</v>
      </c>
      <c r="C181" s="6">
        <v>5</v>
      </c>
      <c r="D181" s="6">
        <v>5</v>
      </c>
      <c r="E181" s="6">
        <v>5</v>
      </c>
      <c r="F181" s="6">
        <v>4</v>
      </c>
      <c r="G181" s="6">
        <v>4</v>
      </c>
      <c r="H181" s="6">
        <v>3</v>
      </c>
      <c r="I181" s="6">
        <v>4808466</v>
      </c>
      <c r="J181" s="6">
        <v>4808466</v>
      </c>
      <c r="K181" s="6">
        <v>4808466</v>
      </c>
      <c r="L181" s="6">
        <v>4803393</v>
      </c>
      <c r="M181" s="6">
        <v>4803393</v>
      </c>
      <c r="N181" s="6">
        <v>4767766</v>
      </c>
      <c r="O181" s="6">
        <v>5</v>
      </c>
      <c r="P181" s="6">
        <v>3069532</v>
      </c>
      <c r="Q181" s="6">
        <v>4808466</v>
      </c>
      <c r="R181" s="6">
        <v>52.27</v>
      </c>
      <c r="S181" s="6">
        <v>3069532</v>
      </c>
      <c r="T181" s="6">
        <v>1605179</v>
      </c>
      <c r="U181" s="6">
        <v>2497382.9</v>
      </c>
      <c r="V181" s="6">
        <v>1</v>
      </c>
      <c r="W181" s="6">
        <v>2</v>
      </c>
      <c r="X181" s="6">
        <v>0</v>
      </c>
    </row>
    <row r="182" spans="1:24" x14ac:dyDescent="0.25">
      <c r="A182" s="6" t="s">
        <v>254</v>
      </c>
      <c r="B182" s="6" t="str">
        <f>VLOOKUP(A182,'[1]SBV Isolates'!$A$2:$B$367,2,FALSE)</f>
        <v>plate02</v>
      </c>
      <c r="C182" s="6">
        <v>5</v>
      </c>
      <c r="D182" s="6">
        <v>5</v>
      </c>
      <c r="E182" s="6">
        <v>5</v>
      </c>
      <c r="F182" s="6">
        <v>4</v>
      </c>
      <c r="G182" s="6">
        <v>4</v>
      </c>
      <c r="H182" s="6">
        <v>3</v>
      </c>
      <c r="I182" s="6">
        <v>4812002</v>
      </c>
      <c r="J182" s="6">
        <v>4812002</v>
      </c>
      <c r="K182" s="6">
        <v>4812002</v>
      </c>
      <c r="L182" s="6">
        <v>4803941</v>
      </c>
      <c r="M182" s="6">
        <v>4803941</v>
      </c>
      <c r="N182" s="6">
        <v>4768351</v>
      </c>
      <c r="O182" s="6">
        <v>5</v>
      </c>
      <c r="P182" s="6">
        <v>3069513</v>
      </c>
      <c r="Q182" s="6">
        <v>4812002</v>
      </c>
      <c r="R182" s="6">
        <v>52.27</v>
      </c>
      <c r="S182" s="6">
        <v>3069513</v>
      </c>
      <c r="T182" s="6">
        <v>1605136</v>
      </c>
      <c r="U182" s="6">
        <v>2495527.5</v>
      </c>
      <c r="V182" s="6">
        <v>1</v>
      </c>
      <c r="W182" s="6">
        <v>2</v>
      </c>
      <c r="X182" s="6">
        <v>0</v>
      </c>
    </row>
    <row r="183" spans="1:24" x14ac:dyDescent="0.25">
      <c r="A183" s="6" t="s">
        <v>256</v>
      </c>
      <c r="B183" s="6" t="str">
        <f>VLOOKUP(A183,'[1]SBV Isolates'!$A$2:$B$367,2,FALSE)</f>
        <v>plate02</v>
      </c>
      <c r="C183" s="6">
        <v>5</v>
      </c>
      <c r="D183" s="6">
        <v>5</v>
      </c>
      <c r="E183" s="6">
        <v>5</v>
      </c>
      <c r="F183" s="6">
        <v>4</v>
      </c>
      <c r="G183" s="6">
        <v>4</v>
      </c>
      <c r="H183" s="6">
        <v>3</v>
      </c>
      <c r="I183" s="6">
        <v>4812248</v>
      </c>
      <c r="J183" s="6">
        <v>4812248</v>
      </c>
      <c r="K183" s="6">
        <v>4812248</v>
      </c>
      <c r="L183" s="6">
        <v>4804032</v>
      </c>
      <c r="M183" s="6">
        <v>4804032</v>
      </c>
      <c r="N183" s="6">
        <v>4768413</v>
      </c>
      <c r="O183" s="6">
        <v>5</v>
      </c>
      <c r="P183" s="6">
        <v>3069532</v>
      </c>
      <c r="Q183" s="6">
        <v>4812248</v>
      </c>
      <c r="R183" s="6">
        <v>52.27</v>
      </c>
      <c r="S183" s="6">
        <v>3069532</v>
      </c>
      <c r="T183" s="6">
        <v>1605179</v>
      </c>
      <c r="U183" s="6">
        <v>2495453.7999999998</v>
      </c>
      <c r="V183" s="6">
        <v>1</v>
      </c>
      <c r="W183" s="6">
        <v>2</v>
      </c>
      <c r="X183" s="6">
        <v>0</v>
      </c>
    </row>
    <row r="184" spans="1:24" x14ac:dyDescent="0.25">
      <c r="A184" s="6" t="s">
        <v>257</v>
      </c>
      <c r="B184" s="6" t="str">
        <f>VLOOKUP(A184,'[1]SBV Isolates'!$A$2:$B$367,2,FALSE)</f>
        <v>plate02</v>
      </c>
      <c r="C184" s="6">
        <v>5</v>
      </c>
      <c r="D184" s="6">
        <v>5</v>
      </c>
      <c r="E184" s="6">
        <v>5</v>
      </c>
      <c r="F184" s="6">
        <v>4</v>
      </c>
      <c r="G184" s="6">
        <v>4</v>
      </c>
      <c r="H184" s="6">
        <v>3</v>
      </c>
      <c r="I184" s="6">
        <v>4852456</v>
      </c>
      <c r="J184" s="6">
        <v>4852456</v>
      </c>
      <c r="K184" s="6">
        <v>4852456</v>
      </c>
      <c r="L184" s="6">
        <v>4844380</v>
      </c>
      <c r="M184" s="6">
        <v>4844380</v>
      </c>
      <c r="N184" s="6">
        <v>4808762</v>
      </c>
      <c r="O184" s="6">
        <v>5</v>
      </c>
      <c r="P184" s="6">
        <v>3069518</v>
      </c>
      <c r="Q184" s="6">
        <v>4852456</v>
      </c>
      <c r="R184" s="6">
        <v>52.26</v>
      </c>
      <c r="S184" s="6">
        <v>3069518</v>
      </c>
      <c r="T184" s="6">
        <v>1645539</v>
      </c>
      <c r="U184" s="6">
        <v>2501795.7999999998</v>
      </c>
      <c r="V184" s="6">
        <v>1</v>
      </c>
      <c r="W184" s="6">
        <v>2</v>
      </c>
      <c r="X184" s="6">
        <v>0</v>
      </c>
    </row>
    <row r="185" spans="1:24" x14ac:dyDescent="0.25">
      <c r="A185" s="6" t="s">
        <v>261</v>
      </c>
      <c r="B185" s="6" t="str">
        <f>VLOOKUP(A185,'[1]SBV Isolates'!$A$2:$B$367,2,FALSE)</f>
        <v>plate02</v>
      </c>
      <c r="C185" s="6">
        <v>5</v>
      </c>
      <c r="D185" s="6">
        <v>5</v>
      </c>
      <c r="E185" s="6">
        <v>5</v>
      </c>
      <c r="F185" s="6">
        <v>4</v>
      </c>
      <c r="G185" s="6">
        <v>4</v>
      </c>
      <c r="H185" s="6">
        <v>3</v>
      </c>
      <c r="I185" s="6">
        <v>4811424</v>
      </c>
      <c r="J185" s="6">
        <v>4811424</v>
      </c>
      <c r="K185" s="6">
        <v>4811424</v>
      </c>
      <c r="L185" s="6">
        <v>4804055</v>
      </c>
      <c r="M185" s="6">
        <v>4804055</v>
      </c>
      <c r="N185" s="6">
        <v>4768430</v>
      </c>
      <c r="O185" s="6">
        <v>5</v>
      </c>
      <c r="P185" s="6">
        <v>3069532</v>
      </c>
      <c r="Q185" s="6">
        <v>4811424</v>
      </c>
      <c r="R185" s="6">
        <v>52.27</v>
      </c>
      <c r="S185" s="6">
        <v>3069532</v>
      </c>
      <c r="T185" s="6">
        <v>1605203</v>
      </c>
      <c r="U185" s="6">
        <v>2495894.2999999998</v>
      </c>
      <c r="V185" s="6">
        <v>1</v>
      </c>
      <c r="W185" s="6">
        <v>2</v>
      </c>
      <c r="X185" s="6">
        <v>0</v>
      </c>
    </row>
    <row r="186" spans="1:24" x14ac:dyDescent="0.25">
      <c r="A186" s="6" t="s">
        <v>262</v>
      </c>
      <c r="B186" s="6" t="str">
        <f>VLOOKUP(A186,'[1]SBV Isolates'!$A$2:$B$367,2,FALSE)</f>
        <v>plate03</v>
      </c>
      <c r="C186" s="6">
        <v>5</v>
      </c>
      <c r="D186" s="6">
        <v>5</v>
      </c>
      <c r="E186" s="6">
        <v>5</v>
      </c>
      <c r="F186" s="6">
        <v>4</v>
      </c>
      <c r="G186" s="6">
        <v>4</v>
      </c>
      <c r="H186" s="6">
        <v>3</v>
      </c>
      <c r="I186" s="6">
        <v>4810611</v>
      </c>
      <c r="J186" s="6">
        <v>4810611</v>
      </c>
      <c r="K186" s="6">
        <v>4810611</v>
      </c>
      <c r="L186" s="6">
        <v>4802874</v>
      </c>
      <c r="M186" s="6">
        <v>4802874</v>
      </c>
      <c r="N186" s="6">
        <v>4768429</v>
      </c>
      <c r="O186" s="6">
        <v>5</v>
      </c>
      <c r="P186" s="6">
        <v>3069542</v>
      </c>
      <c r="Q186" s="6">
        <v>4810611</v>
      </c>
      <c r="R186" s="6">
        <v>52.27</v>
      </c>
      <c r="S186" s="6">
        <v>3069542</v>
      </c>
      <c r="T186" s="6">
        <v>1605188</v>
      </c>
      <c r="U186" s="6">
        <v>2496302.9</v>
      </c>
      <c r="V186" s="6">
        <v>1</v>
      </c>
      <c r="W186" s="6">
        <v>2</v>
      </c>
      <c r="X186" s="6">
        <v>0</v>
      </c>
    </row>
    <row r="187" spans="1:24" x14ac:dyDescent="0.25">
      <c r="A187" s="6" t="s">
        <v>263</v>
      </c>
      <c r="B187" s="6" t="str">
        <f>VLOOKUP(A187,'[1]SBV Isolates'!$A$2:$B$367,2,FALSE)</f>
        <v>plate02</v>
      </c>
      <c r="C187" s="6">
        <v>5</v>
      </c>
      <c r="D187" s="6">
        <v>5</v>
      </c>
      <c r="E187" s="6">
        <v>4</v>
      </c>
      <c r="F187" s="6">
        <v>4</v>
      </c>
      <c r="G187" s="6">
        <v>4</v>
      </c>
      <c r="H187" s="6">
        <v>3</v>
      </c>
      <c r="I187" s="6">
        <v>4807103</v>
      </c>
      <c r="J187" s="6">
        <v>4807103</v>
      </c>
      <c r="K187" s="6">
        <v>4802531</v>
      </c>
      <c r="L187" s="6">
        <v>4802531</v>
      </c>
      <c r="M187" s="6">
        <v>4802531</v>
      </c>
      <c r="N187" s="6">
        <v>4768063</v>
      </c>
      <c r="O187" s="6">
        <v>5</v>
      </c>
      <c r="P187" s="6">
        <v>3069541</v>
      </c>
      <c r="Q187" s="6">
        <v>4807103</v>
      </c>
      <c r="R187" s="6">
        <v>52.27</v>
      </c>
      <c r="S187" s="6">
        <v>3069541</v>
      </c>
      <c r="T187" s="6">
        <v>1604838</v>
      </c>
      <c r="U187" s="6">
        <v>2497881.2999999998</v>
      </c>
      <c r="V187" s="6">
        <v>1</v>
      </c>
      <c r="W187" s="6">
        <v>2</v>
      </c>
      <c r="X187" s="6">
        <v>0</v>
      </c>
    </row>
    <row r="188" spans="1:24" x14ac:dyDescent="0.25">
      <c r="A188" s="6" t="s">
        <v>264</v>
      </c>
      <c r="B188" s="6" t="str">
        <f>VLOOKUP(A188,'[1]SBV Isolates'!$A$2:$B$367,2,FALSE)</f>
        <v>plate02</v>
      </c>
      <c r="C188" s="6">
        <v>5</v>
      </c>
      <c r="D188" s="6">
        <v>5</v>
      </c>
      <c r="E188" s="6">
        <v>4</v>
      </c>
      <c r="F188" s="6">
        <v>4</v>
      </c>
      <c r="G188" s="6">
        <v>4</v>
      </c>
      <c r="H188" s="6">
        <v>3</v>
      </c>
      <c r="I188" s="6">
        <v>4806815</v>
      </c>
      <c r="J188" s="6">
        <v>4806815</v>
      </c>
      <c r="K188" s="6">
        <v>4802269</v>
      </c>
      <c r="L188" s="6">
        <v>4802269</v>
      </c>
      <c r="M188" s="6">
        <v>4802269</v>
      </c>
      <c r="N188" s="6">
        <v>4767915</v>
      </c>
      <c r="O188" s="6">
        <v>5</v>
      </c>
      <c r="P188" s="6">
        <v>3068998</v>
      </c>
      <c r="Q188" s="6">
        <v>4806815</v>
      </c>
      <c r="R188" s="6">
        <v>52.27</v>
      </c>
      <c r="S188" s="6">
        <v>3068998</v>
      </c>
      <c r="T188" s="6">
        <v>1605229</v>
      </c>
      <c r="U188" s="6">
        <v>2497597.1</v>
      </c>
      <c r="V188" s="6">
        <v>1</v>
      </c>
      <c r="W188" s="6">
        <v>2</v>
      </c>
      <c r="X188" s="6">
        <v>0</v>
      </c>
    </row>
    <row r="189" spans="1:24" x14ac:dyDescent="0.25">
      <c r="A189" s="6" t="s">
        <v>268</v>
      </c>
      <c r="B189" s="6" t="str">
        <f>VLOOKUP(A189,'[1]SBV Isolates'!$A$2:$B$367,2,FALSE)</f>
        <v>plate03</v>
      </c>
      <c r="C189" s="6">
        <v>5</v>
      </c>
      <c r="D189" s="6">
        <v>5</v>
      </c>
      <c r="E189" s="6">
        <v>4</v>
      </c>
      <c r="F189" s="6">
        <v>4</v>
      </c>
      <c r="G189" s="6">
        <v>4</v>
      </c>
      <c r="H189" s="6">
        <v>3</v>
      </c>
      <c r="I189" s="6">
        <v>4808604</v>
      </c>
      <c r="J189" s="6">
        <v>4808604</v>
      </c>
      <c r="K189" s="6">
        <v>4804030</v>
      </c>
      <c r="L189" s="6">
        <v>4804030</v>
      </c>
      <c r="M189" s="6">
        <v>4804030</v>
      </c>
      <c r="N189" s="6">
        <v>4768435</v>
      </c>
      <c r="O189" s="6">
        <v>5</v>
      </c>
      <c r="P189" s="6">
        <v>3069533</v>
      </c>
      <c r="Q189" s="6">
        <v>4808604</v>
      </c>
      <c r="R189" s="6">
        <v>52.27</v>
      </c>
      <c r="S189" s="6">
        <v>3069533</v>
      </c>
      <c r="T189" s="6">
        <v>1605203</v>
      </c>
      <c r="U189" s="6">
        <v>2497352</v>
      </c>
      <c r="V189" s="6">
        <v>1</v>
      </c>
      <c r="W189" s="6">
        <v>2</v>
      </c>
      <c r="X189" s="6">
        <v>0</v>
      </c>
    </row>
    <row r="190" spans="1:24" x14ac:dyDescent="0.25">
      <c r="A190" s="6" t="s">
        <v>270</v>
      </c>
      <c r="B190" s="6" t="str">
        <f>VLOOKUP(A190,'[1]SBV Isolates'!$A$2:$B$367,2,FALSE)</f>
        <v>plate02</v>
      </c>
      <c r="C190" s="6">
        <v>5</v>
      </c>
      <c r="D190" s="6">
        <v>5</v>
      </c>
      <c r="E190" s="6">
        <v>5</v>
      </c>
      <c r="F190" s="6">
        <v>4</v>
      </c>
      <c r="G190" s="6">
        <v>4</v>
      </c>
      <c r="H190" s="6">
        <v>3</v>
      </c>
      <c r="I190" s="6">
        <v>4812312</v>
      </c>
      <c r="J190" s="6">
        <v>4812312</v>
      </c>
      <c r="K190" s="6">
        <v>4812312</v>
      </c>
      <c r="L190" s="6">
        <v>4804072</v>
      </c>
      <c r="M190" s="6">
        <v>4804072</v>
      </c>
      <c r="N190" s="6">
        <v>4768455</v>
      </c>
      <c r="O190" s="6">
        <v>5</v>
      </c>
      <c r="P190" s="6">
        <v>3069518</v>
      </c>
      <c r="Q190" s="6">
        <v>4812312</v>
      </c>
      <c r="R190" s="6">
        <v>52.27</v>
      </c>
      <c r="S190" s="6">
        <v>3069518</v>
      </c>
      <c r="T190" s="6">
        <v>1605238</v>
      </c>
      <c r="U190" s="6">
        <v>2495442.1</v>
      </c>
      <c r="V190" s="6">
        <v>1</v>
      </c>
      <c r="W190" s="6">
        <v>2</v>
      </c>
      <c r="X190" s="6">
        <v>0</v>
      </c>
    </row>
    <row r="191" spans="1:24" x14ac:dyDescent="0.25">
      <c r="A191" s="6" t="s">
        <v>273</v>
      </c>
      <c r="B191" s="6" t="str">
        <f>VLOOKUP(A191,'[1]SBV Isolates'!$A$2:$B$367,2,FALSE)</f>
        <v>plate02</v>
      </c>
      <c r="C191" s="6">
        <v>5</v>
      </c>
      <c r="D191" s="6">
        <v>5</v>
      </c>
      <c r="E191" s="6">
        <v>5</v>
      </c>
      <c r="F191" s="6">
        <v>4</v>
      </c>
      <c r="G191" s="6">
        <v>4</v>
      </c>
      <c r="H191" s="6">
        <v>3</v>
      </c>
      <c r="I191" s="6">
        <v>4809834</v>
      </c>
      <c r="J191" s="6">
        <v>4809834</v>
      </c>
      <c r="K191" s="6">
        <v>4809834</v>
      </c>
      <c r="L191" s="6">
        <v>4801569</v>
      </c>
      <c r="M191" s="6">
        <v>4801569</v>
      </c>
      <c r="N191" s="6">
        <v>4768461</v>
      </c>
      <c r="O191" s="6">
        <v>5</v>
      </c>
      <c r="P191" s="6">
        <v>3069518</v>
      </c>
      <c r="Q191" s="6">
        <v>4809834</v>
      </c>
      <c r="R191" s="6">
        <v>52.27</v>
      </c>
      <c r="S191" s="6">
        <v>3069518</v>
      </c>
      <c r="T191" s="6">
        <v>1605244</v>
      </c>
      <c r="U191" s="6">
        <v>2496695.9</v>
      </c>
      <c r="V191" s="6">
        <v>1</v>
      </c>
      <c r="W191" s="6">
        <v>2</v>
      </c>
      <c r="X191" s="6">
        <v>0</v>
      </c>
    </row>
    <row r="192" spans="1:24" x14ac:dyDescent="0.25">
      <c r="A192" s="6" t="s">
        <v>274</v>
      </c>
      <c r="B192" s="6" t="str">
        <f>VLOOKUP(A192,'[1]SBV Isolates'!$A$2:$B$367,2,FALSE)</f>
        <v>plate02</v>
      </c>
      <c r="C192" s="6">
        <v>5</v>
      </c>
      <c r="D192" s="6">
        <v>5</v>
      </c>
      <c r="E192" s="6">
        <v>5</v>
      </c>
      <c r="F192" s="6">
        <v>4</v>
      </c>
      <c r="G192" s="6">
        <v>4</v>
      </c>
      <c r="H192" s="6">
        <v>3</v>
      </c>
      <c r="I192" s="6">
        <v>4812179</v>
      </c>
      <c r="J192" s="6">
        <v>4812179</v>
      </c>
      <c r="K192" s="6">
        <v>4812179</v>
      </c>
      <c r="L192" s="6">
        <v>4804094</v>
      </c>
      <c r="M192" s="6">
        <v>4804094</v>
      </c>
      <c r="N192" s="6">
        <v>4768463</v>
      </c>
      <c r="O192" s="6">
        <v>5</v>
      </c>
      <c r="P192" s="6">
        <v>3069516</v>
      </c>
      <c r="Q192" s="6">
        <v>4812179</v>
      </c>
      <c r="R192" s="6">
        <v>52.27</v>
      </c>
      <c r="S192" s="6">
        <v>3069516</v>
      </c>
      <c r="T192" s="6">
        <v>1605235</v>
      </c>
      <c r="U192" s="6">
        <v>2495506.7000000002</v>
      </c>
      <c r="V192" s="6">
        <v>1</v>
      </c>
      <c r="W192" s="6">
        <v>2</v>
      </c>
      <c r="X192" s="6">
        <v>0</v>
      </c>
    </row>
    <row r="193" spans="1:24" x14ac:dyDescent="0.25">
      <c r="A193" s="6" t="s">
        <v>276</v>
      </c>
      <c r="B193" s="6" t="str">
        <f>VLOOKUP(A193,'[1]SBV Isolates'!$A$2:$B$367,2,FALSE)</f>
        <v>plate02</v>
      </c>
      <c r="C193" s="6">
        <v>5</v>
      </c>
      <c r="D193" s="6">
        <v>5</v>
      </c>
      <c r="E193" s="6">
        <v>5</v>
      </c>
      <c r="F193" s="6">
        <v>4</v>
      </c>
      <c r="G193" s="6">
        <v>4</v>
      </c>
      <c r="H193" s="6">
        <v>3</v>
      </c>
      <c r="I193" s="6">
        <v>4812153</v>
      </c>
      <c r="J193" s="6">
        <v>4812153</v>
      </c>
      <c r="K193" s="6">
        <v>4812153</v>
      </c>
      <c r="L193" s="6">
        <v>4803970</v>
      </c>
      <c r="M193" s="6">
        <v>4803970</v>
      </c>
      <c r="N193" s="6">
        <v>4768351</v>
      </c>
      <c r="O193" s="6">
        <v>5</v>
      </c>
      <c r="P193" s="6">
        <v>3069514</v>
      </c>
      <c r="Q193" s="6">
        <v>4812153</v>
      </c>
      <c r="R193" s="6">
        <v>52.27</v>
      </c>
      <c r="S193" s="6">
        <v>3069514</v>
      </c>
      <c r="T193" s="6">
        <v>1605127</v>
      </c>
      <c r="U193" s="6">
        <v>2495445.6</v>
      </c>
      <c r="V193" s="6">
        <v>1</v>
      </c>
      <c r="W193" s="6">
        <v>2</v>
      </c>
      <c r="X193" s="6">
        <v>0</v>
      </c>
    </row>
    <row r="194" spans="1:24" x14ac:dyDescent="0.25">
      <c r="A194" s="6" t="s">
        <v>278</v>
      </c>
      <c r="B194" s="6" t="str">
        <f>VLOOKUP(A194,'[1]SBV Isolates'!$A$2:$B$367,2,FALSE)</f>
        <v>plate02</v>
      </c>
      <c r="C194" s="6">
        <v>5</v>
      </c>
      <c r="D194" s="6">
        <v>5</v>
      </c>
      <c r="E194" s="6">
        <v>5</v>
      </c>
      <c r="F194" s="6">
        <v>4</v>
      </c>
      <c r="G194" s="6">
        <v>4</v>
      </c>
      <c r="H194" s="6">
        <v>3</v>
      </c>
      <c r="I194" s="6">
        <v>4811949</v>
      </c>
      <c r="J194" s="6">
        <v>4811949</v>
      </c>
      <c r="K194" s="6">
        <v>4811949</v>
      </c>
      <c r="L194" s="6">
        <v>4803899</v>
      </c>
      <c r="M194" s="6">
        <v>4803899</v>
      </c>
      <c r="N194" s="6">
        <v>4768343</v>
      </c>
      <c r="O194" s="6">
        <v>5</v>
      </c>
      <c r="P194" s="6">
        <v>3069413</v>
      </c>
      <c r="Q194" s="6">
        <v>4811949</v>
      </c>
      <c r="R194" s="6">
        <v>52.27</v>
      </c>
      <c r="S194" s="6">
        <v>3069413</v>
      </c>
      <c r="T194" s="6">
        <v>1605223</v>
      </c>
      <c r="U194" s="6">
        <v>2495485.1</v>
      </c>
      <c r="V194" s="6">
        <v>1</v>
      </c>
      <c r="W194" s="6">
        <v>2</v>
      </c>
      <c r="X194" s="6">
        <v>0</v>
      </c>
    </row>
    <row r="195" spans="1:24" x14ac:dyDescent="0.25">
      <c r="A195" s="6" t="s">
        <v>279</v>
      </c>
      <c r="B195" s="6" t="str">
        <f>VLOOKUP(A195,'[1]SBV Isolates'!$A$2:$B$367,2,FALSE)</f>
        <v>plate02</v>
      </c>
      <c r="C195" s="6">
        <v>5</v>
      </c>
      <c r="D195" s="6">
        <v>5</v>
      </c>
      <c r="E195" s="6">
        <v>5</v>
      </c>
      <c r="F195" s="6">
        <v>4</v>
      </c>
      <c r="G195" s="6">
        <v>4</v>
      </c>
      <c r="H195" s="6">
        <v>3</v>
      </c>
      <c r="I195" s="6">
        <v>4810980</v>
      </c>
      <c r="J195" s="6">
        <v>4810980</v>
      </c>
      <c r="K195" s="6">
        <v>4810980</v>
      </c>
      <c r="L195" s="6">
        <v>4802905</v>
      </c>
      <c r="M195" s="6">
        <v>4802905</v>
      </c>
      <c r="N195" s="6">
        <v>4768441</v>
      </c>
      <c r="O195" s="6">
        <v>5</v>
      </c>
      <c r="P195" s="6">
        <v>3069538</v>
      </c>
      <c r="Q195" s="6">
        <v>4810980</v>
      </c>
      <c r="R195" s="6">
        <v>52.27</v>
      </c>
      <c r="S195" s="6">
        <v>3069538</v>
      </c>
      <c r="T195" s="6">
        <v>1605208</v>
      </c>
      <c r="U195" s="6">
        <v>2496121</v>
      </c>
      <c r="V195" s="6">
        <v>1</v>
      </c>
      <c r="W195" s="6">
        <v>2</v>
      </c>
      <c r="X195" s="6">
        <v>0</v>
      </c>
    </row>
    <row r="196" spans="1:24" x14ac:dyDescent="0.25">
      <c r="A196" s="6" t="s">
        <v>280</v>
      </c>
      <c r="B196" s="6" t="str">
        <f>VLOOKUP(A196,'[1]SBV Isolates'!$A$2:$B$367,2,FALSE)</f>
        <v>plate02</v>
      </c>
      <c r="C196" s="6">
        <v>5</v>
      </c>
      <c r="D196" s="6">
        <v>5</v>
      </c>
      <c r="E196" s="6">
        <v>4</v>
      </c>
      <c r="F196" s="6">
        <v>4</v>
      </c>
      <c r="G196" s="6">
        <v>4</v>
      </c>
      <c r="H196" s="6">
        <v>3</v>
      </c>
      <c r="I196" s="6">
        <v>4808654</v>
      </c>
      <c r="J196" s="6">
        <v>4808654</v>
      </c>
      <c r="K196" s="6">
        <v>4804079</v>
      </c>
      <c r="L196" s="6">
        <v>4804079</v>
      </c>
      <c r="M196" s="6">
        <v>4804079</v>
      </c>
      <c r="N196" s="6">
        <v>4768455</v>
      </c>
      <c r="O196" s="6">
        <v>5</v>
      </c>
      <c r="P196" s="6">
        <v>3069517</v>
      </c>
      <c r="Q196" s="6">
        <v>4808654</v>
      </c>
      <c r="R196" s="6">
        <v>52.27</v>
      </c>
      <c r="S196" s="6">
        <v>3069517</v>
      </c>
      <c r="T196" s="6">
        <v>1605232</v>
      </c>
      <c r="U196" s="6">
        <v>2497325.7000000002</v>
      </c>
      <c r="V196" s="6">
        <v>1</v>
      </c>
      <c r="W196" s="6">
        <v>2</v>
      </c>
      <c r="X196" s="6">
        <v>0</v>
      </c>
    </row>
    <row r="197" spans="1:24" x14ac:dyDescent="0.25">
      <c r="A197" s="6" t="s">
        <v>281</v>
      </c>
      <c r="B197" s="6" t="str">
        <f>VLOOKUP(A197,'[1]SBV Isolates'!$A$2:$B$367,2,FALSE)</f>
        <v>plate02</v>
      </c>
      <c r="C197" s="6">
        <v>5</v>
      </c>
      <c r="D197" s="6">
        <v>5</v>
      </c>
      <c r="E197" s="6">
        <v>5</v>
      </c>
      <c r="F197" s="6">
        <v>4</v>
      </c>
      <c r="G197" s="6">
        <v>4</v>
      </c>
      <c r="H197" s="6">
        <v>3</v>
      </c>
      <c r="I197" s="6">
        <v>4810217</v>
      </c>
      <c r="J197" s="6">
        <v>4810217</v>
      </c>
      <c r="K197" s="6">
        <v>4810217</v>
      </c>
      <c r="L197" s="6">
        <v>4802398</v>
      </c>
      <c r="M197" s="6">
        <v>4802398</v>
      </c>
      <c r="N197" s="6">
        <v>4768482</v>
      </c>
      <c r="O197" s="6">
        <v>5</v>
      </c>
      <c r="P197" s="6">
        <v>3069517</v>
      </c>
      <c r="Q197" s="6">
        <v>4810217</v>
      </c>
      <c r="R197" s="6">
        <v>52.27</v>
      </c>
      <c r="S197" s="6">
        <v>3069517</v>
      </c>
      <c r="T197" s="6">
        <v>1605274</v>
      </c>
      <c r="U197" s="6">
        <v>2496525.2999999998</v>
      </c>
      <c r="V197" s="6">
        <v>1</v>
      </c>
      <c r="W197" s="6">
        <v>2</v>
      </c>
      <c r="X197" s="6">
        <v>0</v>
      </c>
    </row>
    <row r="198" spans="1:24" x14ac:dyDescent="0.25">
      <c r="A198" s="6" t="s">
        <v>286</v>
      </c>
      <c r="B198" s="6" t="str">
        <f>VLOOKUP(A198,'[1]SBV Isolates'!$A$2:$B$367,2,FALSE)</f>
        <v>plate02</v>
      </c>
      <c r="C198" s="6">
        <v>5</v>
      </c>
      <c r="D198" s="6">
        <v>5</v>
      </c>
      <c r="E198" s="6">
        <v>5</v>
      </c>
      <c r="F198" s="6">
        <v>4</v>
      </c>
      <c r="G198" s="6">
        <v>4</v>
      </c>
      <c r="H198" s="6">
        <v>3</v>
      </c>
      <c r="I198" s="6">
        <v>4812233</v>
      </c>
      <c r="J198" s="6">
        <v>4812233</v>
      </c>
      <c r="K198" s="6">
        <v>4812233</v>
      </c>
      <c r="L198" s="6">
        <v>4804074</v>
      </c>
      <c r="M198" s="6">
        <v>4804074</v>
      </c>
      <c r="N198" s="6">
        <v>4768454</v>
      </c>
      <c r="O198" s="6">
        <v>5</v>
      </c>
      <c r="P198" s="6">
        <v>3069513</v>
      </c>
      <c r="Q198" s="6">
        <v>4812233</v>
      </c>
      <c r="R198" s="6">
        <v>52.27</v>
      </c>
      <c r="S198" s="6">
        <v>3069513</v>
      </c>
      <c r="T198" s="6">
        <v>1605244</v>
      </c>
      <c r="U198" s="6">
        <v>2495480.2999999998</v>
      </c>
      <c r="V198" s="6">
        <v>1</v>
      </c>
      <c r="W198" s="6">
        <v>2</v>
      </c>
      <c r="X198" s="6">
        <v>0</v>
      </c>
    </row>
    <row r="199" spans="1:24" x14ac:dyDescent="0.25">
      <c r="A199" s="6" t="s">
        <v>287</v>
      </c>
      <c r="B199" s="6" t="str">
        <f>VLOOKUP(A199,'[1]SBV Isolates'!$A$2:$B$367,2,FALSE)</f>
        <v>plate02</v>
      </c>
      <c r="C199" s="6">
        <v>5</v>
      </c>
      <c r="D199" s="6">
        <v>5</v>
      </c>
      <c r="E199" s="6">
        <v>4</v>
      </c>
      <c r="F199" s="6">
        <v>4</v>
      </c>
      <c r="G199" s="6">
        <v>4</v>
      </c>
      <c r="H199" s="6">
        <v>3</v>
      </c>
      <c r="I199" s="6">
        <v>4808669</v>
      </c>
      <c r="J199" s="6">
        <v>4808669</v>
      </c>
      <c r="K199" s="6">
        <v>4804085</v>
      </c>
      <c r="L199" s="6">
        <v>4804085</v>
      </c>
      <c r="M199" s="6">
        <v>4804085</v>
      </c>
      <c r="N199" s="6">
        <v>4768458</v>
      </c>
      <c r="O199" s="6">
        <v>5</v>
      </c>
      <c r="P199" s="6">
        <v>3069517</v>
      </c>
      <c r="Q199" s="6">
        <v>4808669</v>
      </c>
      <c r="R199" s="6">
        <v>52.27</v>
      </c>
      <c r="S199" s="6">
        <v>3069517</v>
      </c>
      <c r="T199" s="6">
        <v>1605244</v>
      </c>
      <c r="U199" s="6">
        <v>2497325.6</v>
      </c>
      <c r="V199" s="6">
        <v>1</v>
      </c>
      <c r="W199" s="6">
        <v>2</v>
      </c>
      <c r="X199" s="6">
        <v>0</v>
      </c>
    </row>
    <row r="200" spans="1:24" x14ac:dyDescent="0.25">
      <c r="A200" s="6" t="s">
        <v>288</v>
      </c>
      <c r="B200" s="6" t="str">
        <f>VLOOKUP(A200,'[1]SBV Isolates'!$A$2:$B$367,2,FALSE)</f>
        <v>plate02</v>
      </c>
      <c r="C200" s="6">
        <v>5</v>
      </c>
      <c r="D200" s="6">
        <v>5</v>
      </c>
      <c r="E200" s="6">
        <v>5</v>
      </c>
      <c r="F200" s="6">
        <v>4</v>
      </c>
      <c r="G200" s="6">
        <v>4</v>
      </c>
      <c r="H200" s="6">
        <v>3</v>
      </c>
      <c r="I200" s="6">
        <v>4812022</v>
      </c>
      <c r="J200" s="6">
        <v>4812022</v>
      </c>
      <c r="K200" s="6">
        <v>4812022</v>
      </c>
      <c r="L200" s="6">
        <v>4804056</v>
      </c>
      <c r="M200" s="6">
        <v>4804056</v>
      </c>
      <c r="N200" s="6">
        <v>4768429</v>
      </c>
      <c r="O200" s="6">
        <v>5</v>
      </c>
      <c r="P200" s="6">
        <v>3069532</v>
      </c>
      <c r="Q200" s="6">
        <v>4812022</v>
      </c>
      <c r="R200" s="6">
        <v>52.27</v>
      </c>
      <c r="S200" s="6">
        <v>3069532</v>
      </c>
      <c r="T200" s="6">
        <v>1605203</v>
      </c>
      <c r="U200" s="6">
        <v>2495586</v>
      </c>
      <c r="V200" s="6">
        <v>1</v>
      </c>
      <c r="W200" s="6">
        <v>2</v>
      </c>
      <c r="X200" s="6">
        <v>0</v>
      </c>
    </row>
    <row r="201" spans="1:24" x14ac:dyDescent="0.25">
      <c r="A201" s="6" t="s">
        <v>289</v>
      </c>
      <c r="B201" s="6" t="str">
        <f>VLOOKUP(A201,'[1]SBV Isolates'!$A$2:$B$367,2,FALSE)</f>
        <v>plate02</v>
      </c>
      <c r="C201" s="6">
        <v>5</v>
      </c>
      <c r="D201" s="6">
        <v>5</v>
      </c>
      <c r="E201" s="6">
        <v>5</v>
      </c>
      <c r="F201" s="6">
        <v>4</v>
      </c>
      <c r="G201" s="6">
        <v>4</v>
      </c>
      <c r="H201" s="6">
        <v>3</v>
      </c>
      <c r="I201" s="6">
        <v>4810256</v>
      </c>
      <c r="J201" s="6">
        <v>4810256</v>
      </c>
      <c r="K201" s="6">
        <v>4810256</v>
      </c>
      <c r="L201" s="6">
        <v>4802340</v>
      </c>
      <c r="M201" s="6">
        <v>4802340</v>
      </c>
      <c r="N201" s="6">
        <v>4768451</v>
      </c>
      <c r="O201" s="6">
        <v>5</v>
      </c>
      <c r="P201" s="6">
        <v>3069515</v>
      </c>
      <c r="Q201" s="6">
        <v>4810256</v>
      </c>
      <c r="R201" s="6">
        <v>52.27</v>
      </c>
      <c r="S201" s="6">
        <v>3069515</v>
      </c>
      <c r="T201" s="6">
        <v>1605217</v>
      </c>
      <c r="U201" s="6">
        <v>2496465.5</v>
      </c>
      <c r="V201" s="6">
        <v>1</v>
      </c>
      <c r="W201" s="6">
        <v>2</v>
      </c>
      <c r="X201" s="6">
        <v>0</v>
      </c>
    </row>
    <row r="202" spans="1:24" x14ac:dyDescent="0.25">
      <c r="A202" s="6" t="s">
        <v>296</v>
      </c>
      <c r="B202" s="6" t="str">
        <f>VLOOKUP(A202,'[1]SBV Isolates'!$A$2:$B$367,2,FALSE)</f>
        <v>plate03</v>
      </c>
      <c r="C202" s="6">
        <v>5</v>
      </c>
      <c r="D202" s="6">
        <v>5</v>
      </c>
      <c r="E202" s="6">
        <v>5</v>
      </c>
      <c r="F202" s="6">
        <v>4</v>
      </c>
      <c r="G202" s="6">
        <v>4</v>
      </c>
      <c r="H202" s="6">
        <v>3</v>
      </c>
      <c r="I202" s="6">
        <v>4812150</v>
      </c>
      <c r="J202" s="6">
        <v>4812150</v>
      </c>
      <c r="K202" s="6">
        <v>4812150</v>
      </c>
      <c r="L202" s="6">
        <v>4804064</v>
      </c>
      <c r="M202" s="6">
        <v>4804064</v>
      </c>
      <c r="N202" s="6">
        <v>4768452</v>
      </c>
      <c r="O202" s="6">
        <v>5</v>
      </c>
      <c r="P202" s="6">
        <v>3069533</v>
      </c>
      <c r="Q202" s="6">
        <v>4812150</v>
      </c>
      <c r="R202" s="6">
        <v>52.27</v>
      </c>
      <c r="S202" s="6">
        <v>3069533</v>
      </c>
      <c r="T202" s="6">
        <v>1605208</v>
      </c>
      <c r="U202" s="6">
        <v>2495525.1</v>
      </c>
      <c r="V202" s="6">
        <v>1</v>
      </c>
      <c r="W202" s="6">
        <v>2</v>
      </c>
      <c r="X202" s="6">
        <v>0</v>
      </c>
    </row>
    <row r="203" spans="1:24" x14ac:dyDescent="0.25">
      <c r="A203" s="6" t="s">
        <v>302</v>
      </c>
      <c r="B203" s="6" t="str">
        <f>VLOOKUP(A203,'[1]SBV Isolates'!$A$2:$B$367,2,FALSE)</f>
        <v>plate03</v>
      </c>
      <c r="C203" s="6">
        <v>5</v>
      </c>
      <c r="D203" s="6">
        <v>5</v>
      </c>
      <c r="E203" s="6">
        <v>4</v>
      </c>
      <c r="F203" s="6">
        <v>4</v>
      </c>
      <c r="G203" s="6">
        <v>4</v>
      </c>
      <c r="H203" s="6">
        <v>3</v>
      </c>
      <c r="I203" s="6">
        <v>4808972</v>
      </c>
      <c r="J203" s="6">
        <v>4808972</v>
      </c>
      <c r="K203" s="6">
        <v>4804086</v>
      </c>
      <c r="L203" s="6">
        <v>4804086</v>
      </c>
      <c r="M203" s="6">
        <v>4804086</v>
      </c>
      <c r="N203" s="6">
        <v>4768463</v>
      </c>
      <c r="O203" s="6">
        <v>5</v>
      </c>
      <c r="P203" s="6">
        <v>3069513</v>
      </c>
      <c r="Q203" s="6">
        <v>4808972</v>
      </c>
      <c r="R203" s="6">
        <v>52.27</v>
      </c>
      <c r="S203" s="6">
        <v>3069513</v>
      </c>
      <c r="T203" s="6">
        <v>1605244</v>
      </c>
      <c r="U203" s="6">
        <v>2497164.1</v>
      </c>
      <c r="V203" s="6">
        <v>1</v>
      </c>
      <c r="W203" s="6">
        <v>2</v>
      </c>
      <c r="X203" s="6">
        <v>0</v>
      </c>
    </row>
    <row r="204" spans="1:24" x14ac:dyDescent="0.25">
      <c r="A204" s="6" t="s">
        <v>304</v>
      </c>
      <c r="B204" s="6" t="str">
        <f>VLOOKUP(A204,'[1]SBV Isolates'!$A$2:$B$367,2,FALSE)</f>
        <v>plate03</v>
      </c>
      <c r="C204" s="6">
        <v>5</v>
      </c>
      <c r="D204" s="6">
        <v>5</v>
      </c>
      <c r="E204" s="6">
        <v>5</v>
      </c>
      <c r="F204" s="6">
        <v>5</v>
      </c>
      <c r="G204" s="6">
        <v>4</v>
      </c>
      <c r="H204" s="6">
        <v>3</v>
      </c>
      <c r="I204" s="6">
        <v>4813262</v>
      </c>
      <c r="J204" s="6">
        <v>4813262</v>
      </c>
      <c r="K204" s="6">
        <v>4813262</v>
      </c>
      <c r="L204" s="6">
        <v>4813262</v>
      </c>
      <c r="M204" s="6">
        <v>4802897</v>
      </c>
      <c r="N204" s="6">
        <v>4768450</v>
      </c>
      <c r="O204" s="6">
        <v>5</v>
      </c>
      <c r="P204" s="6">
        <v>3069518</v>
      </c>
      <c r="Q204" s="6">
        <v>4813262</v>
      </c>
      <c r="R204" s="6">
        <v>52.27</v>
      </c>
      <c r="S204" s="6">
        <v>3069518</v>
      </c>
      <c r="T204" s="6">
        <v>1605229</v>
      </c>
      <c r="U204" s="6">
        <v>2494934.9</v>
      </c>
      <c r="V204" s="6">
        <v>1</v>
      </c>
      <c r="W204" s="6">
        <v>2</v>
      </c>
      <c r="X204" s="6">
        <v>0</v>
      </c>
    </row>
    <row r="205" spans="1:24" x14ac:dyDescent="0.25">
      <c r="A205" s="6" t="s">
        <v>308</v>
      </c>
      <c r="B205" s="6" t="str">
        <f>VLOOKUP(A205,'[1]SBV Isolates'!$A$2:$B$367,2,FALSE)</f>
        <v>plate03</v>
      </c>
      <c r="C205" s="6">
        <v>5</v>
      </c>
      <c r="D205" s="6">
        <v>5</v>
      </c>
      <c r="E205" s="6">
        <v>4</v>
      </c>
      <c r="F205" s="6">
        <v>4</v>
      </c>
      <c r="G205" s="6">
        <v>4</v>
      </c>
      <c r="H205" s="6">
        <v>3</v>
      </c>
      <c r="I205" s="6">
        <v>4807044</v>
      </c>
      <c r="J205" s="6">
        <v>4807044</v>
      </c>
      <c r="K205" s="6">
        <v>4802468</v>
      </c>
      <c r="L205" s="6">
        <v>4802468</v>
      </c>
      <c r="M205" s="6">
        <v>4802468</v>
      </c>
      <c r="N205" s="6">
        <v>4768045</v>
      </c>
      <c r="O205" s="6">
        <v>5</v>
      </c>
      <c r="P205" s="6">
        <v>3069420</v>
      </c>
      <c r="Q205" s="6">
        <v>4807044</v>
      </c>
      <c r="R205" s="6">
        <v>52.27</v>
      </c>
      <c r="S205" s="6">
        <v>3069420</v>
      </c>
      <c r="T205" s="6">
        <v>1605223</v>
      </c>
      <c r="U205" s="6">
        <v>2498002.9</v>
      </c>
      <c r="V205" s="6">
        <v>1</v>
      </c>
      <c r="W205" s="6">
        <v>2</v>
      </c>
      <c r="X205" s="6">
        <v>0</v>
      </c>
    </row>
    <row r="206" spans="1:24" x14ac:dyDescent="0.25">
      <c r="A206" s="6" t="s">
        <v>309</v>
      </c>
      <c r="B206" s="6" t="str">
        <f>VLOOKUP(A206,'[1]SBV Isolates'!$A$2:$B$367,2,FALSE)</f>
        <v>plate03</v>
      </c>
      <c r="C206" s="6">
        <v>5</v>
      </c>
      <c r="D206" s="6">
        <v>5</v>
      </c>
      <c r="E206" s="6">
        <v>5</v>
      </c>
      <c r="F206" s="6">
        <v>4</v>
      </c>
      <c r="G206" s="6">
        <v>4</v>
      </c>
      <c r="H206" s="6">
        <v>3</v>
      </c>
      <c r="I206" s="6">
        <v>4811903</v>
      </c>
      <c r="J206" s="6">
        <v>4811903</v>
      </c>
      <c r="K206" s="6">
        <v>4811903</v>
      </c>
      <c r="L206" s="6">
        <v>4804014</v>
      </c>
      <c r="M206" s="6">
        <v>4804014</v>
      </c>
      <c r="N206" s="6">
        <v>4768458</v>
      </c>
      <c r="O206" s="6">
        <v>5</v>
      </c>
      <c r="P206" s="6">
        <v>3069513</v>
      </c>
      <c r="Q206" s="6">
        <v>4811903</v>
      </c>
      <c r="R206" s="6">
        <v>52.27</v>
      </c>
      <c r="S206" s="6">
        <v>3069513</v>
      </c>
      <c r="T206" s="6">
        <v>1605244</v>
      </c>
      <c r="U206" s="6">
        <v>2495649.7999999998</v>
      </c>
      <c r="V206" s="6">
        <v>1</v>
      </c>
      <c r="W206" s="6">
        <v>2</v>
      </c>
      <c r="X206" s="6">
        <v>0</v>
      </c>
    </row>
    <row r="207" spans="1:24" x14ac:dyDescent="0.25">
      <c r="A207" s="6" t="s">
        <v>310</v>
      </c>
      <c r="B207" s="6" t="str">
        <f>VLOOKUP(A207,'[1]SBV Isolates'!$A$2:$B$367,2,FALSE)</f>
        <v>plate03</v>
      </c>
      <c r="C207" s="6">
        <v>5</v>
      </c>
      <c r="D207" s="6">
        <v>5</v>
      </c>
      <c r="E207" s="6">
        <v>5</v>
      </c>
      <c r="F207" s="6">
        <v>4</v>
      </c>
      <c r="G207" s="6">
        <v>4</v>
      </c>
      <c r="H207" s="6">
        <v>3</v>
      </c>
      <c r="I207" s="6">
        <v>4800351</v>
      </c>
      <c r="J207" s="6">
        <v>4800351</v>
      </c>
      <c r="K207" s="6">
        <v>4800351</v>
      </c>
      <c r="L207" s="6">
        <v>4792059</v>
      </c>
      <c r="M207" s="6">
        <v>4792059</v>
      </c>
      <c r="N207" s="6">
        <v>4757614</v>
      </c>
      <c r="O207" s="6">
        <v>5</v>
      </c>
      <c r="P207" s="6">
        <v>3069517</v>
      </c>
      <c r="Q207" s="6">
        <v>4800351</v>
      </c>
      <c r="R207" s="6">
        <v>52.28</v>
      </c>
      <c r="S207" s="6">
        <v>3069517</v>
      </c>
      <c r="T207" s="6">
        <v>1594416</v>
      </c>
      <c r="U207" s="6">
        <v>2494427.7000000002</v>
      </c>
      <c r="V207" s="6">
        <v>1</v>
      </c>
      <c r="W207" s="6">
        <v>2</v>
      </c>
      <c r="X207" s="6">
        <v>0</v>
      </c>
    </row>
    <row r="208" spans="1:24" x14ac:dyDescent="0.25">
      <c r="A208" s="6" t="s">
        <v>314</v>
      </c>
      <c r="B208" s="6" t="str">
        <f>VLOOKUP(A208,'[1]SBV Isolates'!$A$2:$B$367,2,FALSE)</f>
        <v>plate03</v>
      </c>
      <c r="C208" s="6">
        <v>5</v>
      </c>
      <c r="D208" s="6">
        <v>5</v>
      </c>
      <c r="E208" s="6">
        <v>5</v>
      </c>
      <c r="F208" s="6">
        <v>4</v>
      </c>
      <c r="G208" s="6">
        <v>4</v>
      </c>
      <c r="H208" s="6">
        <v>3</v>
      </c>
      <c r="I208" s="6">
        <v>4811638</v>
      </c>
      <c r="J208" s="6">
        <v>4811638</v>
      </c>
      <c r="K208" s="6">
        <v>4811638</v>
      </c>
      <c r="L208" s="6">
        <v>4803413</v>
      </c>
      <c r="M208" s="6">
        <v>4803413</v>
      </c>
      <c r="N208" s="6">
        <v>4768450</v>
      </c>
      <c r="O208" s="6">
        <v>5</v>
      </c>
      <c r="P208" s="6">
        <v>3069513</v>
      </c>
      <c r="Q208" s="6">
        <v>4811638</v>
      </c>
      <c r="R208" s="6">
        <v>52.27</v>
      </c>
      <c r="S208" s="6">
        <v>3069513</v>
      </c>
      <c r="T208" s="6">
        <v>1605244</v>
      </c>
      <c r="U208" s="6">
        <v>2495779.4</v>
      </c>
      <c r="V208" s="6">
        <v>1</v>
      </c>
      <c r="W208" s="6">
        <v>2</v>
      </c>
      <c r="X208" s="6">
        <v>0</v>
      </c>
    </row>
    <row r="209" spans="1:24" x14ac:dyDescent="0.25">
      <c r="A209" s="6" t="s">
        <v>315</v>
      </c>
      <c r="B209" s="6" t="str">
        <f>VLOOKUP(A209,'[1]SBV Isolates'!$A$2:$B$367,2,FALSE)</f>
        <v>plate03</v>
      </c>
      <c r="C209" s="6">
        <v>5</v>
      </c>
      <c r="D209" s="6">
        <v>5</v>
      </c>
      <c r="E209" s="6">
        <v>5</v>
      </c>
      <c r="F209" s="6">
        <v>4</v>
      </c>
      <c r="G209" s="6">
        <v>4</v>
      </c>
      <c r="H209" s="6">
        <v>3</v>
      </c>
      <c r="I209" s="6">
        <v>4811692</v>
      </c>
      <c r="J209" s="6">
        <v>4811692</v>
      </c>
      <c r="K209" s="6">
        <v>4811692</v>
      </c>
      <c r="L209" s="6">
        <v>4803664</v>
      </c>
      <c r="M209" s="6">
        <v>4803664</v>
      </c>
      <c r="N209" s="6">
        <v>4768053</v>
      </c>
      <c r="O209" s="6">
        <v>5</v>
      </c>
      <c r="P209" s="6">
        <v>3069108</v>
      </c>
      <c r="Q209" s="6">
        <v>4811692</v>
      </c>
      <c r="R209" s="6">
        <v>52.27</v>
      </c>
      <c r="S209" s="6">
        <v>3069108</v>
      </c>
      <c r="T209" s="6">
        <v>1605244</v>
      </c>
      <c r="U209" s="6">
        <v>2495243.7999999998</v>
      </c>
      <c r="V209" s="6">
        <v>1</v>
      </c>
      <c r="W209" s="6">
        <v>2</v>
      </c>
      <c r="X209" s="6">
        <v>0</v>
      </c>
    </row>
    <row r="210" spans="1:24" x14ac:dyDescent="0.25">
      <c r="A210" s="6" t="s">
        <v>317</v>
      </c>
      <c r="B210" s="6" t="str">
        <f>VLOOKUP(A210,'[1]SBV Isolates'!$A$2:$B$367,2,FALSE)</f>
        <v>plate03</v>
      </c>
      <c r="C210" s="6">
        <v>5</v>
      </c>
      <c r="D210" s="6">
        <v>5</v>
      </c>
      <c r="E210" s="6">
        <v>5</v>
      </c>
      <c r="F210" s="6">
        <v>4</v>
      </c>
      <c r="G210" s="6">
        <v>4</v>
      </c>
      <c r="H210" s="6">
        <v>3</v>
      </c>
      <c r="I210" s="6">
        <v>4811913</v>
      </c>
      <c r="J210" s="6">
        <v>4811913</v>
      </c>
      <c r="K210" s="6">
        <v>4811913</v>
      </c>
      <c r="L210" s="6">
        <v>4804142</v>
      </c>
      <c r="M210" s="6">
        <v>4804142</v>
      </c>
      <c r="N210" s="6">
        <v>4768540</v>
      </c>
      <c r="O210" s="6">
        <v>5</v>
      </c>
      <c r="P210" s="6">
        <v>3069595</v>
      </c>
      <c r="Q210" s="6">
        <v>4811913</v>
      </c>
      <c r="R210" s="6">
        <v>52.27</v>
      </c>
      <c r="S210" s="6">
        <v>3069595</v>
      </c>
      <c r="T210" s="6">
        <v>1605262</v>
      </c>
      <c r="U210" s="6">
        <v>2495760.7999999998</v>
      </c>
      <c r="V210" s="6">
        <v>1</v>
      </c>
      <c r="W210" s="6">
        <v>2</v>
      </c>
      <c r="X210" s="6">
        <v>0</v>
      </c>
    </row>
    <row r="211" spans="1:24" x14ac:dyDescent="0.25">
      <c r="A211" s="6" t="s">
        <v>318</v>
      </c>
      <c r="B211" s="6" t="str">
        <f>VLOOKUP(A211,'[1]SBV Isolates'!$A$2:$B$367,2,FALSE)</f>
        <v>plate03</v>
      </c>
      <c r="C211" s="6">
        <v>5</v>
      </c>
      <c r="D211" s="6">
        <v>5</v>
      </c>
      <c r="E211" s="6">
        <v>5</v>
      </c>
      <c r="F211" s="6">
        <v>4</v>
      </c>
      <c r="G211" s="6">
        <v>4</v>
      </c>
      <c r="H211" s="6">
        <v>3</v>
      </c>
      <c r="I211" s="6">
        <v>4810780</v>
      </c>
      <c r="J211" s="6">
        <v>4810780</v>
      </c>
      <c r="K211" s="6">
        <v>4810780</v>
      </c>
      <c r="L211" s="6">
        <v>4802850</v>
      </c>
      <c r="M211" s="6">
        <v>4802850</v>
      </c>
      <c r="N211" s="6">
        <v>4768443</v>
      </c>
      <c r="O211" s="6">
        <v>5</v>
      </c>
      <c r="P211" s="6">
        <v>3069513</v>
      </c>
      <c r="Q211" s="6">
        <v>4810780</v>
      </c>
      <c r="R211" s="6">
        <v>52.26</v>
      </c>
      <c r="S211" s="6">
        <v>3069513</v>
      </c>
      <c r="T211" s="6">
        <v>1605243</v>
      </c>
      <c r="U211" s="6">
        <v>2496214.6</v>
      </c>
      <c r="V211" s="6">
        <v>1</v>
      </c>
      <c r="W211" s="6">
        <v>2</v>
      </c>
      <c r="X211" s="6">
        <v>0</v>
      </c>
    </row>
    <row r="212" spans="1:24" x14ac:dyDescent="0.25">
      <c r="A212" s="6" t="s">
        <v>331</v>
      </c>
      <c r="B212" s="6" t="str">
        <f>VLOOKUP(A212,'[1]SBV Isolates'!$A$2:$B$367,2,FALSE)</f>
        <v>plate03</v>
      </c>
      <c r="C212" s="6">
        <v>5</v>
      </c>
      <c r="D212" s="6">
        <v>5</v>
      </c>
      <c r="E212" s="6">
        <v>5</v>
      </c>
      <c r="F212" s="6">
        <v>4</v>
      </c>
      <c r="G212" s="6">
        <v>4</v>
      </c>
      <c r="H212" s="6">
        <v>3</v>
      </c>
      <c r="I212" s="6">
        <v>4812047</v>
      </c>
      <c r="J212" s="6">
        <v>4812047</v>
      </c>
      <c r="K212" s="6">
        <v>4812047</v>
      </c>
      <c r="L212" s="6">
        <v>4804050</v>
      </c>
      <c r="M212" s="6">
        <v>4804050</v>
      </c>
      <c r="N212" s="6">
        <v>4768439</v>
      </c>
      <c r="O212" s="6">
        <v>5</v>
      </c>
      <c r="P212" s="6">
        <v>3069518</v>
      </c>
      <c r="Q212" s="6">
        <v>4812047</v>
      </c>
      <c r="R212" s="6">
        <v>52.27</v>
      </c>
      <c r="S212" s="6">
        <v>3069518</v>
      </c>
      <c r="T212" s="6">
        <v>1605209</v>
      </c>
      <c r="U212" s="6">
        <v>2495559.7000000002</v>
      </c>
      <c r="V212" s="6">
        <v>1</v>
      </c>
      <c r="W212" s="6">
        <v>2</v>
      </c>
      <c r="X212" s="6">
        <v>0</v>
      </c>
    </row>
    <row r="213" spans="1:24" x14ac:dyDescent="0.25">
      <c r="A213" s="6" t="s">
        <v>332</v>
      </c>
      <c r="B213" s="6" t="str">
        <f>VLOOKUP(A213,'[1]SBV Isolates'!$A$2:$B$367,2,FALSE)</f>
        <v>plate03</v>
      </c>
      <c r="C213" s="6">
        <v>5</v>
      </c>
      <c r="D213" s="6">
        <v>5</v>
      </c>
      <c r="E213" s="6">
        <v>5</v>
      </c>
      <c r="F213" s="6">
        <v>4</v>
      </c>
      <c r="G213" s="6">
        <v>4</v>
      </c>
      <c r="H213" s="6">
        <v>3</v>
      </c>
      <c r="I213" s="6">
        <v>4812281</v>
      </c>
      <c r="J213" s="6">
        <v>4812281</v>
      </c>
      <c r="K213" s="6">
        <v>4812281</v>
      </c>
      <c r="L213" s="6">
        <v>4804123</v>
      </c>
      <c r="M213" s="6">
        <v>4804123</v>
      </c>
      <c r="N213" s="6">
        <v>4768509</v>
      </c>
      <c r="O213" s="6">
        <v>5</v>
      </c>
      <c r="P213" s="6">
        <v>3069527</v>
      </c>
      <c r="Q213" s="6">
        <v>4812281</v>
      </c>
      <c r="R213" s="6">
        <v>52.27</v>
      </c>
      <c r="S213" s="6">
        <v>3069527</v>
      </c>
      <c r="T213" s="6">
        <v>1605268</v>
      </c>
      <c r="U213" s="6">
        <v>2495489.9</v>
      </c>
      <c r="V213" s="6">
        <v>1</v>
      </c>
      <c r="W213" s="6">
        <v>2</v>
      </c>
      <c r="X213" s="6">
        <v>0</v>
      </c>
    </row>
    <row r="214" spans="1:24" x14ac:dyDescent="0.25">
      <c r="A214" s="6" t="s">
        <v>333</v>
      </c>
      <c r="B214" s="6" t="str">
        <f>VLOOKUP(A214,'[1]SBV Isolates'!$A$2:$B$367,2,FALSE)</f>
        <v>plate03</v>
      </c>
      <c r="C214" s="6">
        <v>5</v>
      </c>
      <c r="D214" s="6">
        <v>5</v>
      </c>
      <c r="E214" s="6">
        <v>5</v>
      </c>
      <c r="F214" s="6">
        <v>4</v>
      </c>
      <c r="G214" s="6">
        <v>4</v>
      </c>
      <c r="H214" s="6">
        <v>3</v>
      </c>
      <c r="I214" s="6">
        <v>4812394</v>
      </c>
      <c r="J214" s="6">
        <v>4812394</v>
      </c>
      <c r="K214" s="6">
        <v>4812394</v>
      </c>
      <c r="L214" s="6">
        <v>4804060</v>
      </c>
      <c r="M214" s="6">
        <v>4804060</v>
      </c>
      <c r="N214" s="6">
        <v>4768449</v>
      </c>
      <c r="O214" s="6">
        <v>5</v>
      </c>
      <c r="P214" s="6">
        <v>3069513</v>
      </c>
      <c r="Q214" s="6">
        <v>4812394</v>
      </c>
      <c r="R214" s="6">
        <v>52.27</v>
      </c>
      <c r="S214" s="6">
        <v>3069513</v>
      </c>
      <c r="T214" s="6">
        <v>1605228</v>
      </c>
      <c r="U214" s="6">
        <v>2495387.1</v>
      </c>
      <c r="V214" s="6">
        <v>1</v>
      </c>
      <c r="W214" s="6">
        <v>2</v>
      </c>
      <c r="X214" s="6">
        <v>0</v>
      </c>
    </row>
    <row r="215" spans="1:24" x14ac:dyDescent="0.25">
      <c r="A215" s="6" t="s">
        <v>342</v>
      </c>
      <c r="B215" s="6" t="str">
        <f>VLOOKUP(A215,'[1]SBV Isolates'!$A$2:$B$367,2,FALSE)</f>
        <v>plate03</v>
      </c>
      <c r="C215" s="6">
        <v>5</v>
      </c>
      <c r="D215" s="6">
        <v>5</v>
      </c>
      <c r="E215" s="6">
        <v>5</v>
      </c>
      <c r="F215" s="6">
        <v>4</v>
      </c>
      <c r="G215" s="6">
        <v>4</v>
      </c>
      <c r="H215" s="6">
        <v>3</v>
      </c>
      <c r="I215" s="6">
        <v>4811798</v>
      </c>
      <c r="J215" s="6">
        <v>4811798</v>
      </c>
      <c r="K215" s="6">
        <v>4811798</v>
      </c>
      <c r="L215" s="6">
        <v>4803751</v>
      </c>
      <c r="M215" s="6">
        <v>4803751</v>
      </c>
      <c r="N215" s="6">
        <v>4768134</v>
      </c>
      <c r="O215" s="6">
        <v>5</v>
      </c>
      <c r="P215" s="6">
        <v>3069271</v>
      </c>
      <c r="Q215" s="6">
        <v>4811798</v>
      </c>
      <c r="R215" s="6">
        <v>52.27</v>
      </c>
      <c r="S215" s="6">
        <v>3069271</v>
      </c>
      <c r="T215" s="6">
        <v>1605191</v>
      </c>
      <c r="U215" s="6">
        <v>2495360.4</v>
      </c>
      <c r="V215" s="6">
        <v>1</v>
      </c>
      <c r="W215" s="6">
        <v>2</v>
      </c>
      <c r="X215" s="6">
        <v>0</v>
      </c>
    </row>
    <row r="216" spans="1:24" x14ac:dyDescent="0.25">
      <c r="A216" s="6" t="s">
        <v>344</v>
      </c>
      <c r="B216" s="6" t="str">
        <f>VLOOKUP(A216,'[1]SBV Isolates'!$A$2:$B$367,2,FALSE)</f>
        <v>plate03</v>
      </c>
      <c r="C216" s="6">
        <v>5</v>
      </c>
      <c r="D216" s="6">
        <v>5</v>
      </c>
      <c r="E216" s="6">
        <v>5</v>
      </c>
      <c r="F216" s="6">
        <v>4</v>
      </c>
      <c r="G216" s="6">
        <v>4</v>
      </c>
      <c r="H216" s="6">
        <v>3</v>
      </c>
      <c r="I216" s="6">
        <v>4811055</v>
      </c>
      <c r="J216" s="6">
        <v>4811055</v>
      </c>
      <c r="K216" s="6">
        <v>4811055</v>
      </c>
      <c r="L216" s="6">
        <v>4802950</v>
      </c>
      <c r="M216" s="6">
        <v>4802950</v>
      </c>
      <c r="N216" s="6">
        <v>4768492</v>
      </c>
      <c r="O216" s="6">
        <v>5</v>
      </c>
      <c r="P216" s="6">
        <v>3069517</v>
      </c>
      <c r="Q216" s="6">
        <v>4811055</v>
      </c>
      <c r="R216" s="6">
        <v>52.26</v>
      </c>
      <c r="S216" s="6">
        <v>3069517</v>
      </c>
      <c r="T216" s="6">
        <v>1605275</v>
      </c>
      <c r="U216" s="6">
        <v>2496100.2000000002</v>
      </c>
      <c r="V216" s="6">
        <v>1</v>
      </c>
      <c r="W216" s="6">
        <v>2</v>
      </c>
      <c r="X216" s="6">
        <v>0</v>
      </c>
    </row>
    <row r="217" spans="1:24" x14ac:dyDescent="0.25">
      <c r="A217" s="6" t="s">
        <v>349</v>
      </c>
      <c r="B217" s="6" t="str">
        <f>VLOOKUP(A217,'[1]SBV Isolates'!$A$2:$B$367,2,FALSE)</f>
        <v>plate03</v>
      </c>
      <c r="C217" s="6">
        <v>5</v>
      </c>
      <c r="D217" s="6">
        <v>5</v>
      </c>
      <c r="E217" s="6">
        <v>5</v>
      </c>
      <c r="F217" s="6">
        <v>4</v>
      </c>
      <c r="G217" s="6">
        <v>4</v>
      </c>
      <c r="H217" s="6">
        <v>2</v>
      </c>
      <c r="I217" s="6">
        <v>4915599</v>
      </c>
      <c r="J217" s="6">
        <v>4915599</v>
      </c>
      <c r="K217" s="6">
        <v>4915599</v>
      </c>
      <c r="L217" s="6">
        <v>4907825</v>
      </c>
      <c r="M217" s="6">
        <v>4907825</v>
      </c>
      <c r="N217" s="6">
        <v>4838580</v>
      </c>
      <c r="O217" s="6">
        <v>5</v>
      </c>
      <c r="P217" s="6">
        <v>4744875</v>
      </c>
      <c r="Q217" s="6">
        <v>4915599</v>
      </c>
      <c r="R217" s="6">
        <v>52.26</v>
      </c>
      <c r="S217" s="6">
        <v>4744875</v>
      </c>
      <c r="T217" s="6">
        <v>4744875</v>
      </c>
      <c r="U217" s="6">
        <v>4582366.8</v>
      </c>
      <c r="V217" s="6">
        <v>1</v>
      </c>
      <c r="W217" s="6">
        <v>1</v>
      </c>
      <c r="X217" s="6">
        <v>0</v>
      </c>
    </row>
    <row r="218" spans="1:24" x14ac:dyDescent="0.25">
      <c r="A218" s="6" t="s">
        <v>351</v>
      </c>
      <c r="B218" s="6" t="str">
        <f>VLOOKUP(A218,'[1]SBV Isolates'!$A$2:$B$367,2,FALSE)</f>
        <v>plate03</v>
      </c>
      <c r="C218" s="6">
        <v>5</v>
      </c>
      <c r="D218" s="6">
        <v>5</v>
      </c>
      <c r="E218" s="6">
        <v>5</v>
      </c>
      <c r="F218" s="6">
        <v>4</v>
      </c>
      <c r="G218" s="6">
        <v>4</v>
      </c>
      <c r="H218" s="6">
        <v>2</v>
      </c>
      <c r="I218" s="6">
        <v>4912602</v>
      </c>
      <c r="J218" s="6">
        <v>4912602</v>
      </c>
      <c r="K218" s="6">
        <v>4912602</v>
      </c>
      <c r="L218" s="6">
        <v>4904176</v>
      </c>
      <c r="M218" s="6">
        <v>4904176</v>
      </c>
      <c r="N218" s="6">
        <v>4834591</v>
      </c>
      <c r="O218" s="6">
        <v>5</v>
      </c>
      <c r="P218" s="6">
        <v>4740904</v>
      </c>
      <c r="Q218" s="6">
        <v>4912602</v>
      </c>
      <c r="R218" s="6">
        <v>52.26</v>
      </c>
      <c r="S218" s="6">
        <v>4740904</v>
      </c>
      <c r="T218" s="6">
        <v>4740904</v>
      </c>
      <c r="U218" s="6">
        <v>4577501.2</v>
      </c>
      <c r="V218" s="6">
        <v>1</v>
      </c>
      <c r="W218" s="6">
        <v>1</v>
      </c>
      <c r="X218" s="6">
        <v>0</v>
      </c>
    </row>
    <row r="219" spans="1:24" x14ac:dyDescent="0.25">
      <c r="A219" s="6" t="s">
        <v>353</v>
      </c>
      <c r="B219" s="6" t="str">
        <f>VLOOKUP(A219,'[1]SBV Isolates'!$A$2:$B$367,2,FALSE)</f>
        <v>plate03</v>
      </c>
      <c r="C219" s="6">
        <v>5</v>
      </c>
      <c r="D219" s="6">
        <v>5</v>
      </c>
      <c r="E219" s="6">
        <v>5</v>
      </c>
      <c r="F219" s="6">
        <v>4</v>
      </c>
      <c r="G219" s="6">
        <v>4</v>
      </c>
      <c r="H219" s="6">
        <v>3</v>
      </c>
      <c r="I219" s="6">
        <v>4811681</v>
      </c>
      <c r="J219" s="6">
        <v>4811681</v>
      </c>
      <c r="K219" s="6">
        <v>4811681</v>
      </c>
      <c r="L219" s="6">
        <v>4804022</v>
      </c>
      <c r="M219" s="6">
        <v>4804022</v>
      </c>
      <c r="N219" s="6">
        <v>4768413</v>
      </c>
      <c r="O219" s="6">
        <v>5</v>
      </c>
      <c r="P219" s="6">
        <v>3069520</v>
      </c>
      <c r="Q219" s="6">
        <v>4811681</v>
      </c>
      <c r="R219" s="6">
        <v>52.27</v>
      </c>
      <c r="S219" s="6">
        <v>3069520</v>
      </c>
      <c r="T219" s="6">
        <v>1605203</v>
      </c>
      <c r="U219" s="6">
        <v>2495746.1</v>
      </c>
      <c r="V219" s="6">
        <v>1</v>
      </c>
      <c r="W219" s="6">
        <v>2</v>
      </c>
      <c r="X219" s="6">
        <v>0</v>
      </c>
    </row>
    <row r="220" spans="1:24" x14ac:dyDescent="0.25">
      <c r="A220" s="6" t="s">
        <v>366</v>
      </c>
      <c r="B220" s="6" t="str">
        <f>VLOOKUP(A220,'[1]SBV Isolates'!$A$2:$B$367,2,FALSE)</f>
        <v>plate03</v>
      </c>
      <c r="C220" s="6">
        <v>5</v>
      </c>
      <c r="D220" s="6">
        <v>5</v>
      </c>
      <c r="E220" s="6">
        <v>4</v>
      </c>
      <c r="F220" s="6">
        <v>4</v>
      </c>
      <c r="G220" s="6">
        <v>4</v>
      </c>
      <c r="H220" s="6">
        <v>3</v>
      </c>
      <c r="I220" s="6">
        <v>4808034</v>
      </c>
      <c r="J220" s="6">
        <v>4808034</v>
      </c>
      <c r="K220" s="6">
        <v>4804075</v>
      </c>
      <c r="L220" s="6">
        <v>4804075</v>
      </c>
      <c r="M220" s="6">
        <v>4804075</v>
      </c>
      <c r="N220" s="6">
        <v>4768467</v>
      </c>
      <c r="O220" s="6">
        <v>5</v>
      </c>
      <c r="P220" s="6">
        <v>3069516</v>
      </c>
      <c r="Q220" s="6">
        <v>4808034</v>
      </c>
      <c r="R220" s="6">
        <v>52.27</v>
      </c>
      <c r="S220" s="6">
        <v>3069516</v>
      </c>
      <c r="T220" s="6">
        <v>1605250</v>
      </c>
      <c r="U220" s="6">
        <v>2497656.9</v>
      </c>
      <c r="V220" s="6">
        <v>1</v>
      </c>
      <c r="W220" s="6">
        <v>2</v>
      </c>
      <c r="X220" s="6">
        <v>0</v>
      </c>
    </row>
    <row r="221" spans="1:24" x14ac:dyDescent="0.25">
      <c r="A221" s="6" t="s">
        <v>378</v>
      </c>
      <c r="B221" s="6" t="str">
        <f>VLOOKUP(A221,'[1]SBV Isolates'!$A$2:$B$367,2,FALSE)</f>
        <v>plate03</v>
      </c>
      <c r="C221" s="6">
        <v>5</v>
      </c>
      <c r="D221" s="6">
        <v>5</v>
      </c>
      <c r="E221" s="6">
        <v>5</v>
      </c>
      <c r="F221" s="6">
        <v>4</v>
      </c>
      <c r="G221" s="6">
        <v>4</v>
      </c>
      <c r="H221" s="6">
        <v>3</v>
      </c>
      <c r="I221" s="6">
        <v>4811820</v>
      </c>
      <c r="J221" s="6">
        <v>4811820</v>
      </c>
      <c r="K221" s="6">
        <v>4811820</v>
      </c>
      <c r="L221" s="6">
        <v>4804043</v>
      </c>
      <c r="M221" s="6">
        <v>4804043</v>
      </c>
      <c r="N221" s="6">
        <v>4768438</v>
      </c>
      <c r="O221" s="6">
        <v>5</v>
      </c>
      <c r="P221" s="6">
        <v>3069542</v>
      </c>
      <c r="Q221" s="6">
        <v>4811820</v>
      </c>
      <c r="R221" s="6">
        <v>52.27</v>
      </c>
      <c r="S221" s="6">
        <v>3069542</v>
      </c>
      <c r="T221" s="6">
        <v>1605202</v>
      </c>
      <c r="U221" s="6">
        <v>2495701.9</v>
      </c>
      <c r="V221" s="6">
        <v>1</v>
      </c>
      <c r="W221" s="6">
        <v>2</v>
      </c>
      <c r="X221" s="6">
        <v>0</v>
      </c>
    </row>
    <row r="222" spans="1:24" x14ac:dyDescent="0.25">
      <c r="A222" s="6" t="s">
        <v>383</v>
      </c>
      <c r="B222" s="6" t="str">
        <f>VLOOKUP(A222,'[1]SBV Isolates'!$A$2:$B$367,2,FALSE)</f>
        <v>plate04</v>
      </c>
      <c r="C222" s="6">
        <v>5</v>
      </c>
      <c r="D222" s="6">
        <v>5</v>
      </c>
      <c r="E222" s="6">
        <v>5</v>
      </c>
      <c r="F222" s="6">
        <v>4</v>
      </c>
      <c r="G222" s="6">
        <v>4</v>
      </c>
      <c r="H222" s="6">
        <v>3</v>
      </c>
      <c r="I222" s="6">
        <v>4811136</v>
      </c>
      <c r="J222" s="6">
        <v>4811136</v>
      </c>
      <c r="K222" s="6">
        <v>4811136</v>
      </c>
      <c r="L222" s="6">
        <v>4803443</v>
      </c>
      <c r="M222" s="6">
        <v>4803443</v>
      </c>
      <c r="N222" s="6">
        <v>4768382</v>
      </c>
      <c r="O222" s="6">
        <v>5</v>
      </c>
      <c r="P222" s="6">
        <v>3069517</v>
      </c>
      <c r="Q222" s="6">
        <v>4811136</v>
      </c>
      <c r="R222" s="6">
        <v>52.27</v>
      </c>
      <c r="S222" s="6">
        <v>3069517</v>
      </c>
      <c r="T222" s="6">
        <v>1605173</v>
      </c>
      <c r="U222" s="6">
        <v>2495997.1</v>
      </c>
      <c r="V222" s="6">
        <v>1</v>
      </c>
      <c r="W222" s="6">
        <v>2</v>
      </c>
      <c r="X222" s="6">
        <v>0</v>
      </c>
    </row>
    <row r="223" spans="1:24" x14ac:dyDescent="0.25">
      <c r="A223" s="6" t="s">
        <v>396</v>
      </c>
      <c r="B223" s="6" t="str">
        <f>VLOOKUP(A223,'[1]SBV Isolates'!$A$2:$B$367,2,FALSE)</f>
        <v>plate04</v>
      </c>
      <c r="C223" s="6">
        <v>5</v>
      </c>
      <c r="D223" s="6">
        <v>5</v>
      </c>
      <c r="E223" s="6">
        <v>5</v>
      </c>
      <c r="F223" s="6">
        <v>4</v>
      </c>
      <c r="G223" s="6">
        <v>4</v>
      </c>
      <c r="H223" s="6">
        <v>3</v>
      </c>
      <c r="I223" s="6">
        <v>4811412</v>
      </c>
      <c r="J223" s="6">
        <v>4811412</v>
      </c>
      <c r="K223" s="6">
        <v>4811412</v>
      </c>
      <c r="L223" s="6">
        <v>4803538</v>
      </c>
      <c r="M223" s="6">
        <v>4803538</v>
      </c>
      <c r="N223" s="6">
        <v>4768477</v>
      </c>
      <c r="O223" s="6">
        <v>5</v>
      </c>
      <c r="P223" s="6">
        <v>3069517</v>
      </c>
      <c r="Q223" s="6">
        <v>4811412</v>
      </c>
      <c r="R223" s="6">
        <v>52.27</v>
      </c>
      <c r="S223" s="6">
        <v>3069517</v>
      </c>
      <c r="T223" s="6">
        <v>1605256</v>
      </c>
      <c r="U223" s="6">
        <v>2495910.4</v>
      </c>
      <c r="V223" s="6">
        <v>1</v>
      </c>
      <c r="W223" s="6">
        <v>2</v>
      </c>
      <c r="X223" s="6">
        <v>0</v>
      </c>
    </row>
    <row r="224" spans="1:24" x14ac:dyDescent="0.25">
      <c r="A224" s="6" t="s">
        <v>402</v>
      </c>
      <c r="B224" s="6" t="str">
        <f>VLOOKUP(A224,'[1]SBV Isolates'!$A$2:$B$367,2,FALSE)</f>
        <v>plate04</v>
      </c>
      <c r="C224" s="6">
        <v>5</v>
      </c>
      <c r="D224" s="6">
        <v>5</v>
      </c>
      <c r="E224" s="6">
        <v>5</v>
      </c>
      <c r="F224" s="6">
        <v>4</v>
      </c>
      <c r="G224" s="6">
        <v>4</v>
      </c>
      <c r="H224" s="6">
        <v>3</v>
      </c>
      <c r="I224" s="6">
        <v>4812683</v>
      </c>
      <c r="J224" s="6">
        <v>4812683</v>
      </c>
      <c r="K224" s="6">
        <v>4812683</v>
      </c>
      <c r="L224" s="6">
        <v>4804076</v>
      </c>
      <c r="M224" s="6">
        <v>4804076</v>
      </c>
      <c r="N224" s="6">
        <v>4768444</v>
      </c>
      <c r="O224" s="6">
        <v>5</v>
      </c>
      <c r="P224" s="6">
        <v>3069541</v>
      </c>
      <c r="Q224" s="6">
        <v>4812683</v>
      </c>
      <c r="R224" s="6">
        <v>52.27</v>
      </c>
      <c r="S224" s="6">
        <v>3069541</v>
      </c>
      <c r="T224" s="6">
        <v>1605204</v>
      </c>
      <c r="U224" s="6">
        <v>2495257.9</v>
      </c>
      <c r="V224" s="6">
        <v>1</v>
      </c>
      <c r="W224" s="6">
        <v>2</v>
      </c>
      <c r="X224" s="6">
        <v>0</v>
      </c>
    </row>
    <row r="225" spans="1:24" x14ac:dyDescent="0.25">
      <c r="A225" s="6" t="s">
        <v>412</v>
      </c>
      <c r="B225" s="6" t="str">
        <f>VLOOKUP(A225,'[1]SBV Isolates'!$A$2:$B$367,2,FALSE)</f>
        <v>plate04</v>
      </c>
      <c r="C225" s="6">
        <v>5</v>
      </c>
      <c r="D225" s="6">
        <v>5</v>
      </c>
      <c r="E225" s="6">
        <v>5</v>
      </c>
      <c r="F225" s="6">
        <v>4</v>
      </c>
      <c r="G225" s="6">
        <v>4</v>
      </c>
      <c r="H225" s="6">
        <v>3</v>
      </c>
      <c r="I225" s="6">
        <v>4812185</v>
      </c>
      <c r="J225" s="6">
        <v>4812185</v>
      </c>
      <c r="K225" s="6">
        <v>4812185</v>
      </c>
      <c r="L225" s="6">
        <v>4804102</v>
      </c>
      <c r="M225" s="6">
        <v>4804102</v>
      </c>
      <c r="N225" s="6">
        <v>4768487</v>
      </c>
      <c r="O225" s="6">
        <v>5</v>
      </c>
      <c r="P225" s="6">
        <v>3069546</v>
      </c>
      <c r="Q225" s="6">
        <v>4812185</v>
      </c>
      <c r="R225" s="6">
        <v>52.27</v>
      </c>
      <c r="S225" s="6">
        <v>3069546</v>
      </c>
      <c r="T225" s="6">
        <v>1605238</v>
      </c>
      <c r="U225" s="6">
        <v>2495543.2000000002</v>
      </c>
      <c r="V225" s="6">
        <v>1</v>
      </c>
      <c r="W225" s="6">
        <v>2</v>
      </c>
      <c r="X225" s="6">
        <v>0</v>
      </c>
    </row>
    <row r="226" spans="1:24" x14ac:dyDescent="0.25">
      <c r="A226" s="6" t="s">
        <v>414</v>
      </c>
      <c r="B226" s="6" t="str">
        <f>VLOOKUP(A226,'[1]SBV Isolates'!$A$2:$B$367,2,FALSE)</f>
        <v>plate04</v>
      </c>
      <c r="C226" s="6">
        <v>5</v>
      </c>
      <c r="D226" s="6">
        <v>5</v>
      </c>
      <c r="E226" s="6">
        <v>5</v>
      </c>
      <c r="F226" s="6">
        <v>4</v>
      </c>
      <c r="G226" s="6">
        <v>4</v>
      </c>
      <c r="H226" s="6">
        <v>3</v>
      </c>
      <c r="I226" s="6">
        <v>4811569</v>
      </c>
      <c r="J226" s="6">
        <v>4811569</v>
      </c>
      <c r="K226" s="6">
        <v>4811569</v>
      </c>
      <c r="L226" s="6">
        <v>4803841</v>
      </c>
      <c r="M226" s="6">
        <v>4803841</v>
      </c>
      <c r="N226" s="6">
        <v>4768277</v>
      </c>
      <c r="O226" s="6">
        <v>5</v>
      </c>
      <c r="P226" s="6">
        <v>3069353</v>
      </c>
      <c r="Q226" s="6">
        <v>4811569</v>
      </c>
      <c r="R226" s="6">
        <v>52.27</v>
      </c>
      <c r="S226" s="6">
        <v>3069353</v>
      </c>
      <c r="T226" s="6">
        <v>1605223</v>
      </c>
      <c r="U226" s="6">
        <v>2495604.5</v>
      </c>
      <c r="V226" s="6">
        <v>1</v>
      </c>
      <c r="W226" s="6">
        <v>2</v>
      </c>
      <c r="X226" s="6">
        <v>0</v>
      </c>
    </row>
    <row r="227" spans="1:24" x14ac:dyDescent="0.25">
      <c r="A227" s="6" t="s">
        <v>425</v>
      </c>
      <c r="B227" s="6" t="str">
        <f>VLOOKUP(A227,'[1]SBV Isolates'!$A$2:$B$367,2,FALSE)</f>
        <v>plate04</v>
      </c>
      <c r="C227" s="6">
        <v>5</v>
      </c>
      <c r="D227" s="6">
        <v>5</v>
      </c>
      <c r="E227" s="6">
        <v>5</v>
      </c>
      <c r="F227" s="6">
        <v>4</v>
      </c>
      <c r="G227" s="6">
        <v>4</v>
      </c>
      <c r="H227" s="6">
        <v>3</v>
      </c>
      <c r="I227" s="6">
        <v>4812507</v>
      </c>
      <c r="J227" s="6">
        <v>4812507</v>
      </c>
      <c r="K227" s="6">
        <v>4812507</v>
      </c>
      <c r="L227" s="6">
        <v>4803896</v>
      </c>
      <c r="M227" s="6">
        <v>4803896</v>
      </c>
      <c r="N227" s="6">
        <v>4768271</v>
      </c>
      <c r="O227" s="6">
        <v>5</v>
      </c>
      <c r="P227" s="6">
        <v>3069308</v>
      </c>
      <c r="Q227" s="6">
        <v>4812507</v>
      </c>
      <c r="R227" s="6">
        <v>52.27</v>
      </c>
      <c r="S227" s="6">
        <v>3069308</v>
      </c>
      <c r="T227" s="6">
        <v>1605251</v>
      </c>
      <c r="U227" s="6">
        <v>2495083.7000000002</v>
      </c>
      <c r="V227" s="6">
        <v>1</v>
      </c>
      <c r="W227" s="6">
        <v>2</v>
      </c>
      <c r="X227" s="6">
        <v>0</v>
      </c>
    </row>
    <row r="228" spans="1:24" x14ac:dyDescent="0.25">
      <c r="A228" s="6" t="s">
        <v>426</v>
      </c>
      <c r="B228" s="6" t="str">
        <f>VLOOKUP(A228,'[1]SBV Isolates'!$A$2:$B$367,2,FALSE)</f>
        <v>plate04</v>
      </c>
      <c r="C228" s="6">
        <v>5</v>
      </c>
      <c r="D228" s="6">
        <v>5</v>
      </c>
      <c r="E228" s="6">
        <v>5</v>
      </c>
      <c r="F228" s="6">
        <v>4</v>
      </c>
      <c r="G228" s="6">
        <v>4</v>
      </c>
      <c r="H228" s="6">
        <v>3</v>
      </c>
      <c r="I228" s="6">
        <v>4812052</v>
      </c>
      <c r="J228" s="6">
        <v>4812052</v>
      </c>
      <c r="K228" s="6">
        <v>4812052</v>
      </c>
      <c r="L228" s="6">
        <v>4804045</v>
      </c>
      <c r="M228" s="6">
        <v>4804045</v>
      </c>
      <c r="N228" s="6">
        <v>4768421</v>
      </c>
      <c r="O228" s="6">
        <v>5</v>
      </c>
      <c r="P228" s="6">
        <v>3069531</v>
      </c>
      <c r="Q228" s="6">
        <v>4812052</v>
      </c>
      <c r="R228" s="6">
        <v>52.27</v>
      </c>
      <c r="S228" s="6">
        <v>3069531</v>
      </c>
      <c r="T228" s="6">
        <v>1605202</v>
      </c>
      <c r="U228" s="6">
        <v>2495568.2999999998</v>
      </c>
      <c r="V228" s="6">
        <v>1</v>
      </c>
      <c r="W228" s="6">
        <v>2</v>
      </c>
      <c r="X228" s="6">
        <v>0</v>
      </c>
    </row>
    <row r="229" spans="1:24" x14ac:dyDescent="0.25">
      <c r="A229" s="6" t="s">
        <v>427</v>
      </c>
      <c r="B229" s="6" t="str">
        <f>VLOOKUP(A229,'[1]SBV Isolates'!$A$2:$B$367,2,FALSE)</f>
        <v>plate04</v>
      </c>
      <c r="C229" s="6">
        <v>5</v>
      </c>
      <c r="D229" s="6">
        <v>5</v>
      </c>
      <c r="E229" s="6">
        <v>4</v>
      </c>
      <c r="F229" s="6">
        <v>4</v>
      </c>
      <c r="G229" s="6">
        <v>4</v>
      </c>
      <c r="H229" s="6">
        <v>3</v>
      </c>
      <c r="I229" s="6">
        <v>4808647</v>
      </c>
      <c r="J229" s="6">
        <v>4808647</v>
      </c>
      <c r="K229" s="6">
        <v>4804080</v>
      </c>
      <c r="L229" s="6">
        <v>4804080</v>
      </c>
      <c r="M229" s="6">
        <v>4804080</v>
      </c>
      <c r="N229" s="6">
        <v>4768465</v>
      </c>
      <c r="O229" s="6">
        <v>5</v>
      </c>
      <c r="P229" s="6">
        <v>3069506</v>
      </c>
      <c r="Q229" s="6">
        <v>4808647</v>
      </c>
      <c r="R229" s="6">
        <v>52.27</v>
      </c>
      <c r="S229" s="6">
        <v>3069506</v>
      </c>
      <c r="T229" s="6">
        <v>1605244</v>
      </c>
      <c r="U229" s="6">
        <v>2497323.5</v>
      </c>
      <c r="V229" s="6">
        <v>1</v>
      </c>
      <c r="W229" s="6">
        <v>2</v>
      </c>
      <c r="X229" s="6">
        <v>0</v>
      </c>
    </row>
    <row r="230" spans="1:24" x14ac:dyDescent="0.25">
      <c r="A230" s="6" t="s">
        <v>430</v>
      </c>
      <c r="B230" s="6" t="str">
        <f>VLOOKUP(A230,'[1]SBV Isolates'!$A$2:$B$367,2,FALSE)</f>
        <v>plate04</v>
      </c>
      <c r="C230" s="6">
        <v>5</v>
      </c>
      <c r="D230" s="6">
        <v>5</v>
      </c>
      <c r="E230" s="6">
        <v>4</v>
      </c>
      <c r="F230" s="6">
        <v>4</v>
      </c>
      <c r="G230" s="6">
        <v>4</v>
      </c>
      <c r="H230" s="6">
        <v>3</v>
      </c>
      <c r="I230" s="6">
        <v>4807345</v>
      </c>
      <c r="J230" s="6">
        <v>4807345</v>
      </c>
      <c r="K230" s="6">
        <v>4802763</v>
      </c>
      <c r="L230" s="6">
        <v>4802763</v>
      </c>
      <c r="M230" s="6">
        <v>4802763</v>
      </c>
      <c r="N230" s="6">
        <v>4768468</v>
      </c>
      <c r="O230" s="6">
        <v>5</v>
      </c>
      <c r="P230" s="6">
        <v>3069541</v>
      </c>
      <c r="Q230" s="6">
        <v>4807345</v>
      </c>
      <c r="R230" s="6">
        <v>52.27</v>
      </c>
      <c r="S230" s="6">
        <v>3069541</v>
      </c>
      <c r="T230" s="6">
        <v>1605233</v>
      </c>
      <c r="U230" s="6">
        <v>2498017.2000000002</v>
      </c>
      <c r="V230" s="6">
        <v>1</v>
      </c>
      <c r="W230" s="6">
        <v>2</v>
      </c>
      <c r="X230" s="6">
        <v>0</v>
      </c>
    </row>
    <row r="231" spans="1:24" x14ac:dyDescent="0.25">
      <c r="A231" s="6" t="s">
        <v>432</v>
      </c>
      <c r="B231" s="6" t="str">
        <f>VLOOKUP(A231,'[1]SBV Isolates'!$A$2:$B$367,2,FALSE)</f>
        <v>plate04</v>
      </c>
      <c r="C231" s="6">
        <v>5</v>
      </c>
      <c r="D231" s="6">
        <v>5</v>
      </c>
      <c r="E231" s="6">
        <v>5</v>
      </c>
      <c r="F231" s="6">
        <v>4</v>
      </c>
      <c r="G231" s="6">
        <v>4</v>
      </c>
      <c r="H231" s="6">
        <v>3</v>
      </c>
      <c r="I231" s="6">
        <v>4810593</v>
      </c>
      <c r="J231" s="6">
        <v>4810593</v>
      </c>
      <c r="K231" s="6">
        <v>4810593</v>
      </c>
      <c r="L231" s="6">
        <v>4802788</v>
      </c>
      <c r="M231" s="6">
        <v>4802788</v>
      </c>
      <c r="N231" s="6">
        <v>4768286</v>
      </c>
      <c r="O231" s="6">
        <v>5</v>
      </c>
      <c r="P231" s="6">
        <v>3069517</v>
      </c>
      <c r="Q231" s="6">
        <v>4810593</v>
      </c>
      <c r="R231" s="6">
        <v>52.26</v>
      </c>
      <c r="S231" s="6">
        <v>3069517</v>
      </c>
      <c r="T231" s="6">
        <v>1605067</v>
      </c>
      <c r="U231" s="6">
        <v>2496200.7999999998</v>
      </c>
      <c r="V231" s="6">
        <v>1</v>
      </c>
      <c r="W231" s="6">
        <v>2</v>
      </c>
      <c r="X231" s="6">
        <v>0</v>
      </c>
    </row>
    <row r="232" spans="1:24" x14ac:dyDescent="0.25">
      <c r="A232" s="6" t="s">
        <v>433</v>
      </c>
      <c r="B232" s="6" t="str">
        <f>VLOOKUP(A232,'[1]SBV Isolates'!$A$2:$B$367,2,FALSE)</f>
        <v>plate04</v>
      </c>
      <c r="C232" s="6">
        <v>5</v>
      </c>
      <c r="D232" s="6">
        <v>5</v>
      </c>
      <c r="E232" s="6">
        <v>5</v>
      </c>
      <c r="F232" s="6">
        <v>4</v>
      </c>
      <c r="G232" s="6">
        <v>4</v>
      </c>
      <c r="H232" s="6">
        <v>3</v>
      </c>
      <c r="I232" s="6">
        <v>4811990</v>
      </c>
      <c r="J232" s="6">
        <v>4811990</v>
      </c>
      <c r="K232" s="6">
        <v>4811990</v>
      </c>
      <c r="L232" s="6">
        <v>4804060</v>
      </c>
      <c r="M232" s="6">
        <v>4804060</v>
      </c>
      <c r="N232" s="6">
        <v>4768446</v>
      </c>
      <c r="O232" s="6">
        <v>5</v>
      </c>
      <c r="P232" s="6">
        <v>3069517</v>
      </c>
      <c r="Q232" s="6">
        <v>4811990</v>
      </c>
      <c r="R232" s="6">
        <v>52.27</v>
      </c>
      <c r="S232" s="6">
        <v>3069517</v>
      </c>
      <c r="T232" s="6">
        <v>1605226</v>
      </c>
      <c r="U232" s="6">
        <v>2495598.7999999998</v>
      </c>
      <c r="V232" s="6">
        <v>1</v>
      </c>
      <c r="W232" s="6">
        <v>2</v>
      </c>
      <c r="X232" s="6">
        <v>0</v>
      </c>
    </row>
    <row r="233" spans="1:24" x14ac:dyDescent="0.25">
      <c r="A233" s="6" t="s">
        <v>436</v>
      </c>
      <c r="B233" s="6" t="str">
        <f>VLOOKUP(A233,'[1]SBV Isolates'!$A$2:$B$367,2,FALSE)</f>
        <v>plate04</v>
      </c>
      <c r="C233" s="6">
        <v>5</v>
      </c>
      <c r="D233" s="6">
        <v>5</v>
      </c>
      <c r="E233" s="6">
        <v>5</v>
      </c>
      <c r="F233" s="6">
        <v>4</v>
      </c>
      <c r="G233" s="6">
        <v>4</v>
      </c>
      <c r="H233" s="6">
        <v>3</v>
      </c>
      <c r="I233" s="6">
        <v>4811322</v>
      </c>
      <c r="J233" s="6">
        <v>4811322</v>
      </c>
      <c r="K233" s="6">
        <v>4811322</v>
      </c>
      <c r="L233" s="6">
        <v>4803285</v>
      </c>
      <c r="M233" s="6">
        <v>4803285</v>
      </c>
      <c r="N233" s="6">
        <v>4768443</v>
      </c>
      <c r="O233" s="6">
        <v>5</v>
      </c>
      <c r="P233" s="6">
        <v>3069515</v>
      </c>
      <c r="Q233" s="6">
        <v>4811322</v>
      </c>
      <c r="R233" s="6">
        <v>52.27</v>
      </c>
      <c r="S233" s="6">
        <v>3069515</v>
      </c>
      <c r="T233" s="6">
        <v>1605244</v>
      </c>
      <c r="U233" s="6">
        <v>2495943.1</v>
      </c>
      <c r="V233" s="6">
        <v>1</v>
      </c>
      <c r="W233" s="6">
        <v>2</v>
      </c>
      <c r="X233" s="6">
        <v>0</v>
      </c>
    </row>
    <row r="234" spans="1:24" x14ac:dyDescent="0.25">
      <c r="A234" s="6" t="s">
        <v>439</v>
      </c>
      <c r="B234" s="6" t="str">
        <f>VLOOKUP(A234,'[1]SBV Isolates'!$A$2:$B$367,2,FALSE)</f>
        <v>plate04</v>
      </c>
      <c r="C234" s="6">
        <v>5</v>
      </c>
      <c r="D234" s="6">
        <v>5</v>
      </c>
      <c r="E234" s="6">
        <v>5</v>
      </c>
      <c r="F234" s="6">
        <v>4</v>
      </c>
      <c r="G234" s="6">
        <v>4</v>
      </c>
      <c r="H234" s="6">
        <v>3</v>
      </c>
      <c r="I234" s="6">
        <v>4812056</v>
      </c>
      <c r="J234" s="6">
        <v>4812056</v>
      </c>
      <c r="K234" s="6">
        <v>4812056</v>
      </c>
      <c r="L234" s="6">
        <v>4804036</v>
      </c>
      <c r="M234" s="6">
        <v>4804036</v>
      </c>
      <c r="N234" s="6">
        <v>4768415</v>
      </c>
      <c r="O234" s="6">
        <v>5</v>
      </c>
      <c r="P234" s="6">
        <v>3069502</v>
      </c>
      <c r="Q234" s="6">
        <v>4812056</v>
      </c>
      <c r="R234" s="6">
        <v>52.27</v>
      </c>
      <c r="S234" s="6">
        <v>3069502</v>
      </c>
      <c r="T234" s="6">
        <v>1605215</v>
      </c>
      <c r="U234" s="6">
        <v>2495538.2999999998</v>
      </c>
      <c r="V234" s="6">
        <v>1</v>
      </c>
      <c r="W234" s="6">
        <v>2</v>
      </c>
      <c r="X234" s="6">
        <v>0</v>
      </c>
    </row>
    <row r="235" spans="1:24" x14ac:dyDescent="0.25">
      <c r="A235" s="6" t="s">
        <v>440</v>
      </c>
      <c r="B235" s="6" t="str">
        <f>VLOOKUP(A235,'[1]SBV Isolates'!$A$2:$B$367,2,FALSE)</f>
        <v>plate04</v>
      </c>
      <c r="C235" s="6">
        <v>5</v>
      </c>
      <c r="D235" s="6">
        <v>5</v>
      </c>
      <c r="E235" s="6">
        <v>5</v>
      </c>
      <c r="F235" s="6">
        <v>4</v>
      </c>
      <c r="G235" s="6">
        <v>4</v>
      </c>
      <c r="H235" s="6">
        <v>3</v>
      </c>
      <c r="I235" s="6">
        <v>4811903</v>
      </c>
      <c r="J235" s="6">
        <v>4811903</v>
      </c>
      <c r="K235" s="6">
        <v>4811903</v>
      </c>
      <c r="L235" s="6">
        <v>4804068</v>
      </c>
      <c r="M235" s="6">
        <v>4804068</v>
      </c>
      <c r="N235" s="6">
        <v>4768470</v>
      </c>
      <c r="O235" s="6">
        <v>5</v>
      </c>
      <c r="P235" s="6">
        <v>3069517</v>
      </c>
      <c r="Q235" s="6">
        <v>4811903</v>
      </c>
      <c r="R235" s="6">
        <v>52.27</v>
      </c>
      <c r="S235" s="6">
        <v>3069517</v>
      </c>
      <c r="T235" s="6">
        <v>1605262</v>
      </c>
      <c r="U235" s="6">
        <v>2495667</v>
      </c>
      <c r="V235" s="6">
        <v>1</v>
      </c>
      <c r="W235" s="6">
        <v>2</v>
      </c>
      <c r="X235" s="6">
        <v>0</v>
      </c>
    </row>
    <row r="236" spans="1:24" x14ac:dyDescent="0.25">
      <c r="A236" s="6" t="s">
        <v>443</v>
      </c>
      <c r="B236" s="6" t="str">
        <f>VLOOKUP(A236,'[1]SBV Isolates'!$A$2:$B$367,2,FALSE)</f>
        <v>plate04</v>
      </c>
      <c r="C236" s="6">
        <v>5</v>
      </c>
      <c r="D236" s="6">
        <v>5</v>
      </c>
      <c r="E236" s="6">
        <v>4</v>
      </c>
      <c r="F236" s="6">
        <v>4</v>
      </c>
      <c r="G236" s="6">
        <v>4</v>
      </c>
      <c r="H236" s="6">
        <v>3</v>
      </c>
      <c r="I236" s="6">
        <v>4808618</v>
      </c>
      <c r="J236" s="6">
        <v>4808618</v>
      </c>
      <c r="K236" s="6">
        <v>4804048</v>
      </c>
      <c r="L236" s="6">
        <v>4804048</v>
      </c>
      <c r="M236" s="6">
        <v>4804048</v>
      </c>
      <c r="N236" s="6">
        <v>4768430</v>
      </c>
      <c r="O236" s="6">
        <v>5</v>
      </c>
      <c r="P236" s="6">
        <v>3069504</v>
      </c>
      <c r="Q236" s="6">
        <v>4808618</v>
      </c>
      <c r="R236" s="6">
        <v>52.27</v>
      </c>
      <c r="S236" s="6">
        <v>3069504</v>
      </c>
      <c r="T236" s="6">
        <v>1605244</v>
      </c>
      <c r="U236" s="6">
        <v>2497334.7999999998</v>
      </c>
      <c r="V236" s="6">
        <v>1</v>
      </c>
      <c r="W236" s="6">
        <v>2</v>
      </c>
      <c r="X236" s="6">
        <v>0</v>
      </c>
    </row>
    <row r="237" spans="1:24" x14ac:dyDescent="0.25">
      <c r="A237" s="6" t="s">
        <v>449</v>
      </c>
      <c r="B237" s="6" t="str">
        <f>VLOOKUP(A237,'[1]SBV Isolates'!$A$2:$B$367,2,FALSE)</f>
        <v>plate04</v>
      </c>
      <c r="C237" s="6">
        <v>5</v>
      </c>
      <c r="D237" s="6">
        <v>5</v>
      </c>
      <c r="E237" s="6">
        <v>5</v>
      </c>
      <c r="F237" s="6">
        <v>3</v>
      </c>
      <c r="G237" s="6">
        <v>3</v>
      </c>
      <c r="H237" s="6">
        <v>2</v>
      </c>
      <c r="I237" s="6">
        <v>4893399</v>
      </c>
      <c r="J237" s="6">
        <v>4893399</v>
      </c>
      <c r="K237" s="6">
        <v>4893399</v>
      </c>
      <c r="L237" s="6">
        <v>4879836</v>
      </c>
      <c r="M237" s="6">
        <v>4879836</v>
      </c>
      <c r="N237" s="6">
        <v>4838524</v>
      </c>
      <c r="O237" s="6">
        <v>5</v>
      </c>
      <c r="P237" s="6">
        <v>4744814</v>
      </c>
      <c r="Q237" s="6">
        <v>4893399</v>
      </c>
      <c r="R237" s="6">
        <v>52.26</v>
      </c>
      <c r="S237" s="6">
        <v>4744814</v>
      </c>
      <c r="T237" s="6">
        <v>4744814</v>
      </c>
      <c r="U237" s="6">
        <v>4602903.5999999996</v>
      </c>
      <c r="V237" s="6">
        <v>1</v>
      </c>
      <c r="W237" s="6">
        <v>1</v>
      </c>
      <c r="X237" s="6">
        <v>0</v>
      </c>
    </row>
    <row r="238" spans="1:24" x14ac:dyDescent="0.25">
      <c r="A238" s="6" t="s">
        <v>465</v>
      </c>
      <c r="B238" s="6" t="str">
        <f>VLOOKUP(A238,'[1]SBV Isolates'!$A$2:$B$367,2,FALSE)</f>
        <v>plate04</v>
      </c>
      <c r="C238" s="6">
        <v>5</v>
      </c>
      <c r="D238" s="6">
        <v>5</v>
      </c>
      <c r="E238" s="6">
        <v>4</v>
      </c>
      <c r="F238" s="6">
        <v>4</v>
      </c>
      <c r="G238" s="6">
        <v>4</v>
      </c>
      <c r="H238" s="6">
        <v>3</v>
      </c>
      <c r="I238" s="6">
        <v>4808416</v>
      </c>
      <c r="J238" s="6">
        <v>4808416</v>
      </c>
      <c r="K238" s="6">
        <v>4803831</v>
      </c>
      <c r="L238" s="6">
        <v>4803831</v>
      </c>
      <c r="M238" s="6">
        <v>4803831</v>
      </c>
      <c r="N238" s="6">
        <v>4768355</v>
      </c>
      <c r="O238" s="6">
        <v>5</v>
      </c>
      <c r="P238" s="6">
        <v>3069520</v>
      </c>
      <c r="Q238" s="6">
        <v>4808416</v>
      </c>
      <c r="R238" s="6">
        <v>52.27</v>
      </c>
      <c r="S238" s="6">
        <v>3069520</v>
      </c>
      <c r="T238" s="6">
        <v>1605131</v>
      </c>
      <c r="U238" s="6">
        <v>2497383.5</v>
      </c>
      <c r="V238" s="6">
        <v>1</v>
      </c>
      <c r="W238" s="6">
        <v>2</v>
      </c>
      <c r="X238" s="6">
        <v>0</v>
      </c>
    </row>
    <row r="239" spans="1:24" x14ac:dyDescent="0.25">
      <c r="A239" s="6" t="s">
        <v>472</v>
      </c>
      <c r="B239" s="6" t="str">
        <f>VLOOKUP(A239,'[1]SBV Isolates'!$A$2:$B$367,2,FALSE)</f>
        <v>plate04</v>
      </c>
      <c r="C239" s="6">
        <v>5</v>
      </c>
      <c r="D239" s="6">
        <v>5</v>
      </c>
      <c r="E239" s="6">
        <v>4</v>
      </c>
      <c r="F239" s="6">
        <v>4</v>
      </c>
      <c r="G239" s="6">
        <v>4</v>
      </c>
      <c r="H239" s="6">
        <v>3</v>
      </c>
      <c r="I239" s="6">
        <v>4808177</v>
      </c>
      <c r="J239" s="6">
        <v>4808177</v>
      </c>
      <c r="K239" s="6">
        <v>4803605</v>
      </c>
      <c r="L239" s="6">
        <v>4803605</v>
      </c>
      <c r="M239" s="6">
        <v>4803605</v>
      </c>
      <c r="N239" s="6">
        <v>4768339</v>
      </c>
      <c r="O239" s="6">
        <v>5</v>
      </c>
      <c r="P239" s="6">
        <v>3069548</v>
      </c>
      <c r="Q239" s="6">
        <v>4808177</v>
      </c>
      <c r="R239" s="6">
        <v>52.27</v>
      </c>
      <c r="S239" s="6">
        <v>3069548</v>
      </c>
      <c r="T239" s="6">
        <v>1605090</v>
      </c>
      <c r="U239" s="6">
        <v>2497512.7000000002</v>
      </c>
      <c r="V239" s="6">
        <v>1</v>
      </c>
      <c r="W239" s="6">
        <v>2</v>
      </c>
      <c r="X239" s="6">
        <v>0</v>
      </c>
    </row>
    <row r="240" spans="1:24" x14ac:dyDescent="0.25">
      <c r="A240" s="6" t="s">
        <v>141</v>
      </c>
      <c r="B240" s="6" t="str">
        <f>VLOOKUP(A240,'[1]SBV Isolates'!$A$2:$B$367,2,FALSE)</f>
        <v>plate01</v>
      </c>
      <c r="C240" s="6">
        <v>4</v>
      </c>
      <c r="D240" s="6">
        <v>4</v>
      </c>
      <c r="E240" s="6">
        <v>4</v>
      </c>
      <c r="F240" s="6">
        <v>3</v>
      </c>
      <c r="G240" s="6">
        <v>3</v>
      </c>
      <c r="H240" s="6">
        <v>2</v>
      </c>
      <c r="I240" s="6">
        <v>4882419</v>
      </c>
      <c r="J240" s="6">
        <v>4882419</v>
      </c>
      <c r="K240" s="6">
        <v>4882419</v>
      </c>
      <c r="L240" s="6">
        <v>4874560</v>
      </c>
      <c r="M240" s="6">
        <v>4874560</v>
      </c>
      <c r="N240" s="6">
        <v>4839775</v>
      </c>
      <c r="O240" s="6">
        <v>4</v>
      </c>
      <c r="P240" s="6">
        <v>4746071</v>
      </c>
      <c r="Q240" s="6">
        <v>4882419</v>
      </c>
      <c r="R240" s="6">
        <v>52.26</v>
      </c>
      <c r="S240" s="6">
        <v>4746071</v>
      </c>
      <c r="T240" s="6">
        <v>4746071</v>
      </c>
      <c r="U240" s="6">
        <v>4615589.5999999996</v>
      </c>
      <c r="V240" s="6">
        <v>1</v>
      </c>
      <c r="W240" s="6">
        <v>1</v>
      </c>
      <c r="X240" s="6">
        <v>0</v>
      </c>
    </row>
    <row r="241" spans="1:24" x14ac:dyDescent="0.25">
      <c r="A241" s="6" t="s">
        <v>160</v>
      </c>
      <c r="B241" s="6" t="str">
        <f>VLOOKUP(A241,'[1]SBV Isolates'!$A$2:$B$367,2,FALSE)</f>
        <v>plate01</v>
      </c>
      <c r="C241" s="6">
        <v>4</v>
      </c>
      <c r="D241" s="6">
        <v>4</v>
      </c>
      <c r="E241" s="6">
        <v>4</v>
      </c>
      <c r="F241" s="6">
        <v>3</v>
      </c>
      <c r="G241" s="6">
        <v>3</v>
      </c>
      <c r="H241" s="6">
        <v>2</v>
      </c>
      <c r="I241" s="6">
        <v>4920789</v>
      </c>
      <c r="J241" s="6">
        <v>4920789</v>
      </c>
      <c r="K241" s="6">
        <v>4920789</v>
      </c>
      <c r="L241" s="6">
        <v>4912697</v>
      </c>
      <c r="M241" s="6">
        <v>4912697</v>
      </c>
      <c r="N241" s="6">
        <v>4878924</v>
      </c>
      <c r="O241" s="6">
        <v>4</v>
      </c>
      <c r="P241" s="6">
        <v>4785229</v>
      </c>
      <c r="Q241" s="6">
        <v>4920789</v>
      </c>
      <c r="R241" s="6">
        <v>52.26</v>
      </c>
      <c r="S241" s="6">
        <v>4785229</v>
      </c>
      <c r="T241" s="6">
        <v>4785229</v>
      </c>
      <c r="U241" s="6">
        <v>4655432.5999999996</v>
      </c>
      <c r="V241" s="6">
        <v>1</v>
      </c>
      <c r="W241" s="6">
        <v>1</v>
      </c>
      <c r="X241" s="6">
        <v>0</v>
      </c>
    </row>
    <row r="242" spans="1:24" x14ac:dyDescent="0.25">
      <c r="A242" s="6" t="s">
        <v>161</v>
      </c>
      <c r="B242" s="6" t="str">
        <f>VLOOKUP(A242,'[1]SBV Isolates'!$A$2:$B$367,2,FALSE)</f>
        <v>plate01</v>
      </c>
      <c r="C242" s="6">
        <v>4</v>
      </c>
      <c r="D242" s="6">
        <v>4</v>
      </c>
      <c r="E242" s="6">
        <v>2</v>
      </c>
      <c r="F242" s="6">
        <v>2</v>
      </c>
      <c r="G242" s="6">
        <v>2</v>
      </c>
      <c r="H242" s="6">
        <v>2</v>
      </c>
      <c r="I242" s="6">
        <v>4846260</v>
      </c>
      <c r="J242" s="6">
        <v>4846260</v>
      </c>
      <c r="K242" s="6">
        <v>4838578</v>
      </c>
      <c r="L242" s="6">
        <v>4838578</v>
      </c>
      <c r="M242" s="6">
        <v>4838578</v>
      </c>
      <c r="N242" s="6">
        <v>4838578</v>
      </c>
      <c r="O242" s="6">
        <v>4</v>
      </c>
      <c r="P242" s="6">
        <v>4744886</v>
      </c>
      <c r="Q242" s="6">
        <v>4846260</v>
      </c>
      <c r="R242" s="6">
        <v>52.25</v>
      </c>
      <c r="S242" s="6">
        <v>4744886</v>
      </c>
      <c r="T242" s="6">
        <v>4744886</v>
      </c>
      <c r="U242" s="6">
        <v>4647450.2</v>
      </c>
      <c r="V242" s="6">
        <v>1</v>
      </c>
      <c r="W242" s="6">
        <v>1</v>
      </c>
      <c r="X242" s="6">
        <v>0</v>
      </c>
    </row>
    <row r="243" spans="1:24" x14ac:dyDescent="0.25">
      <c r="A243" s="6" t="s">
        <v>162</v>
      </c>
      <c r="B243" s="6" t="str">
        <f>VLOOKUP(A243,'[1]SBV Isolates'!$A$2:$B$367,2,FALSE)</f>
        <v>plate01</v>
      </c>
      <c r="C243" s="6">
        <v>4</v>
      </c>
      <c r="D243" s="6">
        <v>4</v>
      </c>
      <c r="E243" s="6">
        <v>4</v>
      </c>
      <c r="F243" s="6">
        <v>2</v>
      </c>
      <c r="G243" s="6">
        <v>2</v>
      </c>
      <c r="H243" s="6">
        <v>2</v>
      </c>
      <c r="I243" s="6">
        <v>4852136</v>
      </c>
      <c r="J243" s="6">
        <v>4852136</v>
      </c>
      <c r="K243" s="6">
        <v>4852136</v>
      </c>
      <c r="L243" s="6">
        <v>4838546</v>
      </c>
      <c r="M243" s="6">
        <v>4838546</v>
      </c>
      <c r="N243" s="6">
        <v>4838546</v>
      </c>
      <c r="O243" s="6">
        <v>4</v>
      </c>
      <c r="P243" s="6">
        <v>4744852</v>
      </c>
      <c r="Q243" s="6">
        <v>4852136</v>
      </c>
      <c r="R243" s="6">
        <v>52.24</v>
      </c>
      <c r="S243" s="6">
        <v>4744852</v>
      </c>
      <c r="T243" s="6">
        <v>4744852</v>
      </c>
      <c r="U243" s="6">
        <v>4641769.4000000004</v>
      </c>
      <c r="V243" s="6">
        <v>1</v>
      </c>
      <c r="W243" s="6">
        <v>1</v>
      </c>
      <c r="X243" s="6">
        <v>0</v>
      </c>
    </row>
    <row r="244" spans="1:24" x14ac:dyDescent="0.25">
      <c r="A244" s="6" t="s">
        <v>164</v>
      </c>
      <c r="B244" s="6" t="str">
        <f>VLOOKUP(A244,'[1]SBV Isolates'!$A$2:$B$367,2,FALSE)</f>
        <v>plate01</v>
      </c>
      <c r="C244" s="6">
        <v>4</v>
      </c>
      <c r="D244" s="6">
        <v>4</v>
      </c>
      <c r="E244" s="6">
        <v>4</v>
      </c>
      <c r="F244" s="6">
        <v>3</v>
      </c>
      <c r="G244" s="6">
        <v>3</v>
      </c>
      <c r="H244" s="6">
        <v>2</v>
      </c>
      <c r="I244" s="6">
        <v>4881042</v>
      </c>
      <c r="J244" s="6">
        <v>4881042</v>
      </c>
      <c r="K244" s="6">
        <v>4881042</v>
      </c>
      <c r="L244" s="6">
        <v>4873061</v>
      </c>
      <c r="M244" s="6">
        <v>4873061</v>
      </c>
      <c r="N244" s="6">
        <v>4838273</v>
      </c>
      <c r="O244" s="6">
        <v>4</v>
      </c>
      <c r="P244" s="6">
        <v>4744563</v>
      </c>
      <c r="Q244" s="6">
        <v>4881042</v>
      </c>
      <c r="R244" s="6">
        <v>52.27</v>
      </c>
      <c r="S244" s="6">
        <v>4744563</v>
      </c>
      <c r="T244" s="6">
        <v>4744563</v>
      </c>
      <c r="U244" s="6">
        <v>4613960.2</v>
      </c>
      <c r="V244" s="6">
        <v>1</v>
      </c>
      <c r="W244" s="6">
        <v>1</v>
      </c>
      <c r="X244" s="6">
        <v>0</v>
      </c>
    </row>
    <row r="245" spans="1:24" x14ac:dyDescent="0.25">
      <c r="A245" s="6" t="s">
        <v>169</v>
      </c>
      <c r="B245" s="6" t="str">
        <f>VLOOKUP(A245,'[1]SBV Isolates'!$A$2:$B$367,2,FALSE)</f>
        <v>plate01</v>
      </c>
      <c r="C245" s="6">
        <v>4</v>
      </c>
      <c r="D245" s="6">
        <v>4</v>
      </c>
      <c r="E245" s="6">
        <v>4</v>
      </c>
      <c r="F245" s="6">
        <v>3</v>
      </c>
      <c r="G245" s="6">
        <v>3</v>
      </c>
      <c r="H245" s="6">
        <v>3</v>
      </c>
      <c r="I245" s="6">
        <v>4898117</v>
      </c>
      <c r="J245" s="6">
        <v>4898117</v>
      </c>
      <c r="K245" s="6">
        <v>4898117</v>
      </c>
      <c r="L245" s="6">
        <v>4890112</v>
      </c>
      <c r="M245" s="6">
        <v>4890112</v>
      </c>
      <c r="N245" s="6">
        <v>4890112</v>
      </c>
      <c r="O245" s="6">
        <v>4</v>
      </c>
      <c r="P245" s="6">
        <v>4707245</v>
      </c>
      <c r="Q245" s="6">
        <v>4898117</v>
      </c>
      <c r="R245" s="6">
        <v>52.28</v>
      </c>
      <c r="S245" s="6">
        <v>4707245</v>
      </c>
      <c r="T245" s="6">
        <v>4707245</v>
      </c>
      <c r="U245" s="6">
        <v>4527239.8</v>
      </c>
      <c r="V245" s="6">
        <v>1</v>
      </c>
      <c r="W245" s="6">
        <v>1</v>
      </c>
      <c r="X245" s="6">
        <v>0</v>
      </c>
    </row>
    <row r="246" spans="1:24" x14ac:dyDescent="0.25">
      <c r="A246" s="6" t="s">
        <v>243</v>
      </c>
      <c r="B246" s="6" t="str">
        <f>VLOOKUP(A246,'[1]SBV Isolates'!$A$2:$B$367,2,FALSE)</f>
        <v>plate02</v>
      </c>
      <c r="C246" s="6">
        <v>4</v>
      </c>
      <c r="D246" s="6">
        <v>4</v>
      </c>
      <c r="E246" s="6">
        <v>4</v>
      </c>
      <c r="F246" s="6">
        <v>3</v>
      </c>
      <c r="G246" s="6">
        <v>3</v>
      </c>
      <c r="H246" s="6">
        <v>2</v>
      </c>
      <c r="I246" s="6">
        <v>4878314</v>
      </c>
      <c r="J246" s="6">
        <v>4878314</v>
      </c>
      <c r="K246" s="6">
        <v>4878314</v>
      </c>
      <c r="L246" s="6">
        <v>4870508</v>
      </c>
      <c r="M246" s="6">
        <v>4870508</v>
      </c>
      <c r="N246" s="6">
        <v>4838251</v>
      </c>
      <c r="O246" s="6">
        <v>4</v>
      </c>
      <c r="P246" s="6">
        <v>4744541</v>
      </c>
      <c r="Q246" s="6">
        <v>4878314</v>
      </c>
      <c r="R246" s="6">
        <v>52.26</v>
      </c>
      <c r="S246" s="6">
        <v>4744541</v>
      </c>
      <c r="T246" s="6">
        <v>4744541</v>
      </c>
      <c r="U246" s="6">
        <v>4616462.2</v>
      </c>
      <c r="V246" s="6">
        <v>1</v>
      </c>
      <c r="W246" s="6">
        <v>1</v>
      </c>
      <c r="X246" s="6">
        <v>0</v>
      </c>
    </row>
    <row r="247" spans="1:24" x14ac:dyDescent="0.25">
      <c r="A247" s="6" t="s">
        <v>246</v>
      </c>
      <c r="B247" s="6" t="str">
        <f>VLOOKUP(A247,'[1]SBV Isolates'!$A$2:$B$367,2,FALSE)</f>
        <v>plate02</v>
      </c>
      <c r="C247" s="6">
        <v>4</v>
      </c>
      <c r="D247" s="6">
        <v>4</v>
      </c>
      <c r="E247" s="6">
        <v>3</v>
      </c>
      <c r="F247" s="6">
        <v>3</v>
      </c>
      <c r="G247" s="6">
        <v>3</v>
      </c>
      <c r="H247" s="6">
        <v>2</v>
      </c>
      <c r="I247" s="6">
        <v>4874688</v>
      </c>
      <c r="J247" s="6">
        <v>4874688</v>
      </c>
      <c r="K247" s="6">
        <v>4870118</v>
      </c>
      <c r="L247" s="6">
        <v>4870118</v>
      </c>
      <c r="M247" s="6">
        <v>4870118</v>
      </c>
      <c r="N247" s="6">
        <v>4834679</v>
      </c>
      <c r="O247" s="6">
        <v>4</v>
      </c>
      <c r="P247" s="6">
        <v>4740972</v>
      </c>
      <c r="Q247" s="6">
        <v>4874688</v>
      </c>
      <c r="R247" s="6">
        <v>52.27</v>
      </c>
      <c r="S247" s="6">
        <v>4740972</v>
      </c>
      <c r="T247" s="6">
        <v>4740972</v>
      </c>
      <c r="U247" s="6">
        <v>4612987.2</v>
      </c>
      <c r="V247" s="6">
        <v>1</v>
      </c>
      <c r="W247" s="6">
        <v>1</v>
      </c>
      <c r="X247" s="6">
        <v>0</v>
      </c>
    </row>
    <row r="248" spans="1:24" x14ac:dyDescent="0.25">
      <c r="A248" s="6" t="s">
        <v>267</v>
      </c>
      <c r="B248" s="6" t="str">
        <f>VLOOKUP(A248,'[1]SBV Isolates'!$A$2:$B$367,2,FALSE)</f>
        <v>plate03</v>
      </c>
      <c r="C248" s="6">
        <v>4</v>
      </c>
      <c r="D248" s="6">
        <v>4</v>
      </c>
      <c r="E248" s="6">
        <v>2</v>
      </c>
      <c r="F248" s="6">
        <v>2</v>
      </c>
      <c r="G248" s="6">
        <v>2</v>
      </c>
      <c r="H248" s="6">
        <v>2</v>
      </c>
      <c r="I248" s="6">
        <v>4843773</v>
      </c>
      <c r="J248" s="6">
        <v>4843773</v>
      </c>
      <c r="K248" s="6">
        <v>4837765</v>
      </c>
      <c r="L248" s="6">
        <v>4837765</v>
      </c>
      <c r="M248" s="6">
        <v>4837765</v>
      </c>
      <c r="N248" s="6">
        <v>4837765</v>
      </c>
      <c r="O248" s="6">
        <v>4</v>
      </c>
      <c r="P248" s="6">
        <v>4744846</v>
      </c>
      <c r="Q248" s="6">
        <v>4843773</v>
      </c>
      <c r="R248" s="6">
        <v>52.26</v>
      </c>
      <c r="S248" s="6">
        <v>4744846</v>
      </c>
      <c r="T248" s="6">
        <v>4744846</v>
      </c>
      <c r="U248" s="6">
        <v>4649725.7</v>
      </c>
      <c r="V248" s="6">
        <v>1</v>
      </c>
      <c r="W248" s="6">
        <v>1</v>
      </c>
      <c r="X248" s="6">
        <v>0</v>
      </c>
    </row>
    <row r="249" spans="1:24" x14ac:dyDescent="0.25">
      <c r="A249" s="6" t="s">
        <v>297</v>
      </c>
      <c r="B249" s="6" t="str">
        <f>VLOOKUP(A249,'[1]SBV Isolates'!$A$2:$B$367,2,FALSE)</f>
        <v>plate03</v>
      </c>
      <c r="C249" s="6">
        <v>4</v>
      </c>
      <c r="D249" s="6">
        <v>4</v>
      </c>
      <c r="E249" s="6">
        <v>2</v>
      </c>
      <c r="F249" s="6">
        <v>2</v>
      </c>
      <c r="G249" s="6">
        <v>2</v>
      </c>
      <c r="H249" s="6">
        <v>2</v>
      </c>
      <c r="I249" s="6">
        <v>4843626</v>
      </c>
      <c r="J249" s="6">
        <v>4843626</v>
      </c>
      <c r="K249" s="6">
        <v>4838583</v>
      </c>
      <c r="L249" s="6">
        <v>4838583</v>
      </c>
      <c r="M249" s="6">
        <v>4838583</v>
      </c>
      <c r="N249" s="6">
        <v>4838583</v>
      </c>
      <c r="O249" s="6">
        <v>4</v>
      </c>
      <c r="P249" s="6">
        <v>4744882</v>
      </c>
      <c r="Q249" s="6">
        <v>4843626</v>
      </c>
      <c r="R249" s="6">
        <v>52.27</v>
      </c>
      <c r="S249" s="6">
        <v>4744882</v>
      </c>
      <c r="T249" s="6">
        <v>4744882</v>
      </c>
      <c r="U249" s="6">
        <v>4649966.3</v>
      </c>
      <c r="V249" s="6">
        <v>1</v>
      </c>
      <c r="W249" s="6">
        <v>1</v>
      </c>
      <c r="X249" s="6">
        <v>0</v>
      </c>
    </row>
    <row r="250" spans="1:24" x14ac:dyDescent="0.25">
      <c r="A250" s="6" t="s">
        <v>306</v>
      </c>
      <c r="B250" s="6" t="str">
        <f>VLOOKUP(A250,'[1]SBV Isolates'!$A$2:$B$367,2,FALSE)</f>
        <v>plate03</v>
      </c>
      <c r="C250" s="6">
        <v>4</v>
      </c>
      <c r="D250" s="6">
        <v>4</v>
      </c>
      <c r="E250" s="6">
        <v>4</v>
      </c>
      <c r="F250" s="6">
        <v>3</v>
      </c>
      <c r="G250" s="6">
        <v>3</v>
      </c>
      <c r="H250" s="6">
        <v>2</v>
      </c>
      <c r="I250" s="6">
        <v>4879390</v>
      </c>
      <c r="J250" s="6">
        <v>4879390</v>
      </c>
      <c r="K250" s="6">
        <v>4879390</v>
      </c>
      <c r="L250" s="6">
        <v>4870941</v>
      </c>
      <c r="M250" s="6">
        <v>4870941</v>
      </c>
      <c r="N250" s="6">
        <v>4835332</v>
      </c>
      <c r="O250" s="6">
        <v>4</v>
      </c>
      <c r="P250" s="6">
        <v>4741632</v>
      </c>
      <c r="Q250" s="6">
        <v>4879390</v>
      </c>
      <c r="R250" s="6">
        <v>52.26</v>
      </c>
      <c r="S250" s="6">
        <v>4741632</v>
      </c>
      <c r="T250" s="6">
        <v>4741632</v>
      </c>
      <c r="U250" s="6">
        <v>4609837.0999999996</v>
      </c>
      <c r="V250" s="6">
        <v>1</v>
      </c>
      <c r="W250" s="6">
        <v>1</v>
      </c>
      <c r="X250" s="6">
        <v>0</v>
      </c>
    </row>
    <row r="251" spans="1:24" x14ac:dyDescent="0.25">
      <c r="A251" s="6" t="s">
        <v>307</v>
      </c>
      <c r="B251" s="6" t="str">
        <f>VLOOKUP(A251,'[1]SBV Isolates'!$A$2:$B$367,2,FALSE)</f>
        <v>plate03</v>
      </c>
      <c r="C251" s="6">
        <v>4</v>
      </c>
      <c r="D251" s="6">
        <v>4</v>
      </c>
      <c r="E251" s="6">
        <v>4</v>
      </c>
      <c r="F251" s="6">
        <v>4</v>
      </c>
      <c r="G251" s="6">
        <v>4</v>
      </c>
      <c r="H251" s="6">
        <v>3</v>
      </c>
      <c r="I251" s="6">
        <v>4803971</v>
      </c>
      <c r="J251" s="6">
        <v>4803971</v>
      </c>
      <c r="K251" s="6">
        <v>4803971</v>
      </c>
      <c r="L251" s="6">
        <v>4803971</v>
      </c>
      <c r="M251" s="6">
        <v>4803971</v>
      </c>
      <c r="N251" s="6">
        <v>4768445</v>
      </c>
      <c r="O251" s="6">
        <v>4</v>
      </c>
      <c r="P251" s="6">
        <v>3069517</v>
      </c>
      <c r="Q251" s="6">
        <v>4803971</v>
      </c>
      <c r="R251" s="6">
        <v>52.27</v>
      </c>
      <c r="S251" s="6">
        <v>3069517</v>
      </c>
      <c r="T251" s="6">
        <v>1605250</v>
      </c>
      <c r="U251" s="6">
        <v>2499765.2999999998</v>
      </c>
      <c r="V251" s="6">
        <v>1</v>
      </c>
      <c r="W251" s="6">
        <v>2</v>
      </c>
      <c r="X251" s="6">
        <v>0</v>
      </c>
    </row>
    <row r="252" spans="1:24" x14ac:dyDescent="0.25">
      <c r="A252" s="6" t="s">
        <v>319</v>
      </c>
      <c r="B252" s="6" t="str">
        <f>VLOOKUP(A252,'[1]SBV Isolates'!$A$2:$B$367,2,FALSE)</f>
        <v>plate03</v>
      </c>
      <c r="C252" s="6">
        <v>4</v>
      </c>
      <c r="D252" s="6">
        <v>4</v>
      </c>
      <c r="E252" s="6">
        <v>3</v>
      </c>
      <c r="F252" s="6">
        <v>3</v>
      </c>
      <c r="G252" s="6">
        <v>3</v>
      </c>
      <c r="H252" s="6">
        <v>3</v>
      </c>
      <c r="I252" s="6">
        <v>4949301</v>
      </c>
      <c r="J252" s="6">
        <v>4949301</v>
      </c>
      <c r="K252" s="6">
        <v>4944719</v>
      </c>
      <c r="L252" s="6">
        <v>4944719</v>
      </c>
      <c r="M252" s="6">
        <v>4944719</v>
      </c>
      <c r="N252" s="6">
        <v>4944719</v>
      </c>
      <c r="O252" s="6">
        <v>4</v>
      </c>
      <c r="P252" s="6">
        <v>4744860</v>
      </c>
      <c r="Q252" s="6">
        <v>4949301</v>
      </c>
      <c r="R252" s="6">
        <v>52.23</v>
      </c>
      <c r="S252" s="6">
        <v>4744860</v>
      </c>
      <c r="T252" s="6">
        <v>4744860</v>
      </c>
      <c r="U252" s="6">
        <v>4552919.0999999996</v>
      </c>
      <c r="V252" s="6">
        <v>1</v>
      </c>
      <c r="W252" s="6">
        <v>1</v>
      </c>
      <c r="X252" s="6">
        <v>0</v>
      </c>
    </row>
    <row r="253" spans="1:24" x14ac:dyDescent="0.25">
      <c r="A253" s="6" t="s">
        <v>346</v>
      </c>
      <c r="B253" s="6" t="str">
        <f>VLOOKUP(A253,'[1]SBV Isolates'!$A$2:$B$367,2,FALSE)</f>
        <v>plate05</v>
      </c>
      <c r="C253" s="6">
        <v>4</v>
      </c>
      <c r="D253" s="6">
        <v>4</v>
      </c>
      <c r="E253" s="6">
        <v>2</v>
      </c>
      <c r="F253" s="6">
        <v>2</v>
      </c>
      <c r="G253" s="6">
        <v>2</v>
      </c>
      <c r="H253" s="6">
        <v>2</v>
      </c>
      <c r="I253" s="6">
        <v>4876216</v>
      </c>
      <c r="J253" s="6">
        <v>4876216</v>
      </c>
      <c r="K253" s="6">
        <v>4868561</v>
      </c>
      <c r="L253" s="6">
        <v>4868561</v>
      </c>
      <c r="M253" s="6">
        <v>4868561</v>
      </c>
      <c r="N253" s="6">
        <v>4868561</v>
      </c>
      <c r="O253" s="6">
        <v>4</v>
      </c>
      <c r="P253" s="6">
        <v>4774847</v>
      </c>
      <c r="Q253" s="6">
        <v>4876216</v>
      </c>
      <c r="R253" s="6">
        <v>52.26</v>
      </c>
      <c r="S253" s="6">
        <v>4774847</v>
      </c>
      <c r="T253" s="6">
        <v>4774847</v>
      </c>
      <c r="U253" s="6">
        <v>4677392.5999999996</v>
      </c>
      <c r="V253" s="6">
        <v>1</v>
      </c>
      <c r="W253" s="6">
        <v>1</v>
      </c>
      <c r="X253" s="6">
        <v>0</v>
      </c>
    </row>
    <row r="254" spans="1:24" x14ac:dyDescent="0.25">
      <c r="A254" s="6" t="s">
        <v>390</v>
      </c>
      <c r="B254" s="6" t="str">
        <f>VLOOKUP(A254,'[1]SBV Isolates'!$A$2:$B$367,2,FALSE)</f>
        <v>plate05</v>
      </c>
      <c r="C254" s="6">
        <v>4</v>
      </c>
      <c r="D254" s="6">
        <v>4</v>
      </c>
      <c r="E254" s="6">
        <v>2</v>
      </c>
      <c r="F254" s="6">
        <v>2</v>
      </c>
      <c r="G254" s="6">
        <v>2</v>
      </c>
      <c r="H254" s="6">
        <v>1</v>
      </c>
      <c r="I254" s="6">
        <v>4783650</v>
      </c>
      <c r="J254" s="6">
        <v>4783650</v>
      </c>
      <c r="K254" s="6">
        <v>4776858</v>
      </c>
      <c r="L254" s="6">
        <v>4776858</v>
      </c>
      <c r="M254" s="6">
        <v>4776858</v>
      </c>
      <c r="N254" s="6">
        <v>4741249</v>
      </c>
      <c r="O254" s="6">
        <v>4</v>
      </c>
      <c r="P254" s="6">
        <v>4741249</v>
      </c>
      <c r="Q254" s="6">
        <v>4783650</v>
      </c>
      <c r="R254" s="6">
        <v>52.26</v>
      </c>
      <c r="S254" s="6">
        <v>4741249</v>
      </c>
      <c r="T254" s="6">
        <v>4741249</v>
      </c>
      <c r="U254" s="6">
        <v>4699493.7</v>
      </c>
      <c r="V254" s="6">
        <v>1</v>
      </c>
      <c r="W254" s="6">
        <v>1</v>
      </c>
      <c r="X254" s="6">
        <v>0</v>
      </c>
    </row>
    <row r="255" spans="1:24" x14ac:dyDescent="0.25">
      <c r="A255" s="6" t="s">
        <v>405</v>
      </c>
      <c r="B255" s="6" t="str">
        <f>VLOOKUP(A255,'[1]SBV Isolates'!$A$2:$B$367,2,FALSE)</f>
        <v>plate04</v>
      </c>
      <c r="C255" s="6">
        <v>4</v>
      </c>
      <c r="D255" s="6">
        <v>4</v>
      </c>
      <c r="E255" s="6">
        <v>3</v>
      </c>
      <c r="F255" s="6">
        <v>3</v>
      </c>
      <c r="G255" s="6">
        <v>3</v>
      </c>
      <c r="H255" s="6">
        <v>2</v>
      </c>
      <c r="I255" s="6">
        <v>4884754</v>
      </c>
      <c r="J255" s="6">
        <v>4884754</v>
      </c>
      <c r="K255" s="6">
        <v>4880146</v>
      </c>
      <c r="L255" s="6">
        <v>4880146</v>
      </c>
      <c r="M255" s="6">
        <v>4880146</v>
      </c>
      <c r="N255" s="6">
        <v>4838575</v>
      </c>
      <c r="O255" s="6">
        <v>4</v>
      </c>
      <c r="P255" s="6">
        <v>4744872</v>
      </c>
      <c r="Q255" s="6">
        <v>4884754</v>
      </c>
      <c r="R255" s="6">
        <v>52.27</v>
      </c>
      <c r="S255" s="6">
        <v>4744872</v>
      </c>
      <c r="T255" s="6">
        <v>4744872</v>
      </c>
      <c r="U255" s="6">
        <v>4611151.3</v>
      </c>
      <c r="V255" s="6">
        <v>1</v>
      </c>
      <c r="W255" s="6">
        <v>1</v>
      </c>
      <c r="X255" s="6">
        <v>0</v>
      </c>
    </row>
    <row r="256" spans="1:24" x14ac:dyDescent="0.25">
      <c r="A256" s="6" t="s">
        <v>408</v>
      </c>
      <c r="B256" s="6" t="str">
        <f>VLOOKUP(A256,'[1]SBV Isolates'!$A$2:$B$367,2,FALSE)</f>
        <v>plate04</v>
      </c>
      <c r="C256" s="6">
        <v>4</v>
      </c>
      <c r="D256" s="6">
        <v>4</v>
      </c>
      <c r="E256" s="6">
        <v>4</v>
      </c>
      <c r="F256" s="6">
        <v>3</v>
      </c>
      <c r="G256" s="6">
        <v>3</v>
      </c>
      <c r="H256" s="6">
        <v>3</v>
      </c>
      <c r="I256" s="6">
        <v>4981607</v>
      </c>
      <c r="J256" s="6">
        <v>4981607</v>
      </c>
      <c r="K256" s="6">
        <v>4981607</v>
      </c>
      <c r="L256" s="6">
        <v>4973513</v>
      </c>
      <c r="M256" s="6">
        <v>4973513</v>
      </c>
      <c r="N256" s="6">
        <v>4973513</v>
      </c>
      <c r="O256" s="6">
        <v>4</v>
      </c>
      <c r="P256" s="6">
        <v>4788922</v>
      </c>
      <c r="Q256" s="6">
        <v>4981607</v>
      </c>
      <c r="R256" s="6">
        <v>52.22</v>
      </c>
      <c r="S256" s="6">
        <v>4788922</v>
      </c>
      <c r="T256" s="6">
        <v>4788922</v>
      </c>
      <c r="U256" s="6">
        <v>4607123.7</v>
      </c>
      <c r="V256" s="6">
        <v>1</v>
      </c>
      <c r="W256" s="6">
        <v>1</v>
      </c>
      <c r="X256" s="6">
        <v>0</v>
      </c>
    </row>
    <row r="257" spans="1:24" x14ac:dyDescent="0.25">
      <c r="A257" s="6" t="s">
        <v>435</v>
      </c>
      <c r="B257" s="6" t="str">
        <f>VLOOKUP(A257,'[1]SBV Isolates'!$A$2:$B$367,2,FALSE)</f>
        <v>plate04</v>
      </c>
      <c r="C257" s="6">
        <v>4</v>
      </c>
      <c r="D257" s="6">
        <v>4</v>
      </c>
      <c r="E257" s="6">
        <v>4</v>
      </c>
      <c r="F257" s="6">
        <v>4</v>
      </c>
      <c r="G257" s="6">
        <v>4</v>
      </c>
      <c r="H257" s="6">
        <v>3</v>
      </c>
      <c r="I257" s="6">
        <v>4839253</v>
      </c>
      <c r="J257" s="6">
        <v>4839253</v>
      </c>
      <c r="K257" s="6">
        <v>4839253</v>
      </c>
      <c r="L257" s="6">
        <v>4839253</v>
      </c>
      <c r="M257" s="6">
        <v>4839253</v>
      </c>
      <c r="N257" s="6">
        <v>4803627</v>
      </c>
      <c r="O257" s="6">
        <v>4</v>
      </c>
      <c r="P257" s="6">
        <v>3104678</v>
      </c>
      <c r="Q257" s="6">
        <v>4839253</v>
      </c>
      <c r="R257" s="6">
        <v>52.27</v>
      </c>
      <c r="S257" s="6">
        <v>3104678</v>
      </c>
      <c r="T257" s="6">
        <v>1605256</v>
      </c>
      <c r="U257" s="6">
        <v>2526406.4</v>
      </c>
      <c r="V257" s="6">
        <v>1</v>
      </c>
      <c r="W257" s="6">
        <v>2</v>
      </c>
      <c r="X257" s="6">
        <v>0</v>
      </c>
    </row>
    <row r="258" spans="1:24" x14ac:dyDescent="0.25">
      <c r="A258" s="6" t="s">
        <v>437</v>
      </c>
      <c r="B258" s="6" t="str">
        <f>VLOOKUP(A258,'[1]SBV Isolates'!$A$2:$B$367,2,FALSE)</f>
        <v>plate04</v>
      </c>
      <c r="C258" s="6">
        <v>4</v>
      </c>
      <c r="D258" s="6">
        <v>4</v>
      </c>
      <c r="E258" s="6">
        <v>3</v>
      </c>
      <c r="F258" s="6">
        <v>3</v>
      </c>
      <c r="G258" s="6">
        <v>3</v>
      </c>
      <c r="H258" s="6">
        <v>2</v>
      </c>
      <c r="I258" s="6">
        <v>4873351</v>
      </c>
      <c r="J258" s="6">
        <v>4873351</v>
      </c>
      <c r="K258" s="6">
        <v>4868763</v>
      </c>
      <c r="L258" s="6">
        <v>4868763</v>
      </c>
      <c r="M258" s="6">
        <v>4868763</v>
      </c>
      <c r="N258" s="6">
        <v>4833154</v>
      </c>
      <c r="O258" s="6">
        <v>4</v>
      </c>
      <c r="P258" s="6">
        <v>4739435</v>
      </c>
      <c r="Q258" s="6">
        <v>4873351</v>
      </c>
      <c r="R258" s="6">
        <v>52.27</v>
      </c>
      <c r="S258" s="6">
        <v>4739435</v>
      </c>
      <c r="T258" s="6">
        <v>4739435</v>
      </c>
      <c r="U258" s="6">
        <v>4611265.7</v>
      </c>
      <c r="V258" s="6">
        <v>1</v>
      </c>
      <c r="W258" s="6">
        <v>1</v>
      </c>
      <c r="X258" s="6">
        <v>0</v>
      </c>
    </row>
    <row r="259" spans="1:24" x14ac:dyDescent="0.25">
      <c r="A259" s="6" t="s">
        <v>441</v>
      </c>
      <c r="B259" s="6" t="str">
        <f>VLOOKUP(A259,'[1]SBV Isolates'!$A$2:$B$367,2,FALSE)</f>
        <v>plate04</v>
      </c>
      <c r="C259" s="6">
        <v>4</v>
      </c>
      <c r="D259" s="6">
        <v>4</v>
      </c>
      <c r="E259" s="6">
        <v>4</v>
      </c>
      <c r="F259" s="6">
        <v>2</v>
      </c>
      <c r="G259" s="6">
        <v>2</v>
      </c>
      <c r="H259" s="6">
        <v>2</v>
      </c>
      <c r="I259" s="6">
        <v>4940701</v>
      </c>
      <c r="J259" s="6">
        <v>4940701</v>
      </c>
      <c r="K259" s="6">
        <v>4940701</v>
      </c>
      <c r="L259" s="6">
        <v>4922898</v>
      </c>
      <c r="M259" s="6">
        <v>4922898</v>
      </c>
      <c r="N259" s="6">
        <v>4922898</v>
      </c>
      <c r="O259" s="6">
        <v>4</v>
      </c>
      <c r="P259" s="6">
        <v>4829204</v>
      </c>
      <c r="Q259" s="6">
        <v>4940701</v>
      </c>
      <c r="R259" s="6">
        <v>52.22</v>
      </c>
      <c r="S259" s="6">
        <v>4829204</v>
      </c>
      <c r="T259" s="6">
        <v>4829204</v>
      </c>
      <c r="U259" s="6">
        <v>4722032.3</v>
      </c>
      <c r="V259" s="6">
        <v>1</v>
      </c>
      <c r="W259" s="6">
        <v>1</v>
      </c>
      <c r="X259" s="6">
        <v>0</v>
      </c>
    </row>
    <row r="260" spans="1:24" x14ac:dyDescent="0.25">
      <c r="A260" s="6" t="s">
        <v>446</v>
      </c>
      <c r="B260" s="6" t="str">
        <f>VLOOKUP(A260,'[1]SBV Isolates'!$A$2:$B$367,2,FALSE)</f>
        <v>plate04</v>
      </c>
      <c r="C260" s="6">
        <v>4</v>
      </c>
      <c r="D260" s="6">
        <v>4</v>
      </c>
      <c r="E260" s="6">
        <v>4</v>
      </c>
      <c r="F260" s="6">
        <v>3</v>
      </c>
      <c r="G260" s="6">
        <v>3</v>
      </c>
      <c r="H260" s="6">
        <v>3</v>
      </c>
      <c r="I260" s="6">
        <v>4931587</v>
      </c>
      <c r="J260" s="6">
        <v>4931587</v>
      </c>
      <c r="K260" s="6">
        <v>4931587</v>
      </c>
      <c r="L260" s="6">
        <v>4923372</v>
      </c>
      <c r="M260" s="6">
        <v>4923372</v>
      </c>
      <c r="N260" s="6">
        <v>4923372</v>
      </c>
      <c r="O260" s="6">
        <v>4</v>
      </c>
      <c r="P260" s="6">
        <v>4744847</v>
      </c>
      <c r="Q260" s="6">
        <v>4931587</v>
      </c>
      <c r="R260" s="6">
        <v>52.23</v>
      </c>
      <c r="S260" s="6">
        <v>4744847</v>
      </c>
      <c r="T260" s="6">
        <v>4744847</v>
      </c>
      <c r="U260" s="6">
        <v>4568431.0999999996</v>
      </c>
      <c r="V260" s="6">
        <v>1</v>
      </c>
      <c r="W260" s="6">
        <v>1</v>
      </c>
      <c r="X260" s="6">
        <v>0</v>
      </c>
    </row>
    <row r="261" spans="1:24" x14ac:dyDescent="0.25">
      <c r="A261" s="6" t="s">
        <v>447</v>
      </c>
      <c r="B261" s="6" t="str">
        <f>VLOOKUP(A261,'[1]SBV Isolates'!$A$2:$B$367,2,FALSE)</f>
        <v>plate04</v>
      </c>
      <c r="C261" s="6">
        <v>4</v>
      </c>
      <c r="D261" s="6">
        <v>4</v>
      </c>
      <c r="E261" s="6">
        <v>3</v>
      </c>
      <c r="F261" s="6">
        <v>3</v>
      </c>
      <c r="G261" s="6">
        <v>2</v>
      </c>
      <c r="H261" s="6">
        <v>2</v>
      </c>
      <c r="I261" s="6">
        <v>4852578</v>
      </c>
      <c r="J261" s="6">
        <v>4852578</v>
      </c>
      <c r="K261" s="6">
        <v>4847992</v>
      </c>
      <c r="L261" s="6">
        <v>4847992</v>
      </c>
      <c r="M261" s="6">
        <v>4837644</v>
      </c>
      <c r="N261" s="6">
        <v>4837644</v>
      </c>
      <c r="O261" s="6">
        <v>4</v>
      </c>
      <c r="P261" s="6">
        <v>4743934</v>
      </c>
      <c r="Q261" s="6">
        <v>4852578</v>
      </c>
      <c r="R261" s="6">
        <v>52.26</v>
      </c>
      <c r="S261" s="6">
        <v>4743934</v>
      </c>
      <c r="T261" s="6">
        <v>4743934</v>
      </c>
      <c r="U261" s="6">
        <v>4639558.5</v>
      </c>
      <c r="V261" s="6">
        <v>1</v>
      </c>
      <c r="W261" s="6">
        <v>1</v>
      </c>
      <c r="X261" s="6">
        <v>0</v>
      </c>
    </row>
    <row r="262" spans="1:24" x14ac:dyDescent="0.25">
      <c r="A262" s="6" t="s">
        <v>448</v>
      </c>
      <c r="B262" s="6" t="str">
        <f>VLOOKUP(A262,'[1]SBV Isolates'!$A$2:$B$367,2,FALSE)</f>
        <v>plate04</v>
      </c>
      <c r="C262" s="6">
        <v>4</v>
      </c>
      <c r="D262" s="6">
        <v>4</v>
      </c>
      <c r="E262" s="6">
        <v>4</v>
      </c>
      <c r="F262" s="6">
        <v>3</v>
      </c>
      <c r="G262" s="6">
        <v>3</v>
      </c>
      <c r="H262" s="6">
        <v>2</v>
      </c>
      <c r="I262" s="6">
        <v>4921830</v>
      </c>
      <c r="J262" s="6">
        <v>4921830</v>
      </c>
      <c r="K262" s="6">
        <v>4921830</v>
      </c>
      <c r="L262" s="6">
        <v>4913762</v>
      </c>
      <c r="M262" s="6">
        <v>4913762</v>
      </c>
      <c r="N262" s="6">
        <v>4870849</v>
      </c>
      <c r="O262" s="6">
        <v>4</v>
      </c>
      <c r="P262" s="6">
        <v>4777137</v>
      </c>
      <c r="Q262" s="6">
        <v>4921830</v>
      </c>
      <c r="R262" s="6">
        <v>52.26</v>
      </c>
      <c r="S262" s="6">
        <v>4777137</v>
      </c>
      <c r="T262" s="6">
        <v>4777137</v>
      </c>
      <c r="U262" s="6">
        <v>4638869.4000000004</v>
      </c>
      <c r="V262" s="6">
        <v>1</v>
      </c>
      <c r="W262" s="6">
        <v>1</v>
      </c>
      <c r="X262" s="6">
        <v>0</v>
      </c>
    </row>
    <row r="263" spans="1:24" x14ac:dyDescent="0.25">
      <c r="A263" s="6" t="s">
        <v>454</v>
      </c>
      <c r="B263" s="6" t="str">
        <f>VLOOKUP(A263,'[1]SBV Isolates'!$A$2:$B$367,2,FALSE)</f>
        <v>plate04</v>
      </c>
      <c r="C263" s="6">
        <v>4</v>
      </c>
      <c r="D263" s="6">
        <v>4</v>
      </c>
      <c r="E263" s="6">
        <v>3</v>
      </c>
      <c r="F263" s="6">
        <v>3</v>
      </c>
      <c r="G263" s="6">
        <v>3</v>
      </c>
      <c r="H263" s="6">
        <v>2</v>
      </c>
      <c r="I263" s="6">
        <v>4876715</v>
      </c>
      <c r="J263" s="6">
        <v>4876715</v>
      </c>
      <c r="K263" s="6">
        <v>4872160</v>
      </c>
      <c r="L263" s="6">
        <v>4872160</v>
      </c>
      <c r="M263" s="6">
        <v>4872160</v>
      </c>
      <c r="N263" s="6">
        <v>4838602</v>
      </c>
      <c r="O263" s="6">
        <v>4</v>
      </c>
      <c r="P263" s="6">
        <v>4744883</v>
      </c>
      <c r="Q263" s="6">
        <v>4876715</v>
      </c>
      <c r="R263" s="6">
        <v>52.19</v>
      </c>
      <c r="S263" s="6">
        <v>4744883</v>
      </c>
      <c r="T263" s="6">
        <v>4744883</v>
      </c>
      <c r="U263" s="6">
        <v>4618651</v>
      </c>
      <c r="V263" s="6">
        <v>1</v>
      </c>
      <c r="W263" s="6">
        <v>1</v>
      </c>
      <c r="X263" s="6">
        <v>0</v>
      </c>
    </row>
    <row r="264" spans="1:24" x14ac:dyDescent="0.25">
      <c r="A264" s="6" t="s">
        <v>456</v>
      </c>
      <c r="B264" s="6" t="str">
        <f>VLOOKUP(A264,'[1]SBV Isolates'!$A$2:$B$367,2,FALSE)</f>
        <v>plate04</v>
      </c>
      <c r="C264" s="6">
        <v>4</v>
      </c>
      <c r="D264" s="6">
        <v>3</v>
      </c>
      <c r="E264" s="6">
        <v>2</v>
      </c>
      <c r="F264" s="6">
        <v>2</v>
      </c>
      <c r="G264" s="6">
        <v>2</v>
      </c>
      <c r="H264" s="6">
        <v>2</v>
      </c>
      <c r="I264" s="6">
        <v>4831608</v>
      </c>
      <c r="J264" s="6">
        <v>4830763</v>
      </c>
      <c r="K264" s="6">
        <v>4826172</v>
      </c>
      <c r="L264" s="6">
        <v>4826172</v>
      </c>
      <c r="M264" s="6">
        <v>4826172</v>
      </c>
      <c r="N264" s="6">
        <v>4826172</v>
      </c>
      <c r="O264" s="6">
        <v>4</v>
      </c>
      <c r="P264" s="6">
        <v>4732325</v>
      </c>
      <c r="Q264" s="6">
        <v>4831608</v>
      </c>
      <c r="R264" s="6">
        <v>52.29</v>
      </c>
      <c r="S264" s="6">
        <v>4732325</v>
      </c>
      <c r="T264" s="6">
        <v>4732325</v>
      </c>
      <c r="U264" s="6">
        <v>4636909.5</v>
      </c>
      <c r="V264" s="6">
        <v>1</v>
      </c>
      <c r="W264" s="6">
        <v>1</v>
      </c>
      <c r="X264" s="6">
        <v>0</v>
      </c>
    </row>
    <row r="265" spans="1:24" x14ac:dyDescent="0.25">
      <c r="A265" s="6" t="s">
        <v>459</v>
      </c>
      <c r="B265" s="6" t="str">
        <f>VLOOKUP(A265,'[1]SBV Isolates'!$A$2:$B$367,2,FALSE)</f>
        <v>plate04</v>
      </c>
      <c r="C265" s="6">
        <v>4</v>
      </c>
      <c r="D265" s="6">
        <v>4</v>
      </c>
      <c r="E265" s="6">
        <v>4</v>
      </c>
      <c r="F265" s="6">
        <v>3</v>
      </c>
      <c r="G265" s="6">
        <v>3</v>
      </c>
      <c r="H265" s="6">
        <v>2</v>
      </c>
      <c r="I265" s="6">
        <v>4889272</v>
      </c>
      <c r="J265" s="6">
        <v>4889272</v>
      </c>
      <c r="K265" s="6">
        <v>4889272</v>
      </c>
      <c r="L265" s="6">
        <v>4881476</v>
      </c>
      <c r="M265" s="6">
        <v>4881476</v>
      </c>
      <c r="N265" s="6">
        <v>4838566</v>
      </c>
      <c r="O265" s="6">
        <v>4</v>
      </c>
      <c r="P265" s="6">
        <v>4744868</v>
      </c>
      <c r="Q265" s="6">
        <v>4889272</v>
      </c>
      <c r="R265" s="6">
        <v>52.27</v>
      </c>
      <c r="S265" s="6">
        <v>4744868</v>
      </c>
      <c r="T265" s="6">
        <v>4744868</v>
      </c>
      <c r="U265" s="6">
        <v>4606913.5999999996</v>
      </c>
      <c r="V265" s="6">
        <v>1</v>
      </c>
      <c r="W265" s="6">
        <v>1</v>
      </c>
      <c r="X265" s="6">
        <v>0</v>
      </c>
    </row>
    <row r="266" spans="1:24" x14ac:dyDescent="0.25">
      <c r="A266" s="6" t="s">
        <v>467</v>
      </c>
      <c r="B266" s="6" t="str">
        <f>VLOOKUP(A266,'[1]SBV Isolates'!$A$2:$B$367,2,FALSE)</f>
        <v>plate04</v>
      </c>
      <c r="C266" s="6">
        <v>4</v>
      </c>
      <c r="D266" s="6">
        <v>4</v>
      </c>
      <c r="E266" s="6">
        <v>3</v>
      </c>
      <c r="F266" s="6">
        <v>3</v>
      </c>
      <c r="G266" s="6">
        <v>3</v>
      </c>
      <c r="H266" s="6">
        <v>2</v>
      </c>
      <c r="I266" s="6">
        <v>4875634</v>
      </c>
      <c r="J266" s="6">
        <v>4875634</v>
      </c>
      <c r="K266" s="6">
        <v>4871068</v>
      </c>
      <c r="L266" s="6">
        <v>4871068</v>
      </c>
      <c r="M266" s="6">
        <v>4871068</v>
      </c>
      <c r="N266" s="6">
        <v>4837953</v>
      </c>
      <c r="O266" s="6">
        <v>4</v>
      </c>
      <c r="P266" s="6">
        <v>4744891</v>
      </c>
      <c r="Q266" s="6">
        <v>4875634</v>
      </c>
      <c r="R266" s="6">
        <v>52.27</v>
      </c>
      <c r="S266" s="6">
        <v>4744891</v>
      </c>
      <c r="T266" s="6">
        <v>4744891</v>
      </c>
      <c r="U266" s="6">
        <v>4619659.4000000004</v>
      </c>
      <c r="V266" s="6">
        <v>1</v>
      </c>
      <c r="W266" s="6">
        <v>1</v>
      </c>
      <c r="X266" s="6">
        <v>0</v>
      </c>
    </row>
    <row r="267" spans="1:24" x14ac:dyDescent="0.25">
      <c r="A267" s="6" t="s">
        <v>474</v>
      </c>
      <c r="B267" s="6" t="str">
        <f>VLOOKUP(A267,'[1]SBV Isolates'!$A$2:$B$367,2,FALSE)</f>
        <v>plate04</v>
      </c>
      <c r="C267" s="6">
        <v>4</v>
      </c>
      <c r="D267" s="6">
        <v>4</v>
      </c>
      <c r="E267" s="6">
        <v>4</v>
      </c>
      <c r="F267" s="6">
        <v>3</v>
      </c>
      <c r="G267" s="6">
        <v>3</v>
      </c>
      <c r="H267" s="6">
        <v>3</v>
      </c>
      <c r="I267" s="6">
        <v>4852358</v>
      </c>
      <c r="J267" s="6">
        <v>4852358</v>
      </c>
      <c r="K267" s="6">
        <v>4852358</v>
      </c>
      <c r="L267" s="6">
        <v>4843990</v>
      </c>
      <c r="M267" s="6">
        <v>4843990</v>
      </c>
      <c r="N267" s="6">
        <v>4843990</v>
      </c>
      <c r="O267" s="6">
        <v>4</v>
      </c>
      <c r="P267" s="6">
        <v>4595205</v>
      </c>
      <c r="Q267" s="6">
        <v>4852358</v>
      </c>
      <c r="R267" s="6">
        <v>52.27</v>
      </c>
      <c r="S267" s="6">
        <v>4595205</v>
      </c>
      <c r="T267" s="6">
        <v>4595205</v>
      </c>
      <c r="U267" s="6">
        <v>4358460.0999999996</v>
      </c>
      <c r="V267" s="6">
        <v>1</v>
      </c>
      <c r="W267" s="6">
        <v>1</v>
      </c>
      <c r="X267" s="6">
        <v>0</v>
      </c>
    </row>
    <row r="268" spans="1:24" x14ac:dyDescent="0.25">
      <c r="A268" s="6" t="s">
        <v>478</v>
      </c>
      <c r="B268" s="6" t="str">
        <f>VLOOKUP(A268,'[1]SBV Isolates'!$A$2:$B$367,2,FALSE)</f>
        <v>plate05</v>
      </c>
      <c r="C268" s="6">
        <v>4</v>
      </c>
      <c r="D268" s="6">
        <v>4</v>
      </c>
      <c r="E268" s="6">
        <v>2</v>
      </c>
      <c r="F268" s="6">
        <v>2</v>
      </c>
      <c r="G268" s="6">
        <v>2</v>
      </c>
      <c r="H268" s="6">
        <v>2</v>
      </c>
      <c r="I268" s="6">
        <v>4844391</v>
      </c>
      <c r="J268" s="6">
        <v>4844391</v>
      </c>
      <c r="K268" s="6">
        <v>4838573</v>
      </c>
      <c r="L268" s="6">
        <v>4838573</v>
      </c>
      <c r="M268" s="6">
        <v>4838573</v>
      </c>
      <c r="N268" s="6">
        <v>4838573</v>
      </c>
      <c r="O268" s="6">
        <v>4</v>
      </c>
      <c r="P268" s="6">
        <v>4744875</v>
      </c>
      <c r="Q268" s="6">
        <v>4844391</v>
      </c>
      <c r="R268" s="6">
        <v>52.27</v>
      </c>
      <c r="S268" s="6">
        <v>4744875</v>
      </c>
      <c r="T268" s="6">
        <v>4744875</v>
      </c>
      <c r="U268" s="6">
        <v>4649219.2</v>
      </c>
      <c r="V268" s="6">
        <v>1</v>
      </c>
      <c r="W268" s="6">
        <v>1</v>
      </c>
      <c r="X268" s="6">
        <v>0</v>
      </c>
    </row>
    <row r="269" spans="1:24" x14ac:dyDescent="0.25">
      <c r="A269" s="6" t="s">
        <v>119</v>
      </c>
      <c r="B269" s="6" t="str">
        <f>VLOOKUP(A269,'[1]SBV Isolates'!$A$2:$B$367,2,FALSE)</f>
        <v>plate01</v>
      </c>
      <c r="C269" s="6">
        <v>3</v>
      </c>
      <c r="D269" s="6">
        <v>3</v>
      </c>
      <c r="E269" s="6">
        <v>2</v>
      </c>
      <c r="F269" s="6">
        <v>2</v>
      </c>
      <c r="G269" s="6">
        <v>2</v>
      </c>
      <c r="H269" s="6">
        <v>2</v>
      </c>
      <c r="I269" s="6">
        <v>4808801</v>
      </c>
      <c r="J269" s="6">
        <v>4808801</v>
      </c>
      <c r="K269" s="6">
        <v>4804216</v>
      </c>
      <c r="L269" s="6">
        <v>4804216</v>
      </c>
      <c r="M269" s="6">
        <v>4804216</v>
      </c>
      <c r="N269" s="6">
        <v>4804216</v>
      </c>
      <c r="O269" s="6">
        <v>3</v>
      </c>
      <c r="P269" s="6">
        <v>4710514</v>
      </c>
      <c r="Q269" s="6">
        <v>4808801</v>
      </c>
      <c r="R269" s="6">
        <v>52.25</v>
      </c>
      <c r="S269" s="6">
        <v>4710514</v>
      </c>
      <c r="T269" s="6">
        <v>4710514</v>
      </c>
      <c r="U269" s="6">
        <v>4616066.0999999996</v>
      </c>
      <c r="V269" s="6">
        <v>1</v>
      </c>
      <c r="W269" s="6">
        <v>1</v>
      </c>
      <c r="X269" s="6">
        <v>0</v>
      </c>
    </row>
    <row r="270" spans="1:24" x14ac:dyDescent="0.25">
      <c r="A270" s="6" t="s">
        <v>129</v>
      </c>
      <c r="B270" s="6" t="str">
        <f>VLOOKUP(A270,'[1]SBV Isolates'!$A$2:$B$367,2,FALSE)</f>
        <v>plate01</v>
      </c>
      <c r="C270" s="6">
        <v>3</v>
      </c>
      <c r="D270" s="6">
        <v>3</v>
      </c>
      <c r="E270" s="6">
        <v>3</v>
      </c>
      <c r="F270" s="6">
        <v>3</v>
      </c>
      <c r="G270" s="6">
        <v>3</v>
      </c>
      <c r="H270" s="6">
        <v>1</v>
      </c>
      <c r="I270" s="6">
        <v>4798112</v>
      </c>
      <c r="J270" s="6">
        <v>4798112</v>
      </c>
      <c r="K270" s="6">
        <v>4798112</v>
      </c>
      <c r="L270" s="6">
        <v>4798112</v>
      </c>
      <c r="M270" s="6">
        <v>4798112</v>
      </c>
      <c r="N270" s="6">
        <v>4742932</v>
      </c>
      <c r="O270" s="6">
        <v>3</v>
      </c>
      <c r="P270" s="6">
        <v>4742932</v>
      </c>
      <c r="Q270" s="6">
        <v>4798112</v>
      </c>
      <c r="R270" s="6">
        <v>52.23</v>
      </c>
      <c r="S270" s="6">
        <v>4742932</v>
      </c>
      <c r="T270" s="6">
        <v>4742932</v>
      </c>
      <c r="U270" s="6">
        <v>4688704.0999999996</v>
      </c>
      <c r="V270" s="6">
        <v>1</v>
      </c>
      <c r="W270" s="6">
        <v>1</v>
      </c>
      <c r="X270" s="6">
        <v>0</v>
      </c>
    </row>
    <row r="271" spans="1:24" x14ac:dyDescent="0.25">
      <c r="A271" s="6" t="s">
        <v>131</v>
      </c>
      <c r="B271" s="6" t="str">
        <f>VLOOKUP(A271,'[1]SBV Isolates'!$A$2:$B$367,2,FALSE)</f>
        <v>plate01</v>
      </c>
      <c r="C271" s="6">
        <v>3</v>
      </c>
      <c r="D271" s="6">
        <v>3</v>
      </c>
      <c r="E271" s="6">
        <v>3</v>
      </c>
      <c r="F271" s="6">
        <v>3</v>
      </c>
      <c r="G271" s="6">
        <v>3</v>
      </c>
      <c r="H271" s="6">
        <v>3</v>
      </c>
      <c r="I271" s="6">
        <v>4933656</v>
      </c>
      <c r="J271" s="6">
        <v>4933656</v>
      </c>
      <c r="K271" s="6">
        <v>4933656</v>
      </c>
      <c r="L271" s="6">
        <v>4933656</v>
      </c>
      <c r="M271" s="6">
        <v>4933656</v>
      </c>
      <c r="N271" s="6">
        <v>4933656</v>
      </c>
      <c r="O271" s="6">
        <v>3</v>
      </c>
      <c r="P271" s="6">
        <v>3503604</v>
      </c>
      <c r="Q271" s="6">
        <v>4933656</v>
      </c>
      <c r="R271" s="6">
        <v>52.09</v>
      </c>
      <c r="S271" s="6">
        <v>3503604</v>
      </c>
      <c r="T271" s="6">
        <v>973163</v>
      </c>
      <c r="U271" s="6">
        <v>2722329</v>
      </c>
      <c r="V271" s="6">
        <v>1</v>
      </c>
      <c r="W271" s="6">
        <v>2</v>
      </c>
      <c r="X271" s="6">
        <v>0</v>
      </c>
    </row>
    <row r="272" spans="1:24" x14ac:dyDescent="0.25">
      <c r="A272" s="6" t="s">
        <v>147</v>
      </c>
      <c r="B272" s="6" t="str">
        <f>VLOOKUP(A272,'[1]SBV Isolates'!$A$2:$B$367,2,FALSE)</f>
        <v>plate01</v>
      </c>
      <c r="C272" s="6">
        <v>3</v>
      </c>
      <c r="D272" s="6">
        <v>3</v>
      </c>
      <c r="E272" s="6">
        <v>2</v>
      </c>
      <c r="F272" s="6">
        <v>2</v>
      </c>
      <c r="G272" s="6">
        <v>2</v>
      </c>
      <c r="H272" s="6">
        <v>2</v>
      </c>
      <c r="I272" s="6">
        <v>4843244</v>
      </c>
      <c r="J272" s="6">
        <v>4843244</v>
      </c>
      <c r="K272" s="6">
        <v>4838678</v>
      </c>
      <c r="L272" s="6">
        <v>4838678</v>
      </c>
      <c r="M272" s="6">
        <v>4838678</v>
      </c>
      <c r="N272" s="6">
        <v>4838678</v>
      </c>
      <c r="O272" s="6">
        <v>3</v>
      </c>
      <c r="P272" s="6">
        <v>4744968</v>
      </c>
      <c r="Q272" s="6">
        <v>4843244</v>
      </c>
      <c r="R272" s="6">
        <v>52.27</v>
      </c>
      <c r="S272" s="6">
        <v>4744968</v>
      </c>
      <c r="T272" s="6">
        <v>4744968</v>
      </c>
      <c r="U272" s="6">
        <v>4650503.5999999996</v>
      </c>
      <c r="V272" s="6">
        <v>1</v>
      </c>
      <c r="W272" s="6">
        <v>1</v>
      </c>
      <c r="X272" s="6">
        <v>0</v>
      </c>
    </row>
    <row r="273" spans="1:24" x14ac:dyDescent="0.25">
      <c r="A273" s="6" t="s">
        <v>152</v>
      </c>
      <c r="B273" s="6" t="str">
        <f>VLOOKUP(A273,'[1]SBV Isolates'!$A$2:$B$367,2,FALSE)</f>
        <v>plate01</v>
      </c>
      <c r="C273" s="6">
        <v>3</v>
      </c>
      <c r="D273" s="6">
        <v>3</v>
      </c>
      <c r="E273" s="6">
        <v>2</v>
      </c>
      <c r="F273" s="6">
        <v>2</v>
      </c>
      <c r="G273" s="6">
        <v>2</v>
      </c>
      <c r="H273" s="6">
        <v>2</v>
      </c>
      <c r="I273" s="6">
        <v>4843156</v>
      </c>
      <c r="J273" s="6">
        <v>4843156</v>
      </c>
      <c r="K273" s="6">
        <v>4838566</v>
      </c>
      <c r="L273" s="6">
        <v>4838566</v>
      </c>
      <c r="M273" s="6">
        <v>4838566</v>
      </c>
      <c r="N273" s="6">
        <v>4838566</v>
      </c>
      <c r="O273" s="6">
        <v>3</v>
      </c>
      <c r="P273" s="6">
        <v>4744865</v>
      </c>
      <c r="Q273" s="6">
        <v>4843156</v>
      </c>
      <c r="R273" s="6">
        <v>52.27</v>
      </c>
      <c r="S273" s="6">
        <v>4744865</v>
      </c>
      <c r="T273" s="6">
        <v>4744865</v>
      </c>
      <c r="U273" s="6">
        <v>4650386</v>
      </c>
      <c r="V273" s="6">
        <v>1</v>
      </c>
      <c r="W273" s="6">
        <v>1</v>
      </c>
      <c r="X273" s="6">
        <v>0</v>
      </c>
    </row>
    <row r="274" spans="1:24" x14ac:dyDescent="0.25">
      <c r="A274" s="6" t="s">
        <v>156</v>
      </c>
      <c r="B274" s="6" t="str">
        <f>VLOOKUP(A274,'[1]SBV Isolates'!$A$2:$B$367,2,FALSE)</f>
        <v>plate01</v>
      </c>
      <c r="C274" s="6">
        <v>3</v>
      </c>
      <c r="D274" s="6">
        <v>3</v>
      </c>
      <c r="E274" s="6">
        <v>3</v>
      </c>
      <c r="F274" s="6">
        <v>2</v>
      </c>
      <c r="G274" s="6">
        <v>2</v>
      </c>
      <c r="H274" s="6">
        <v>2</v>
      </c>
      <c r="I274" s="6">
        <v>4847163</v>
      </c>
      <c r="J274" s="6">
        <v>4847163</v>
      </c>
      <c r="K274" s="6">
        <v>4847163</v>
      </c>
      <c r="L274" s="6">
        <v>4838580</v>
      </c>
      <c r="M274" s="6">
        <v>4838580</v>
      </c>
      <c r="N274" s="6">
        <v>4838580</v>
      </c>
      <c r="O274" s="6">
        <v>3</v>
      </c>
      <c r="P274" s="6">
        <v>4744877</v>
      </c>
      <c r="Q274" s="6">
        <v>4847163</v>
      </c>
      <c r="R274" s="6">
        <v>52.27</v>
      </c>
      <c r="S274" s="6">
        <v>4744877</v>
      </c>
      <c r="T274" s="6">
        <v>4744877</v>
      </c>
      <c r="U274" s="6">
        <v>4646576.0999999996</v>
      </c>
      <c r="V274" s="6">
        <v>1</v>
      </c>
      <c r="W274" s="6">
        <v>1</v>
      </c>
      <c r="X274" s="6">
        <v>0</v>
      </c>
    </row>
    <row r="275" spans="1:24" x14ac:dyDescent="0.25">
      <c r="A275" s="6" t="s">
        <v>189</v>
      </c>
      <c r="B275" s="6" t="str">
        <f>VLOOKUP(A275,'[1]SBV Isolates'!$A$2:$B$367,2,FALSE)</f>
        <v>plate02</v>
      </c>
      <c r="C275" s="6">
        <v>3</v>
      </c>
      <c r="D275" s="6">
        <v>3</v>
      </c>
      <c r="E275" s="6">
        <v>2</v>
      </c>
      <c r="F275" s="6">
        <v>2</v>
      </c>
      <c r="G275" s="6">
        <v>2</v>
      </c>
      <c r="H275" s="6">
        <v>2</v>
      </c>
      <c r="I275" s="6">
        <v>4887202</v>
      </c>
      <c r="J275" s="6">
        <v>4887202</v>
      </c>
      <c r="K275" s="6">
        <v>4882621</v>
      </c>
      <c r="L275" s="6">
        <v>4882621</v>
      </c>
      <c r="M275" s="6">
        <v>4882621</v>
      </c>
      <c r="N275" s="6">
        <v>4882621</v>
      </c>
      <c r="O275" s="6">
        <v>3</v>
      </c>
      <c r="P275" s="6">
        <v>4788919</v>
      </c>
      <c r="Q275" s="6">
        <v>4887202</v>
      </c>
      <c r="R275" s="6">
        <v>52.25</v>
      </c>
      <c r="S275" s="6">
        <v>4788919</v>
      </c>
      <c r="T275" s="6">
        <v>4788919</v>
      </c>
      <c r="U275" s="6">
        <v>4694413.3</v>
      </c>
      <c r="V275" s="6">
        <v>1</v>
      </c>
      <c r="W275" s="6">
        <v>1</v>
      </c>
      <c r="X275" s="6">
        <v>0</v>
      </c>
    </row>
    <row r="276" spans="1:24" x14ac:dyDescent="0.25">
      <c r="A276" s="6" t="s">
        <v>199</v>
      </c>
      <c r="B276" s="6" t="str">
        <f>VLOOKUP(A276,'[1]SBV Isolates'!$A$2:$B$367,2,FALSE)</f>
        <v>plate02</v>
      </c>
      <c r="C276" s="6">
        <v>3</v>
      </c>
      <c r="D276" s="6">
        <v>3</v>
      </c>
      <c r="E276" s="6">
        <v>3</v>
      </c>
      <c r="F276" s="6">
        <v>3</v>
      </c>
      <c r="G276" s="6">
        <v>3</v>
      </c>
      <c r="H276" s="6">
        <v>2</v>
      </c>
      <c r="I276" s="6">
        <v>4935434</v>
      </c>
      <c r="J276" s="6">
        <v>4935434</v>
      </c>
      <c r="K276" s="6">
        <v>4935434</v>
      </c>
      <c r="L276" s="6">
        <v>4935434</v>
      </c>
      <c r="M276" s="6">
        <v>4935434</v>
      </c>
      <c r="N276" s="6">
        <v>4902841</v>
      </c>
      <c r="O276" s="6">
        <v>3</v>
      </c>
      <c r="P276" s="6">
        <v>4809113</v>
      </c>
      <c r="Q276" s="6">
        <v>4935434</v>
      </c>
      <c r="R276" s="6">
        <v>52.14</v>
      </c>
      <c r="S276" s="6">
        <v>4809113</v>
      </c>
      <c r="T276" s="6">
        <v>4809113</v>
      </c>
      <c r="U276" s="6">
        <v>4688020.4000000004</v>
      </c>
      <c r="V276" s="6">
        <v>1</v>
      </c>
      <c r="W276" s="6">
        <v>1</v>
      </c>
      <c r="X276" s="6">
        <v>0</v>
      </c>
    </row>
    <row r="277" spans="1:24" x14ac:dyDescent="0.25">
      <c r="A277" s="6" t="s">
        <v>203</v>
      </c>
      <c r="B277" s="6" t="str">
        <f>VLOOKUP(A277,'[1]SBV Isolates'!$A$2:$B$367,2,FALSE)</f>
        <v>plate02</v>
      </c>
      <c r="C277" s="6">
        <v>3</v>
      </c>
      <c r="D277" s="6">
        <v>3</v>
      </c>
      <c r="E277" s="6">
        <v>3</v>
      </c>
      <c r="F277" s="6">
        <v>3</v>
      </c>
      <c r="G277" s="6">
        <v>3</v>
      </c>
      <c r="H277" s="6">
        <v>3</v>
      </c>
      <c r="I277" s="6">
        <v>4936607</v>
      </c>
      <c r="J277" s="6">
        <v>4936607</v>
      </c>
      <c r="K277" s="6">
        <v>4936607</v>
      </c>
      <c r="L277" s="6">
        <v>4936607</v>
      </c>
      <c r="M277" s="6">
        <v>4936607</v>
      </c>
      <c r="N277" s="6">
        <v>4936607</v>
      </c>
      <c r="O277" s="6">
        <v>3</v>
      </c>
      <c r="P277" s="6">
        <v>4744888</v>
      </c>
      <c r="Q277" s="6">
        <v>4936607</v>
      </c>
      <c r="R277" s="6">
        <v>52.2</v>
      </c>
      <c r="S277" s="6">
        <v>4744888</v>
      </c>
      <c r="T277" s="6">
        <v>4744888</v>
      </c>
      <c r="U277" s="6">
        <v>4564339.3</v>
      </c>
      <c r="V277" s="6">
        <v>1</v>
      </c>
      <c r="W277" s="6">
        <v>1</v>
      </c>
      <c r="X277" s="6">
        <v>0</v>
      </c>
    </row>
    <row r="278" spans="1:24" x14ac:dyDescent="0.25">
      <c r="A278" s="6" t="s">
        <v>208</v>
      </c>
      <c r="B278" s="6" t="str">
        <f>VLOOKUP(A278,'[1]SBV Isolates'!$A$2:$B$367,2,FALSE)</f>
        <v>plate02</v>
      </c>
      <c r="C278" s="6">
        <v>3</v>
      </c>
      <c r="D278" s="6">
        <v>3</v>
      </c>
      <c r="E278" s="6">
        <v>2</v>
      </c>
      <c r="F278" s="6">
        <v>2</v>
      </c>
      <c r="G278" s="6">
        <v>2</v>
      </c>
      <c r="H278" s="6">
        <v>2</v>
      </c>
      <c r="I278" s="6">
        <v>4843153</v>
      </c>
      <c r="J278" s="6">
        <v>4843153</v>
      </c>
      <c r="K278" s="6">
        <v>4838582</v>
      </c>
      <c r="L278" s="6">
        <v>4838582</v>
      </c>
      <c r="M278" s="6">
        <v>4838582</v>
      </c>
      <c r="N278" s="6">
        <v>4838582</v>
      </c>
      <c r="O278" s="6">
        <v>3</v>
      </c>
      <c r="P278" s="6">
        <v>4744885</v>
      </c>
      <c r="Q278" s="6">
        <v>4843153</v>
      </c>
      <c r="R278" s="6">
        <v>52.27</v>
      </c>
      <c r="S278" s="6">
        <v>4744885</v>
      </c>
      <c r="T278" s="6">
        <v>4744885</v>
      </c>
      <c r="U278" s="6">
        <v>4650427.9000000004</v>
      </c>
      <c r="V278" s="6">
        <v>1</v>
      </c>
      <c r="W278" s="6">
        <v>1</v>
      </c>
      <c r="X278" s="6">
        <v>0</v>
      </c>
    </row>
    <row r="279" spans="1:24" x14ac:dyDescent="0.25">
      <c r="A279" s="6" t="s">
        <v>209</v>
      </c>
      <c r="B279" s="6" t="str">
        <f>VLOOKUP(A279,'[1]SBV Isolates'!$A$2:$B$367,2,FALSE)</f>
        <v>plate02</v>
      </c>
      <c r="C279" s="6">
        <v>3</v>
      </c>
      <c r="D279" s="6">
        <v>3</v>
      </c>
      <c r="E279" s="6">
        <v>2</v>
      </c>
      <c r="F279" s="6">
        <v>2</v>
      </c>
      <c r="G279" s="6">
        <v>2</v>
      </c>
      <c r="H279" s="6">
        <v>2</v>
      </c>
      <c r="I279" s="6">
        <v>4840602</v>
      </c>
      <c r="J279" s="6">
        <v>4840602</v>
      </c>
      <c r="K279" s="6">
        <v>4836026</v>
      </c>
      <c r="L279" s="6">
        <v>4836026</v>
      </c>
      <c r="M279" s="6">
        <v>4836026</v>
      </c>
      <c r="N279" s="6">
        <v>4836026</v>
      </c>
      <c r="O279" s="6">
        <v>3</v>
      </c>
      <c r="P279" s="6">
        <v>4742320</v>
      </c>
      <c r="Q279" s="6">
        <v>4840602</v>
      </c>
      <c r="R279" s="6">
        <v>52.27</v>
      </c>
      <c r="S279" s="6">
        <v>4742320</v>
      </c>
      <c r="T279" s="6">
        <v>4742320</v>
      </c>
      <c r="U279" s="6">
        <v>4647851.8</v>
      </c>
      <c r="V279" s="6">
        <v>1</v>
      </c>
      <c r="W279" s="6">
        <v>1</v>
      </c>
      <c r="X279" s="6">
        <v>0</v>
      </c>
    </row>
    <row r="280" spans="1:24" x14ac:dyDescent="0.25">
      <c r="A280" s="6" t="s">
        <v>265</v>
      </c>
      <c r="B280" s="6" t="str">
        <f>VLOOKUP(A280,'[1]SBV Isolates'!$A$2:$B$367,2,FALSE)</f>
        <v>plate02</v>
      </c>
      <c r="C280" s="6">
        <v>3</v>
      </c>
      <c r="D280" s="6">
        <v>3</v>
      </c>
      <c r="E280" s="6">
        <v>2</v>
      </c>
      <c r="F280" s="6">
        <v>2</v>
      </c>
      <c r="G280" s="6">
        <v>2</v>
      </c>
      <c r="H280" s="6">
        <v>2</v>
      </c>
      <c r="I280" s="6">
        <v>4887197</v>
      </c>
      <c r="J280" s="6">
        <v>4887197</v>
      </c>
      <c r="K280" s="6">
        <v>4882617</v>
      </c>
      <c r="L280" s="6">
        <v>4882617</v>
      </c>
      <c r="M280" s="6">
        <v>4882617</v>
      </c>
      <c r="N280" s="6">
        <v>4882617</v>
      </c>
      <c r="O280" s="6">
        <v>3</v>
      </c>
      <c r="P280" s="6">
        <v>4788931</v>
      </c>
      <c r="Q280" s="6">
        <v>4887197</v>
      </c>
      <c r="R280" s="6">
        <v>52.25</v>
      </c>
      <c r="S280" s="6">
        <v>4788931</v>
      </c>
      <c r="T280" s="6">
        <v>4788931</v>
      </c>
      <c r="U280" s="6">
        <v>4694441</v>
      </c>
      <c r="V280" s="6">
        <v>1</v>
      </c>
      <c r="W280" s="6">
        <v>1</v>
      </c>
      <c r="X280" s="6">
        <v>0</v>
      </c>
    </row>
    <row r="281" spans="1:24" x14ac:dyDescent="0.25">
      <c r="A281" s="6" t="s">
        <v>271</v>
      </c>
      <c r="B281" s="6" t="str">
        <f>VLOOKUP(A281,'[1]SBV Isolates'!$A$2:$B$367,2,FALSE)</f>
        <v>plate02</v>
      </c>
      <c r="C281" s="6">
        <v>3</v>
      </c>
      <c r="D281" s="6">
        <v>3</v>
      </c>
      <c r="E281" s="6">
        <v>3</v>
      </c>
      <c r="F281" s="6">
        <v>2</v>
      </c>
      <c r="G281" s="6">
        <v>2</v>
      </c>
      <c r="H281" s="6">
        <v>2</v>
      </c>
      <c r="I281" s="6">
        <v>4890812</v>
      </c>
      <c r="J281" s="6">
        <v>4890812</v>
      </c>
      <c r="K281" s="6">
        <v>4890812</v>
      </c>
      <c r="L281" s="6">
        <v>4882610</v>
      </c>
      <c r="M281" s="6">
        <v>4882610</v>
      </c>
      <c r="N281" s="6">
        <v>4882610</v>
      </c>
      <c r="O281" s="6">
        <v>3</v>
      </c>
      <c r="P281" s="6">
        <v>4788904</v>
      </c>
      <c r="Q281" s="6">
        <v>4890812</v>
      </c>
      <c r="R281" s="6">
        <v>52.25</v>
      </c>
      <c r="S281" s="6">
        <v>4788904</v>
      </c>
      <c r="T281" s="6">
        <v>4788904</v>
      </c>
      <c r="U281" s="6">
        <v>4690928.5</v>
      </c>
      <c r="V281" s="6">
        <v>1</v>
      </c>
      <c r="W281" s="6">
        <v>1</v>
      </c>
      <c r="X281" s="6">
        <v>0</v>
      </c>
    </row>
    <row r="282" spans="1:24" x14ac:dyDescent="0.25">
      <c r="A282" s="6" t="s">
        <v>292</v>
      </c>
      <c r="B282" s="6" t="str">
        <f>VLOOKUP(A282,'[1]SBV Isolates'!$A$2:$B$367,2,FALSE)</f>
        <v>plate03</v>
      </c>
      <c r="C282" s="6">
        <v>3</v>
      </c>
      <c r="D282" s="6">
        <v>3</v>
      </c>
      <c r="E282" s="6">
        <v>3</v>
      </c>
      <c r="F282" s="6">
        <v>2</v>
      </c>
      <c r="G282" s="6">
        <v>2</v>
      </c>
      <c r="H282" s="6">
        <v>2</v>
      </c>
      <c r="I282" s="6">
        <v>4846801</v>
      </c>
      <c r="J282" s="6">
        <v>4846801</v>
      </c>
      <c r="K282" s="6">
        <v>4846801</v>
      </c>
      <c r="L282" s="6">
        <v>4838123</v>
      </c>
      <c r="M282" s="6">
        <v>4838123</v>
      </c>
      <c r="N282" s="6">
        <v>4838123</v>
      </c>
      <c r="O282" s="6">
        <v>3</v>
      </c>
      <c r="P282" s="6">
        <v>4744416</v>
      </c>
      <c r="Q282" s="6">
        <v>4846801</v>
      </c>
      <c r="R282" s="6">
        <v>52.27</v>
      </c>
      <c r="S282" s="6">
        <v>4744416</v>
      </c>
      <c r="T282" s="6">
        <v>4744416</v>
      </c>
      <c r="U282" s="6">
        <v>4646021.0999999996</v>
      </c>
      <c r="V282" s="6">
        <v>1</v>
      </c>
      <c r="W282" s="6">
        <v>1</v>
      </c>
      <c r="X282" s="6">
        <v>0</v>
      </c>
    </row>
    <row r="283" spans="1:24" x14ac:dyDescent="0.25">
      <c r="A283" s="6" t="s">
        <v>294</v>
      </c>
      <c r="B283" s="6" t="str">
        <f>VLOOKUP(A283,'[1]SBV Isolates'!$A$2:$B$367,2,FALSE)</f>
        <v>plate03</v>
      </c>
      <c r="C283" s="6">
        <v>3</v>
      </c>
      <c r="D283" s="6">
        <v>3</v>
      </c>
      <c r="E283" s="6">
        <v>3</v>
      </c>
      <c r="F283" s="6">
        <v>2</v>
      </c>
      <c r="G283" s="6">
        <v>2</v>
      </c>
      <c r="H283" s="6">
        <v>2</v>
      </c>
      <c r="I283" s="6">
        <v>4846696</v>
      </c>
      <c r="J283" s="6">
        <v>4846696</v>
      </c>
      <c r="K283" s="6">
        <v>4846696</v>
      </c>
      <c r="L283" s="6">
        <v>4838594</v>
      </c>
      <c r="M283" s="6">
        <v>4838594</v>
      </c>
      <c r="N283" s="6">
        <v>4838594</v>
      </c>
      <c r="O283" s="6">
        <v>3</v>
      </c>
      <c r="P283" s="6">
        <v>4744881</v>
      </c>
      <c r="Q283" s="6">
        <v>4846696</v>
      </c>
      <c r="R283" s="6">
        <v>52.27</v>
      </c>
      <c r="S283" s="6">
        <v>4744881</v>
      </c>
      <c r="T283" s="6">
        <v>4744881</v>
      </c>
      <c r="U283" s="6">
        <v>4647030.4000000004</v>
      </c>
      <c r="V283" s="6">
        <v>1</v>
      </c>
      <c r="W283" s="6">
        <v>1</v>
      </c>
      <c r="X283" s="6">
        <v>0</v>
      </c>
    </row>
    <row r="284" spans="1:24" x14ac:dyDescent="0.25">
      <c r="A284" s="6" t="s">
        <v>295</v>
      </c>
      <c r="B284" s="6" t="str">
        <f>VLOOKUP(A284,'[1]SBV Isolates'!$A$2:$B$367,2,FALSE)</f>
        <v>plate03</v>
      </c>
      <c r="C284" s="6">
        <v>3</v>
      </c>
      <c r="D284" s="6">
        <v>3</v>
      </c>
      <c r="E284" s="6">
        <v>2</v>
      </c>
      <c r="F284" s="6">
        <v>2</v>
      </c>
      <c r="G284" s="6">
        <v>2</v>
      </c>
      <c r="H284" s="6">
        <v>2</v>
      </c>
      <c r="I284" s="6">
        <v>4843155</v>
      </c>
      <c r="J284" s="6">
        <v>4843155</v>
      </c>
      <c r="K284" s="6">
        <v>4838574</v>
      </c>
      <c r="L284" s="6">
        <v>4838574</v>
      </c>
      <c r="M284" s="6">
        <v>4838574</v>
      </c>
      <c r="N284" s="6">
        <v>4838574</v>
      </c>
      <c r="O284" s="6">
        <v>3</v>
      </c>
      <c r="P284" s="6">
        <v>4744865</v>
      </c>
      <c r="Q284" s="6">
        <v>4843155</v>
      </c>
      <c r="R284" s="6">
        <v>52.27</v>
      </c>
      <c r="S284" s="6">
        <v>4744865</v>
      </c>
      <c r="T284" s="6">
        <v>4744865</v>
      </c>
      <c r="U284" s="6">
        <v>4650387.2</v>
      </c>
      <c r="V284" s="6">
        <v>1</v>
      </c>
      <c r="W284" s="6">
        <v>1</v>
      </c>
      <c r="X284" s="6">
        <v>0</v>
      </c>
    </row>
    <row r="285" spans="1:24" x14ac:dyDescent="0.25">
      <c r="A285" s="6" t="s">
        <v>299</v>
      </c>
      <c r="B285" s="6" t="str">
        <f>VLOOKUP(A285,'[1]SBV Isolates'!$A$2:$B$367,2,FALSE)</f>
        <v>plate03</v>
      </c>
      <c r="C285" s="6">
        <v>3</v>
      </c>
      <c r="D285" s="6">
        <v>3</v>
      </c>
      <c r="E285" s="6">
        <v>3</v>
      </c>
      <c r="F285" s="6">
        <v>2</v>
      </c>
      <c r="G285" s="6">
        <v>2</v>
      </c>
      <c r="H285" s="6">
        <v>2</v>
      </c>
      <c r="I285" s="6">
        <v>4846872</v>
      </c>
      <c r="J285" s="6">
        <v>4846872</v>
      </c>
      <c r="K285" s="6">
        <v>4846872</v>
      </c>
      <c r="L285" s="6">
        <v>4838600</v>
      </c>
      <c r="M285" s="6">
        <v>4838600</v>
      </c>
      <c r="N285" s="6">
        <v>4838600</v>
      </c>
      <c r="O285" s="6">
        <v>3</v>
      </c>
      <c r="P285" s="6">
        <v>4744886</v>
      </c>
      <c r="Q285" s="6">
        <v>4846872</v>
      </c>
      <c r="R285" s="6">
        <v>52.27</v>
      </c>
      <c r="S285" s="6">
        <v>4744886</v>
      </c>
      <c r="T285" s="6">
        <v>4744886</v>
      </c>
      <c r="U285" s="6">
        <v>4646872</v>
      </c>
      <c r="V285" s="6">
        <v>1</v>
      </c>
      <c r="W285" s="6">
        <v>1</v>
      </c>
      <c r="X285" s="6">
        <v>0</v>
      </c>
    </row>
    <row r="286" spans="1:24" x14ac:dyDescent="0.25">
      <c r="A286" s="6" t="s">
        <v>300</v>
      </c>
      <c r="B286" s="6" t="str">
        <f>VLOOKUP(A286,'[1]SBV Isolates'!$A$2:$B$367,2,FALSE)</f>
        <v>plate03</v>
      </c>
      <c r="C286" s="6">
        <v>3</v>
      </c>
      <c r="D286" s="6">
        <v>3</v>
      </c>
      <c r="E286" s="6">
        <v>2</v>
      </c>
      <c r="F286" s="6">
        <v>2</v>
      </c>
      <c r="G286" s="6">
        <v>2</v>
      </c>
      <c r="H286" s="6">
        <v>2</v>
      </c>
      <c r="I286" s="6">
        <v>4843134</v>
      </c>
      <c r="J286" s="6">
        <v>4843134</v>
      </c>
      <c r="K286" s="6">
        <v>4838570</v>
      </c>
      <c r="L286" s="6">
        <v>4838570</v>
      </c>
      <c r="M286" s="6">
        <v>4838570</v>
      </c>
      <c r="N286" s="6">
        <v>4838570</v>
      </c>
      <c r="O286" s="6">
        <v>3</v>
      </c>
      <c r="P286" s="6">
        <v>4744865</v>
      </c>
      <c r="Q286" s="6">
        <v>4843134</v>
      </c>
      <c r="R286" s="6">
        <v>52.27</v>
      </c>
      <c r="S286" s="6">
        <v>4744865</v>
      </c>
      <c r="T286" s="6">
        <v>4744865</v>
      </c>
      <c r="U286" s="6">
        <v>4650407.2</v>
      </c>
      <c r="V286" s="6">
        <v>1</v>
      </c>
      <c r="W286" s="6">
        <v>1</v>
      </c>
      <c r="X286" s="6">
        <v>0</v>
      </c>
    </row>
    <row r="287" spans="1:24" x14ac:dyDescent="0.25">
      <c r="A287" s="6" t="s">
        <v>301</v>
      </c>
      <c r="B287" s="6" t="str">
        <f>VLOOKUP(A287,'[1]SBV Isolates'!$A$2:$B$367,2,FALSE)</f>
        <v>plate03</v>
      </c>
      <c r="C287" s="6">
        <v>3</v>
      </c>
      <c r="D287" s="6">
        <v>3</v>
      </c>
      <c r="E287" s="6">
        <v>3</v>
      </c>
      <c r="F287" s="6">
        <v>2</v>
      </c>
      <c r="G287" s="6">
        <v>2</v>
      </c>
      <c r="H287" s="6">
        <v>2</v>
      </c>
      <c r="I287" s="6">
        <v>4846769</v>
      </c>
      <c r="J287" s="6">
        <v>4846769</v>
      </c>
      <c r="K287" s="6">
        <v>4846769</v>
      </c>
      <c r="L287" s="6">
        <v>4838572</v>
      </c>
      <c r="M287" s="6">
        <v>4838572</v>
      </c>
      <c r="N287" s="6">
        <v>4838572</v>
      </c>
      <c r="O287" s="6">
        <v>3</v>
      </c>
      <c r="P287" s="6">
        <v>4744877</v>
      </c>
      <c r="Q287" s="6">
        <v>4846769</v>
      </c>
      <c r="R287" s="6">
        <v>52.27</v>
      </c>
      <c r="S287" s="6">
        <v>4744877</v>
      </c>
      <c r="T287" s="6">
        <v>4744877</v>
      </c>
      <c r="U287" s="6">
        <v>4646952.2</v>
      </c>
      <c r="V287" s="6">
        <v>1</v>
      </c>
      <c r="W287" s="6">
        <v>1</v>
      </c>
      <c r="X287" s="6">
        <v>0</v>
      </c>
    </row>
    <row r="288" spans="1:24" x14ac:dyDescent="0.25">
      <c r="A288" s="6" t="s">
        <v>324</v>
      </c>
      <c r="B288" s="6" t="str">
        <f>VLOOKUP(A288,'[1]SBV Isolates'!$A$2:$B$367,2,FALSE)</f>
        <v>plate03</v>
      </c>
      <c r="C288" s="6">
        <v>3</v>
      </c>
      <c r="D288" s="6">
        <v>3</v>
      </c>
      <c r="E288" s="6">
        <v>3</v>
      </c>
      <c r="F288" s="6">
        <v>2</v>
      </c>
      <c r="G288" s="6">
        <v>2</v>
      </c>
      <c r="H288" s="6">
        <v>2</v>
      </c>
      <c r="I288" s="6">
        <v>4846973</v>
      </c>
      <c r="J288" s="6">
        <v>4846973</v>
      </c>
      <c r="K288" s="6">
        <v>4846973</v>
      </c>
      <c r="L288" s="6">
        <v>4838583</v>
      </c>
      <c r="M288" s="6">
        <v>4838583</v>
      </c>
      <c r="N288" s="6">
        <v>4838583</v>
      </c>
      <c r="O288" s="6">
        <v>3</v>
      </c>
      <c r="P288" s="6">
        <v>4744878</v>
      </c>
      <c r="Q288" s="6">
        <v>4846973</v>
      </c>
      <c r="R288" s="6">
        <v>52.27</v>
      </c>
      <c r="S288" s="6">
        <v>4744878</v>
      </c>
      <c r="T288" s="6">
        <v>4744878</v>
      </c>
      <c r="U288" s="6">
        <v>4646759.5999999996</v>
      </c>
      <c r="V288" s="6">
        <v>1</v>
      </c>
      <c r="W288" s="6">
        <v>1</v>
      </c>
      <c r="X288" s="6">
        <v>0</v>
      </c>
    </row>
    <row r="289" spans="1:24" x14ac:dyDescent="0.25">
      <c r="A289" s="6" t="s">
        <v>325</v>
      </c>
      <c r="B289" s="6" t="str">
        <f>VLOOKUP(A289,'[1]SBV Isolates'!$A$2:$B$367,2,FALSE)</f>
        <v>plate03</v>
      </c>
      <c r="C289" s="6">
        <v>3</v>
      </c>
      <c r="D289" s="6">
        <v>3</v>
      </c>
      <c r="E289" s="6">
        <v>2</v>
      </c>
      <c r="F289" s="6">
        <v>2</v>
      </c>
      <c r="G289" s="6">
        <v>2</v>
      </c>
      <c r="H289" s="6">
        <v>2</v>
      </c>
      <c r="I289" s="6">
        <v>4843139</v>
      </c>
      <c r="J289" s="6">
        <v>4843139</v>
      </c>
      <c r="K289" s="6">
        <v>4838564</v>
      </c>
      <c r="L289" s="6">
        <v>4838564</v>
      </c>
      <c r="M289" s="6">
        <v>4838564</v>
      </c>
      <c r="N289" s="6">
        <v>4838564</v>
      </c>
      <c r="O289" s="6">
        <v>3</v>
      </c>
      <c r="P289" s="6">
        <v>4744866</v>
      </c>
      <c r="Q289" s="6">
        <v>4843139</v>
      </c>
      <c r="R289" s="6">
        <v>52.27</v>
      </c>
      <c r="S289" s="6">
        <v>4744866</v>
      </c>
      <c r="T289" s="6">
        <v>4744866</v>
      </c>
      <c r="U289" s="6">
        <v>4650404.0999999996</v>
      </c>
      <c r="V289" s="6">
        <v>1</v>
      </c>
      <c r="W289" s="6">
        <v>1</v>
      </c>
      <c r="X289" s="6">
        <v>0</v>
      </c>
    </row>
    <row r="290" spans="1:24" x14ac:dyDescent="0.25">
      <c r="A290" s="6" t="s">
        <v>326</v>
      </c>
      <c r="B290" s="6" t="str">
        <f>VLOOKUP(A290,'[1]SBV Isolates'!$A$2:$B$367,2,FALSE)</f>
        <v>plate03</v>
      </c>
      <c r="C290" s="6">
        <v>3</v>
      </c>
      <c r="D290" s="6">
        <v>3</v>
      </c>
      <c r="E290" s="6">
        <v>3</v>
      </c>
      <c r="F290" s="6">
        <v>2</v>
      </c>
      <c r="G290" s="6">
        <v>2</v>
      </c>
      <c r="H290" s="6">
        <v>2</v>
      </c>
      <c r="I290" s="6">
        <v>4846750</v>
      </c>
      <c r="J290" s="6">
        <v>4846750</v>
      </c>
      <c r="K290" s="6">
        <v>4846750</v>
      </c>
      <c r="L290" s="6">
        <v>4838556</v>
      </c>
      <c r="M290" s="6">
        <v>4838556</v>
      </c>
      <c r="N290" s="6">
        <v>4838556</v>
      </c>
      <c r="O290" s="6">
        <v>3</v>
      </c>
      <c r="P290" s="6">
        <v>4744862</v>
      </c>
      <c r="Q290" s="6">
        <v>4846750</v>
      </c>
      <c r="R290" s="6">
        <v>52.27</v>
      </c>
      <c r="S290" s="6">
        <v>4744862</v>
      </c>
      <c r="T290" s="6">
        <v>4744862</v>
      </c>
      <c r="U290" s="6">
        <v>4646941</v>
      </c>
      <c r="V290" s="6">
        <v>1</v>
      </c>
      <c r="W290" s="6">
        <v>1</v>
      </c>
      <c r="X290" s="6">
        <v>0</v>
      </c>
    </row>
    <row r="291" spans="1:24" x14ac:dyDescent="0.25">
      <c r="A291" s="6" t="s">
        <v>329</v>
      </c>
      <c r="B291" s="6" t="str">
        <f>VLOOKUP(A291,'[1]SBV Isolates'!$A$2:$B$367,2,FALSE)</f>
        <v>plate03</v>
      </c>
      <c r="C291" s="6">
        <v>3</v>
      </c>
      <c r="D291" s="6">
        <v>3</v>
      </c>
      <c r="E291" s="6">
        <v>2</v>
      </c>
      <c r="F291" s="6">
        <v>2</v>
      </c>
      <c r="G291" s="6">
        <v>2</v>
      </c>
      <c r="H291" s="6">
        <v>2</v>
      </c>
      <c r="I291" s="6">
        <v>4843149</v>
      </c>
      <c r="J291" s="6">
        <v>4843149</v>
      </c>
      <c r="K291" s="6">
        <v>4838578</v>
      </c>
      <c r="L291" s="6">
        <v>4838578</v>
      </c>
      <c r="M291" s="6">
        <v>4838578</v>
      </c>
      <c r="N291" s="6">
        <v>4838578</v>
      </c>
      <c r="O291" s="6">
        <v>3</v>
      </c>
      <c r="P291" s="6">
        <v>4744867</v>
      </c>
      <c r="Q291" s="6">
        <v>4843149</v>
      </c>
      <c r="R291" s="6">
        <v>52.27</v>
      </c>
      <c r="S291" s="6">
        <v>4744867</v>
      </c>
      <c r="T291" s="6">
        <v>4744867</v>
      </c>
      <c r="U291" s="6">
        <v>4650397</v>
      </c>
      <c r="V291" s="6">
        <v>1</v>
      </c>
      <c r="W291" s="6">
        <v>1</v>
      </c>
      <c r="X291" s="6">
        <v>0</v>
      </c>
    </row>
    <row r="292" spans="1:24" x14ac:dyDescent="0.25">
      <c r="A292" s="6" t="s">
        <v>330</v>
      </c>
      <c r="B292" s="6" t="str">
        <f>VLOOKUP(A292,'[1]SBV Isolates'!$A$2:$B$367,2,FALSE)</f>
        <v>plate05</v>
      </c>
      <c r="C292" s="6">
        <v>3</v>
      </c>
      <c r="D292" s="6">
        <v>3</v>
      </c>
      <c r="E292" s="6">
        <v>2</v>
      </c>
      <c r="F292" s="6">
        <v>2</v>
      </c>
      <c r="G292" s="6">
        <v>2</v>
      </c>
      <c r="H292" s="6">
        <v>2</v>
      </c>
      <c r="I292" s="6">
        <v>4843101</v>
      </c>
      <c r="J292" s="6">
        <v>4843101</v>
      </c>
      <c r="K292" s="6">
        <v>4838536</v>
      </c>
      <c r="L292" s="6">
        <v>4838536</v>
      </c>
      <c r="M292" s="6">
        <v>4838536</v>
      </c>
      <c r="N292" s="6">
        <v>4838536</v>
      </c>
      <c r="O292" s="6">
        <v>3</v>
      </c>
      <c r="P292" s="6">
        <v>4744835</v>
      </c>
      <c r="Q292" s="6">
        <v>4843101</v>
      </c>
      <c r="R292" s="6">
        <v>52.27</v>
      </c>
      <c r="S292" s="6">
        <v>4744835</v>
      </c>
      <c r="T292" s="6">
        <v>4744835</v>
      </c>
      <c r="U292" s="6">
        <v>4650380</v>
      </c>
      <c r="V292" s="6">
        <v>1</v>
      </c>
      <c r="W292" s="6">
        <v>1</v>
      </c>
      <c r="X292" s="6">
        <v>0</v>
      </c>
    </row>
    <row r="293" spans="1:24" x14ac:dyDescent="0.25">
      <c r="A293" s="6" t="s">
        <v>334</v>
      </c>
      <c r="B293" s="6" t="str">
        <f>VLOOKUP(A293,'[1]SBV Isolates'!$A$2:$B$367,2,FALSE)</f>
        <v>plate03</v>
      </c>
      <c r="C293" s="6">
        <v>3</v>
      </c>
      <c r="D293" s="6">
        <v>3</v>
      </c>
      <c r="E293" s="6">
        <v>3</v>
      </c>
      <c r="F293" s="6">
        <v>2</v>
      </c>
      <c r="G293" s="6">
        <v>2</v>
      </c>
      <c r="H293" s="6">
        <v>2</v>
      </c>
      <c r="I293" s="6">
        <v>4846763</v>
      </c>
      <c r="J293" s="6">
        <v>4846763</v>
      </c>
      <c r="K293" s="6">
        <v>4846763</v>
      </c>
      <c r="L293" s="6">
        <v>4838570</v>
      </c>
      <c r="M293" s="6">
        <v>4838570</v>
      </c>
      <c r="N293" s="6">
        <v>4838570</v>
      </c>
      <c r="O293" s="6">
        <v>3</v>
      </c>
      <c r="P293" s="6">
        <v>4744860</v>
      </c>
      <c r="Q293" s="6">
        <v>4846763</v>
      </c>
      <c r="R293" s="6">
        <v>52.27</v>
      </c>
      <c r="S293" s="6">
        <v>4744860</v>
      </c>
      <c r="T293" s="6">
        <v>4744860</v>
      </c>
      <c r="U293" s="6">
        <v>4646925.2</v>
      </c>
      <c r="V293" s="6">
        <v>1</v>
      </c>
      <c r="W293" s="6">
        <v>1</v>
      </c>
      <c r="X293" s="6">
        <v>0</v>
      </c>
    </row>
    <row r="294" spans="1:24" x14ac:dyDescent="0.25">
      <c r="A294" s="6" t="s">
        <v>335</v>
      </c>
      <c r="B294" s="6" t="str">
        <f>VLOOKUP(A294,'[1]SBV Isolates'!$A$2:$B$367,2,FALSE)</f>
        <v>plate03</v>
      </c>
      <c r="C294" s="6">
        <v>3</v>
      </c>
      <c r="D294" s="6">
        <v>3</v>
      </c>
      <c r="E294" s="6">
        <v>3</v>
      </c>
      <c r="F294" s="6">
        <v>3</v>
      </c>
      <c r="G294" s="6">
        <v>3</v>
      </c>
      <c r="H294" s="6">
        <v>2</v>
      </c>
      <c r="I294" s="6">
        <v>4934747</v>
      </c>
      <c r="J294" s="6">
        <v>4934747</v>
      </c>
      <c r="K294" s="6">
        <v>4934747</v>
      </c>
      <c r="L294" s="6">
        <v>4934747</v>
      </c>
      <c r="M294" s="6">
        <v>4934747</v>
      </c>
      <c r="N294" s="6">
        <v>4902154</v>
      </c>
      <c r="O294" s="6">
        <v>3</v>
      </c>
      <c r="P294" s="6">
        <v>4808420</v>
      </c>
      <c r="Q294" s="6">
        <v>4934747</v>
      </c>
      <c r="R294" s="6">
        <v>52.14</v>
      </c>
      <c r="S294" s="6">
        <v>4808420</v>
      </c>
      <c r="T294" s="6">
        <v>4808420</v>
      </c>
      <c r="U294" s="6">
        <v>4687322.5999999996</v>
      </c>
      <c r="V294" s="6">
        <v>1</v>
      </c>
      <c r="W294" s="6">
        <v>1</v>
      </c>
      <c r="X294" s="6">
        <v>0</v>
      </c>
    </row>
    <row r="295" spans="1:24" x14ac:dyDescent="0.25">
      <c r="A295" s="6" t="s">
        <v>347</v>
      </c>
      <c r="B295" s="6" t="str">
        <f>VLOOKUP(A295,'[1]SBV Isolates'!$A$2:$B$367,2,FALSE)</f>
        <v>plate05</v>
      </c>
      <c r="C295" s="6">
        <v>3</v>
      </c>
      <c r="D295" s="6">
        <v>3</v>
      </c>
      <c r="E295" s="6">
        <v>3</v>
      </c>
      <c r="F295" s="6">
        <v>2</v>
      </c>
      <c r="G295" s="6">
        <v>2</v>
      </c>
      <c r="H295" s="6">
        <v>2</v>
      </c>
      <c r="I295" s="6">
        <v>4890450</v>
      </c>
      <c r="J295" s="6">
        <v>4890450</v>
      </c>
      <c r="K295" s="6">
        <v>4890450</v>
      </c>
      <c r="L295" s="6">
        <v>4882405</v>
      </c>
      <c r="M295" s="6">
        <v>4882405</v>
      </c>
      <c r="N295" s="6">
        <v>4882405</v>
      </c>
      <c r="O295" s="6">
        <v>3</v>
      </c>
      <c r="P295" s="6">
        <v>4788707</v>
      </c>
      <c r="Q295" s="6">
        <v>4890450</v>
      </c>
      <c r="R295" s="6">
        <v>52.25</v>
      </c>
      <c r="S295" s="6">
        <v>4788707</v>
      </c>
      <c r="T295" s="6">
        <v>4788707</v>
      </c>
      <c r="U295" s="6">
        <v>4690889.0999999996</v>
      </c>
      <c r="V295" s="6">
        <v>1</v>
      </c>
      <c r="W295" s="6">
        <v>1</v>
      </c>
      <c r="X295" s="6">
        <v>0</v>
      </c>
    </row>
    <row r="296" spans="1:24" x14ac:dyDescent="0.25">
      <c r="A296" s="6" t="s">
        <v>352</v>
      </c>
      <c r="B296" s="6" t="str">
        <f>VLOOKUP(A296,'[1]SBV Isolates'!$A$2:$B$367,2,FALSE)</f>
        <v>plate05</v>
      </c>
      <c r="C296" s="6">
        <v>3</v>
      </c>
      <c r="D296" s="6">
        <v>3</v>
      </c>
      <c r="E296" s="6">
        <v>2</v>
      </c>
      <c r="F296" s="6">
        <v>2</v>
      </c>
      <c r="G296" s="6">
        <v>2</v>
      </c>
      <c r="H296" s="6">
        <v>2</v>
      </c>
      <c r="I296" s="6">
        <v>4844333</v>
      </c>
      <c r="J296" s="6">
        <v>4844333</v>
      </c>
      <c r="K296" s="6">
        <v>4839753</v>
      </c>
      <c r="L296" s="6">
        <v>4839753</v>
      </c>
      <c r="M296" s="6">
        <v>4839753</v>
      </c>
      <c r="N296" s="6">
        <v>4839753</v>
      </c>
      <c r="O296" s="6">
        <v>3</v>
      </c>
      <c r="P296" s="6">
        <v>4746063</v>
      </c>
      <c r="Q296" s="6">
        <v>4844333</v>
      </c>
      <c r="R296" s="6">
        <v>52.27</v>
      </c>
      <c r="S296" s="6">
        <v>4746063</v>
      </c>
      <c r="T296" s="6">
        <v>4746063</v>
      </c>
      <c r="U296" s="6">
        <v>4651602.8</v>
      </c>
      <c r="V296" s="6">
        <v>1</v>
      </c>
      <c r="W296" s="6">
        <v>1</v>
      </c>
      <c r="X296" s="6">
        <v>0</v>
      </c>
    </row>
    <row r="297" spans="1:24" x14ac:dyDescent="0.25">
      <c r="A297" s="6" t="s">
        <v>355</v>
      </c>
      <c r="B297" s="6" t="str">
        <f>VLOOKUP(A297,'[1]SBV Isolates'!$A$2:$B$367,2,FALSE)</f>
        <v>plate03</v>
      </c>
      <c r="C297" s="6">
        <v>3</v>
      </c>
      <c r="D297" s="6">
        <v>3</v>
      </c>
      <c r="E297" s="6">
        <v>3</v>
      </c>
      <c r="F297" s="6">
        <v>2</v>
      </c>
      <c r="G297" s="6">
        <v>2</v>
      </c>
      <c r="H297" s="6">
        <v>2</v>
      </c>
      <c r="I297" s="6">
        <v>4890654</v>
      </c>
      <c r="J297" s="6">
        <v>4890654</v>
      </c>
      <c r="K297" s="6">
        <v>4890654</v>
      </c>
      <c r="L297" s="6">
        <v>4882632</v>
      </c>
      <c r="M297" s="6">
        <v>4882632</v>
      </c>
      <c r="N297" s="6">
        <v>4882632</v>
      </c>
      <c r="O297" s="6">
        <v>3</v>
      </c>
      <c r="P297" s="6">
        <v>4788937</v>
      </c>
      <c r="Q297" s="6">
        <v>4890654</v>
      </c>
      <c r="R297" s="6">
        <v>52.25</v>
      </c>
      <c r="S297" s="6">
        <v>4788937</v>
      </c>
      <c r="T297" s="6">
        <v>4788937</v>
      </c>
      <c r="U297" s="6">
        <v>4691143.7</v>
      </c>
      <c r="V297" s="6">
        <v>1</v>
      </c>
      <c r="W297" s="6">
        <v>1</v>
      </c>
      <c r="X297" s="6">
        <v>0</v>
      </c>
    </row>
    <row r="298" spans="1:24" x14ac:dyDescent="0.25">
      <c r="A298" s="6" t="s">
        <v>360</v>
      </c>
      <c r="B298" s="6" t="str">
        <f>VLOOKUP(A298,'[1]SBV Isolates'!$A$2:$B$367,2,FALSE)</f>
        <v>plate05</v>
      </c>
      <c r="C298" s="6">
        <v>3</v>
      </c>
      <c r="D298" s="6">
        <v>3</v>
      </c>
      <c r="E298" s="6">
        <v>1</v>
      </c>
      <c r="F298" s="6">
        <v>1</v>
      </c>
      <c r="G298" s="6">
        <v>1</v>
      </c>
      <c r="H298" s="6">
        <v>1</v>
      </c>
      <c r="I298" s="6">
        <v>5031055</v>
      </c>
      <c r="J298" s="6">
        <v>5031055</v>
      </c>
      <c r="K298" s="6">
        <v>5024044</v>
      </c>
      <c r="L298" s="6">
        <v>5024044</v>
      </c>
      <c r="M298" s="6">
        <v>5024044</v>
      </c>
      <c r="N298" s="6">
        <v>5024044</v>
      </c>
      <c r="O298" s="6">
        <v>3</v>
      </c>
      <c r="P298" s="6">
        <v>5024044</v>
      </c>
      <c r="Q298" s="6">
        <v>5031055</v>
      </c>
      <c r="R298" s="6">
        <v>52.08</v>
      </c>
      <c r="S298" s="6">
        <v>5024044</v>
      </c>
      <c r="T298" s="6">
        <v>5024044</v>
      </c>
      <c r="U298" s="6">
        <v>5017047.7</v>
      </c>
      <c r="V298" s="6">
        <v>1</v>
      </c>
      <c r="W298" s="6">
        <v>1</v>
      </c>
      <c r="X298" s="6">
        <v>0</v>
      </c>
    </row>
    <row r="299" spans="1:24" x14ac:dyDescent="0.25">
      <c r="A299" s="6" t="s">
        <v>368</v>
      </c>
      <c r="B299" s="6" t="str">
        <f>VLOOKUP(A299,'[1]SBV Isolates'!$A$2:$B$367,2,FALSE)</f>
        <v>plate05</v>
      </c>
      <c r="C299" s="6">
        <v>3</v>
      </c>
      <c r="D299" s="6">
        <v>3</v>
      </c>
      <c r="E299" s="6">
        <v>3</v>
      </c>
      <c r="F299" s="6">
        <v>2</v>
      </c>
      <c r="G299" s="6">
        <v>2</v>
      </c>
      <c r="H299" s="6">
        <v>2</v>
      </c>
      <c r="I299" s="6">
        <v>4847158</v>
      </c>
      <c r="J299" s="6">
        <v>4847158</v>
      </c>
      <c r="K299" s="6">
        <v>4847158</v>
      </c>
      <c r="L299" s="6">
        <v>4838566</v>
      </c>
      <c r="M299" s="6">
        <v>4838566</v>
      </c>
      <c r="N299" s="6">
        <v>4838566</v>
      </c>
      <c r="O299" s="6">
        <v>3</v>
      </c>
      <c r="P299" s="6">
        <v>4744871</v>
      </c>
      <c r="Q299" s="6">
        <v>4847158</v>
      </c>
      <c r="R299" s="6">
        <v>52.27</v>
      </c>
      <c r="S299" s="6">
        <v>4744871</v>
      </c>
      <c r="T299" s="6">
        <v>4744871</v>
      </c>
      <c r="U299" s="6">
        <v>4646568.9000000004</v>
      </c>
      <c r="V299" s="6">
        <v>1</v>
      </c>
      <c r="W299" s="6">
        <v>1</v>
      </c>
      <c r="X299" s="6">
        <v>0</v>
      </c>
    </row>
    <row r="300" spans="1:24" x14ac:dyDescent="0.25">
      <c r="A300" s="6" t="s">
        <v>379</v>
      </c>
      <c r="B300" s="6" t="str">
        <f>VLOOKUP(A300,'[1]SBV Isolates'!$A$2:$B$367,2,FALSE)</f>
        <v>plate05</v>
      </c>
      <c r="C300" s="6">
        <v>3</v>
      </c>
      <c r="D300" s="6">
        <v>3</v>
      </c>
      <c r="E300" s="6">
        <v>2</v>
      </c>
      <c r="F300" s="6">
        <v>2</v>
      </c>
      <c r="G300" s="6">
        <v>2</v>
      </c>
      <c r="H300" s="6">
        <v>2</v>
      </c>
      <c r="I300" s="6">
        <v>4843033</v>
      </c>
      <c r="J300" s="6">
        <v>4843033</v>
      </c>
      <c r="K300" s="6">
        <v>4838453</v>
      </c>
      <c r="L300" s="6">
        <v>4838453</v>
      </c>
      <c r="M300" s="6">
        <v>4838453</v>
      </c>
      <c r="N300" s="6">
        <v>4838453</v>
      </c>
      <c r="O300" s="6">
        <v>3</v>
      </c>
      <c r="P300" s="6">
        <v>4744745</v>
      </c>
      <c r="Q300" s="6">
        <v>4843033</v>
      </c>
      <c r="R300" s="6">
        <v>52.27</v>
      </c>
      <c r="S300" s="6">
        <v>4744745</v>
      </c>
      <c r="T300" s="6">
        <v>4744745</v>
      </c>
      <c r="U300" s="6">
        <v>4650269.2</v>
      </c>
      <c r="V300" s="6">
        <v>1</v>
      </c>
      <c r="W300" s="6">
        <v>1</v>
      </c>
      <c r="X300" s="6">
        <v>0</v>
      </c>
    </row>
    <row r="301" spans="1:24" x14ac:dyDescent="0.25">
      <c r="A301" s="6" t="s">
        <v>382</v>
      </c>
      <c r="B301" s="6" t="str">
        <f>VLOOKUP(A301,'[1]SBV Isolates'!$A$2:$B$367,2,FALSE)</f>
        <v>plate04</v>
      </c>
      <c r="C301" s="6">
        <v>3</v>
      </c>
      <c r="D301" s="6">
        <v>3</v>
      </c>
      <c r="E301" s="6">
        <v>3</v>
      </c>
      <c r="F301" s="6">
        <v>2</v>
      </c>
      <c r="G301" s="6">
        <v>2</v>
      </c>
      <c r="H301" s="6">
        <v>2</v>
      </c>
      <c r="I301" s="6">
        <v>4890190</v>
      </c>
      <c r="J301" s="6">
        <v>4890190</v>
      </c>
      <c r="K301" s="6">
        <v>4890190</v>
      </c>
      <c r="L301" s="6">
        <v>4882414</v>
      </c>
      <c r="M301" s="6">
        <v>4882414</v>
      </c>
      <c r="N301" s="6">
        <v>4882414</v>
      </c>
      <c r="O301" s="6">
        <v>3</v>
      </c>
      <c r="P301" s="6">
        <v>4788729</v>
      </c>
      <c r="Q301" s="6">
        <v>4890190</v>
      </c>
      <c r="R301" s="6">
        <v>52.25</v>
      </c>
      <c r="S301" s="6">
        <v>4788729</v>
      </c>
      <c r="T301" s="6">
        <v>4788729</v>
      </c>
      <c r="U301" s="6">
        <v>4691180.3</v>
      </c>
      <c r="V301" s="6">
        <v>1</v>
      </c>
      <c r="W301" s="6">
        <v>1</v>
      </c>
      <c r="X301" s="6">
        <v>0</v>
      </c>
    </row>
    <row r="302" spans="1:24" x14ac:dyDescent="0.25">
      <c r="A302" s="6" t="s">
        <v>393</v>
      </c>
      <c r="B302" s="6" t="str">
        <f>VLOOKUP(A302,'[1]SBV Isolates'!$A$2:$B$367,2,FALSE)</f>
        <v>plate04</v>
      </c>
      <c r="C302" s="6">
        <v>3</v>
      </c>
      <c r="D302" s="6">
        <v>3</v>
      </c>
      <c r="E302" s="6">
        <v>3</v>
      </c>
      <c r="F302" s="6">
        <v>3</v>
      </c>
      <c r="G302" s="6">
        <v>3</v>
      </c>
      <c r="H302" s="6">
        <v>2</v>
      </c>
      <c r="I302" s="6">
        <v>4926749</v>
      </c>
      <c r="J302" s="6">
        <v>4926749</v>
      </c>
      <c r="K302" s="6">
        <v>4926749</v>
      </c>
      <c r="L302" s="6">
        <v>4926749</v>
      </c>
      <c r="M302" s="6">
        <v>4926749</v>
      </c>
      <c r="N302" s="6">
        <v>4883839</v>
      </c>
      <c r="O302" s="6">
        <v>3</v>
      </c>
      <c r="P302" s="6">
        <v>4790146</v>
      </c>
      <c r="Q302" s="6">
        <v>4926749</v>
      </c>
      <c r="R302" s="6">
        <v>52.25</v>
      </c>
      <c r="S302" s="6">
        <v>4790146</v>
      </c>
      <c r="T302" s="6">
        <v>4790146</v>
      </c>
      <c r="U302" s="6">
        <v>4659486.0999999996</v>
      </c>
      <c r="V302" s="6">
        <v>1</v>
      </c>
      <c r="W302" s="6">
        <v>1</v>
      </c>
      <c r="X302" s="6">
        <v>0</v>
      </c>
    </row>
    <row r="303" spans="1:24" x14ac:dyDescent="0.25">
      <c r="A303" s="6" t="s">
        <v>400</v>
      </c>
      <c r="B303" s="6" t="str">
        <f>VLOOKUP(A303,'[1]SBV Isolates'!$A$2:$B$367,2,FALSE)</f>
        <v>plate04</v>
      </c>
      <c r="C303" s="6">
        <v>3</v>
      </c>
      <c r="D303" s="6">
        <v>3</v>
      </c>
      <c r="E303" s="6">
        <v>3</v>
      </c>
      <c r="F303" s="6">
        <v>2</v>
      </c>
      <c r="G303" s="6">
        <v>2</v>
      </c>
      <c r="H303" s="6">
        <v>2</v>
      </c>
      <c r="I303" s="6">
        <v>4846299</v>
      </c>
      <c r="J303" s="6">
        <v>4846299</v>
      </c>
      <c r="K303" s="6">
        <v>4846299</v>
      </c>
      <c r="L303" s="6">
        <v>4838524</v>
      </c>
      <c r="M303" s="6">
        <v>4838524</v>
      </c>
      <c r="N303" s="6">
        <v>4838524</v>
      </c>
      <c r="O303" s="6">
        <v>3</v>
      </c>
      <c r="P303" s="6">
        <v>4744828</v>
      </c>
      <c r="Q303" s="6">
        <v>4846299</v>
      </c>
      <c r="R303" s="6">
        <v>52.27</v>
      </c>
      <c r="S303" s="6">
        <v>4744828</v>
      </c>
      <c r="T303" s="6">
        <v>4744828</v>
      </c>
      <c r="U303" s="6">
        <v>4647305.5</v>
      </c>
      <c r="V303" s="6">
        <v>1</v>
      </c>
      <c r="W303" s="6">
        <v>1</v>
      </c>
      <c r="X303" s="6">
        <v>0</v>
      </c>
    </row>
    <row r="304" spans="1:24" x14ac:dyDescent="0.25">
      <c r="A304" s="6" t="s">
        <v>403</v>
      </c>
      <c r="B304" s="6" t="str">
        <f>VLOOKUP(A304,'[1]SBV Isolates'!$A$2:$B$367,2,FALSE)</f>
        <v>plate04</v>
      </c>
      <c r="C304" s="6">
        <v>3</v>
      </c>
      <c r="D304" s="6">
        <v>3</v>
      </c>
      <c r="E304" s="6">
        <v>2</v>
      </c>
      <c r="F304" s="6">
        <v>2</v>
      </c>
      <c r="G304" s="6">
        <v>2</v>
      </c>
      <c r="H304" s="6">
        <v>2</v>
      </c>
      <c r="I304" s="6">
        <v>4843037</v>
      </c>
      <c r="J304" s="6">
        <v>4843037</v>
      </c>
      <c r="K304" s="6">
        <v>4838449</v>
      </c>
      <c r="L304" s="6">
        <v>4838449</v>
      </c>
      <c r="M304" s="6">
        <v>4838449</v>
      </c>
      <c r="N304" s="6">
        <v>4838449</v>
      </c>
      <c r="O304" s="6">
        <v>3</v>
      </c>
      <c r="P304" s="6">
        <v>4744760</v>
      </c>
      <c r="Q304" s="6">
        <v>4843037</v>
      </c>
      <c r="R304" s="6">
        <v>52.27</v>
      </c>
      <c r="S304" s="6">
        <v>4744760</v>
      </c>
      <c r="T304" s="6">
        <v>4744760</v>
      </c>
      <c r="U304" s="6">
        <v>4650294</v>
      </c>
      <c r="V304" s="6">
        <v>1</v>
      </c>
      <c r="W304" s="6">
        <v>1</v>
      </c>
      <c r="X304" s="6">
        <v>0</v>
      </c>
    </row>
    <row r="305" spans="1:24" x14ac:dyDescent="0.25">
      <c r="A305" s="6" t="s">
        <v>406</v>
      </c>
      <c r="B305" s="6" t="str">
        <f>VLOOKUP(A305,'[1]SBV Isolates'!$A$2:$B$367,2,FALSE)</f>
        <v>plate04</v>
      </c>
      <c r="C305" s="6">
        <v>3</v>
      </c>
      <c r="D305" s="6">
        <v>3</v>
      </c>
      <c r="E305" s="6">
        <v>3</v>
      </c>
      <c r="F305" s="6">
        <v>2</v>
      </c>
      <c r="G305" s="6">
        <v>2</v>
      </c>
      <c r="H305" s="6">
        <v>2</v>
      </c>
      <c r="I305" s="6">
        <v>4847032</v>
      </c>
      <c r="J305" s="6">
        <v>4847032</v>
      </c>
      <c r="K305" s="6">
        <v>4847032</v>
      </c>
      <c r="L305" s="6">
        <v>4838582</v>
      </c>
      <c r="M305" s="6">
        <v>4838582</v>
      </c>
      <c r="N305" s="6">
        <v>4838582</v>
      </c>
      <c r="O305" s="6">
        <v>3</v>
      </c>
      <c r="P305" s="6">
        <v>4744887</v>
      </c>
      <c r="Q305" s="6">
        <v>4847032</v>
      </c>
      <c r="R305" s="6">
        <v>52.26</v>
      </c>
      <c r="S305" s="6">
        <v>4744887</v>
      </c>
      <c r="T305" s="6">
        <v>4744887</v>
      </c>
      <c r="U305" s="6">
        <v>4646720.5</v>
      </c>
      <c r="V305" s="6">
        <v>1</v>
      </c>
      <c r="W305" s="6">
        <v>1</v>
      </c>
      <c r="X305" s="6">
        <v>0</v>
      </c>
    </row>
    <row r="306" spans="1:24" x14ac:dyDescent="0.25">
      <c r="A306" s="6" t="s">
        <v>407</v>
      </c>
      <c r="B306" s="6" t="str">
        <f>VLOOKUP(A306,'[1]SBV Isolates'!$A$2:$B$367,2,FALSE)</f>
        <v>plate04</v>
      </c>
      <c r="C306" s="6">
        <v>3</v>
      </c>
      <c r="D306" s="6">
        <v>3</v>
      </c>
      <c r="E306" s="6">
        <v>2</v>
      </c>
      <c r="F306" s="6">
        <v>2</v>
      </c>
      <c r="G306" s="6">
        <v>2</v>
      </c>
      <c r="H306" s="6">
        <v>2</v>
      </c>
      <c r="I306" s="6">
        <v>4843153</v>
      </c>
      <c r="J306" s="6">
        <v>4843153</v>
      </c>
      <c r="K306" s="6">
        <v>4838582</v>
      </c>
      <c r="L306" s="6">
        <v>4838582</v>
      </c>
      <c r="M306" s="6">
        <v>4838582</v>
      </c>
      <c r="N306" s="6">
        <v>4838582</v>
      </c>
      <c r="O306" s="6">
        <v>3</v>
      </c>
      <c r="P306" s="6">
        <v>4744886</v>
      </c>
      <c r="Q306" s="6">
        <v>4843153</v>
      </c>
      <c r="R306" s="6">
        <v>52.27</v>
      </c>
      <c r="S306" s="6">
        <v>4744886</v>
      </c>
      <c r="T306" s="6">
        <v>4744886</v>
      </c>
      <c r="U306" s="6">
        <v>4650429.8</v>
      </c>
      <c r="V306" s="6">
        <v>1</v>
      </c>
      <c r="W306" s="6">
        <v>1</v>
      </c>
      <c r="X306" s="6">
        <v>0</v>
      </c>
    </row>
    <row r="307" spans="1:24" x14ac:dyDescent="0.25">
      <c r="A307" s="6" t="s">
        <v>420</v>
      </c>
      <c r="B307" s="6" t="str">
        <f>VLOOKUP(A307,'[1]SBV Isolates'!$A$2:$B$367,2,FALSE)</f>
        <v>plate04</v>
      </c>
      <c r="C307" s="6">
        <v>3</v>
      </c>
      <c r="D307" s="6">
        <v>3</v>
      </c>
      <c r="E307" s="6">
        <v>3</v>
      </c>
      <c r="F307" s="6">
        <v>2</v>
      </c>
      <c r="G307" s="6">
        <v>2</v>
      </c>
      <c r="H307" s="6">
        <v>2</v>
      </c>
      <c r="I307" s="6">
        <v>4846548</v>
      </c>
      <c r="J307" s="6">
        <v>4846548</v>
      </c>
      <c r="K307" s="6">
        <v>4846548</v>
      </c>
      <c r="L307" s="6">
        <v>4838457</v>
      </c>
      <c r="M307" s="6">
        <v>4838457</v>
      </c>
      <c r="N307" s="6">
        <v>4838457</v>
      </c>
      <c r="O307" s="6">
        <v>3</v>
      </c>
      <c r="P307" s="6">
        <v>4744739</v>
      </c>
      <c r="Q307" s="6">
        <v>4846548</v>
      </c>
      <c r="R307" s="6">
        <v>52.27</v>
      </c>
      <c r="S307" s="6">
        <v>4744739</v>
      </c>
      <c r="T307" s="6">
        <v>4744739</v>
      </c>
      <c r="U307" s="6">
        <v>4646894.4000000004</v>
      </c>
      <c r="V307" s="6">
        <v>1</v>
      </c>
      <c r="W307" s="6">
        <v>1</v>
      </c>
      <c r="X307" s="6">
        <v>0</v>
      </c>
    </row>
    <row r="308" spans="1:24" x14ac:dyDescent="0.25">
      <c r="A308" s="6" t="s">
        <v>444</v>
      </c>
      <c r="B308" s="6" t="str">
        <f>VLOOKUP(A308,'[1]SBV Isolates'!$A$2:$B$367,2,FALSE)</f>
        <v>plate04</v>
      </c>
      <c r="C308" s="6">
        <v>3</v>
      </c>
      <c r="D308" s="6">
        <v>3</v>
      </c>
      <c r="E308" s="6">
        <v>3</v>
      </c>
      <c r="F308" s="6">
        <v>2</v>
      </c>
      <c r="G308" s="6">
        <v>2</v>
      </c>
      <c r="H308" s="6">
        <v>2</v>
      </c>
      <c r="I308" s="6">
        <v>4846728</v>
      </c>
      <c r="J308" s="6">
        <v>4846728</v>
      </c>
      <c r="K308" s="6">
        <v>4846728</v>
      </c>
      <c r="L308" s="6">
        <v>4838569</v>
      </c>
      <c r="M308" s="6">
        <v>4838569</v>
      </c>
      <c r="N308" s="6">
        <v>4838569</v>
      </c>
      <c r="O308" s="6">
        <v>3</v>
      </c>
      <c r="P308" s="6">
        <v>4744880</v>
      </c>
      <c r="Q308" s="6">
        <v>4846728</v>
      </c>
      <c r="R308" s="6">
        <v>52.27</v>
      </c>
      <c r="S308" s="6">
        <v>4744880</v>
      </c>
      <c r="T308" s="6">
        <v>4744880</v>
      </c>
      <c r="U308" s="6">
        <v>4646997</v>
      </c>
      <c r="V308" s="6">
        <v>1</v>
      </c>
      <c r="W308" s="6">
        <v>1</v>
      </c>
      <c r="X308" s="6">
        <v>0</v>
      </c>
    </row>
    <row r="309" spans="1:24" x14ac:dyDescent="0.25">
      <c r="A309" s="6" t="s">
        <v>450</v>
      </c>
      <c r="B309" s="6" t="str">
        <f>VLOOKUP(A309,'[1]SBV Isolates'!$A$2:$B$367,2,FALSE)</f>
        <v>plate04</v>
      </c>
      <c r="C309" s="6">
        <v>3</v>
      </c>
      <c r="D309" s="6">
        <v>3</v>
      </c>
      <c r="E309" s="6">
        <v>3</v>
      </c>
      <c r="F309" s="6">
        <v>2</v>
      </c>
      <c r="G309" s="6">
        <v>2</v>
      </c>
      <c r="H309" s="6">
        <v>2</v>
      </c>
      <c r="I309" s="6">
        <v>4846183</v>
      </c>
      <c r="J309" s="6">
        <v>4846183</v>
      </c>
      <c r="K309" s="6">
        <v>4846183</v>
      </c>
      <c r="L309" s="6">
        <v>4837935</v>
      </c>
      <c r="M309" s="6">
        <v>4837935</v>
      </c>
      <c r="N309" s="6">
        <v>4837935</v>
      </c>
      <c r="O309" s="6">
        <v>3</v>
      </c>
      <c r="P309" s="6">
        <v>4744889</v>
      </c>
      <c r="Q309" s="6">
        <v>4846183</v>
      </c>
      <c r="R309" s="6">
        <v>52.27</v>
      </c>
      <c r="S309" s="6">
        <v>4744889</v>
      </c>
      <c r="T309" s="6">
        <v>4744889</v>
      </c>
      <c r="U309" s="6">
        <v>4647512.7</v>
      </c>
      <c r="V309" s="6">
        <v>1</v>
      </c>
      <c r="W309" s="6">
        <v>1</v>
      </c>
      <c r="X309" s="6">
        <v>0</v>
      </c>
    </row>
    <row r="310" spans="1:24" x14ac:dyDescent="0.25">
      <c r="A310" s="6" t="s">
        <v>452</v>
      </c>
      <c r="B310" s="6" t="str">
        <f>VLOOKUP(A310,'[1]SBV Isolates'!$A$2:$B$367,2,FALSE)</f>
        <v>plate04</v>
      </c>
      <c r="C310" s="6">
        <v>3</v>
      </c>
      <c r="D310" s="6">
        <v>3</v>
      </c>
      <c r="E310" s="6">
        <v>3</v>
      </c>
      <c r="F310" s="6">
        <v>2</v>
      </c>
      <c r="G310" s="6">
        <v>2</v>
      </c>
      <c r="H310" s="6">
        <v>2</v>
      </c>
      <c r="I310" s="6">
        <v>4846700</v>
      </c>
      <c r="J310" s="6">
        <v>4846700</v>
      </c>
      <c r="K310" s="6">
        <v>4846700</v>
      </c>
      <c r="L310" s="6">
        <v>4838581</v>
      </c>
      <c r="M310" s="6">
        <v>4838581</v>
      </c>
      <c r="N310" s="6">
        <v>4838581</v>
      </c>
      <c r="O310" s="6">
        <v>3</v>
      </c>
      <c r="P310" s="6">
        <v>4744883</v>
      </c>
      <c r="Q310" s="6">
        <v>4846700</v>
      </c>
      <c r="R310" s="6">
        <v>52.27</v>
      </c>
      <c r="S310" s="6">
        <v>4744883</v>
      </c>
      <c r="T310" s="6">
        <v>4744883</v>
      </c>
      <c r="U310" s="6">
        <v>4647029.9000000004</v>
      </c>
      <c r="V310" s="6">
        <v>1</v>
      </c>
      <c r="W310" s="6">
        <v>1</v>
      </c>
      <c r="X310" s="6">
        <v>0</v>
      </c>
    </row>
    <row r="311" spans="1:24" x14ac:dyDescent="0.25">
      <c r="A311" s="6" t="s">
        <v>453</v>
      </c>
      <c r="B311" s="6" t="str">
        <f>VLOOKUP(A311,'[1]SBV Isolates'!$A$2:$B$367,2,FALSE)</f>
        <v>plate04</v>
      </c>
      <c r="C311" s="6">
        <v>3</v>
      </c>
      <c r="D311" s="6">
        <v>3</v>
      </c>
      <c r="E311" s="6">
        <v>3</v>
      </c>
      <c r="F311" s="6">
        <v>2</v>
      </c>
      <c r="G311" s="6">
        <v>2</v>
      </c>
      <c r="H311" s="6">
        <v>2</v>
      </c>
      <c r="I311" s="6">
        <v>4838522</v>
      </c>
      <c r="J311" s="6">
        <v>4838522</v>
      </c>
      <c r="K311" s="6">
        <v>4838522</v>
      </c>
      <c r="L311" s="6">
        <v>4830261</v>
      </c>
      <c r="M311" s="6">
        <v>4830261</v>
      </c>
      <c r="N311" s="6">
        <v>4830261</v>
      </c>
      <c r="O311" s="6">
        <v>3</v>
      </c>
      <c r="P311" s="6">
        <v>4737713</v>
      </c>
      <c r="Q311" s="6">
        <v>4838522</v>
      </c>
      <c r="R311" s="6">
        <v>52.28</v>
      </c>
      <c r="S311" s="6">
        <v>4737713</v>
      </c>
      <c r="T311" s="6">
        <v>4737713</v>
      </c>
      <c r="U311" s="6">
        <v>4640788.5999999996</v>
      </c>
      <c r="V311" s="6">
        <v>1</v>
      </c>
      <c r="W311" s="6">
        <v>1</v>
      </c>
      <c r="X311" s="6">
        <v>0</v>
      </c>
    </row>
    <row r="312" spans="1:24" x14ac:dyDescent="0.25">
      <c r="A312" s="6" t="s">
        <v>457</v>
      </c>
      <c r="B312" s="6" t="str">
        <f>VLOOKUP(A312,'[1]SBV Isolates'!$A$2:$B$367,2,FALSE)</f>
        <v>plate04</v>
      </c>
      <c r="C312" s="6">
        <v>3</v>
      </c>
      <c r="D312" s="6">
        <v>3</v>
      </c>
      <c r="E312" s="6">
        <v>3</v>
      </c>
      <c r="F312" s="6">
        <v>2</v>
      </c>
      <c r="G312" s="6">
        <v>2</v>
      </c>
      <c r="H312" s="6">
        <v>2</v>
      </c>
      <c r="I312" s="6">
        <v>4846782</v>
      </c>
      <c r="J312" s="6">
        <v>4846782</v>
      </c>
      <c r="K312" s="6">
        <v>4846782</v>
      </c>
      <c r="L312" s="6">
        <v>4838572</v>
      </c>
      <c r="M312" s="6">
        <v>4838572</v>
      </c>
      <c r="N312" s="6">
        <v>4838572</v>
      </c>
      <c r="O312" s="6">
        <v>3</v>
      </c>
      <c r="P312" s="6">
        <v>4744860</v>
      </c>
      <c r="Q312" s="6">
        <v>4846782</v>
      </c>
      <c r="R312" s="6">
        <v>52.27</v>
      </c>
      <c r="S312" s="6">
        <v>4744860</v>
      </c>
      <c r="T312" s="6">
        <v>4744860</v>
      </c>
      <c r="U312" s="6">
        <v>4646907.0999999996</v>
      </c>
      <c r="V312" s="6">
        <v>1</v>
      </c>
      <c r="W312" s="6">
        <v>1</v>
      </c>
      <c r="X312" s="6">
        <v>0</v>
      </c>
    </row>
    <row r="313" spans="1:24" x14ac:dyDescent="0.25">
      <c r="A313" s="6" t="s">
        <v>458</v>
      </c>
      <c r="B313" s="6" t="str">
        <f>VLOOKUP(A313,'[1]SBV Isolates'!$A$2:$B$367,2,FALSE)</f>
        <v>plate04</v>
      </c>
      <c r="C313" s="6">
        <v>3</v>
      </c>
      <c r="D313" s="6">
        <v>3</v>
      </c>
      <c r="E313" s="6">
        <v>3</v>
      </c>
      <c r="F313" s="6">
        <v>2</v>
      </c>
      <c r="G313" s="6">
        <v>2</v>
      </c>
      <c r="H313" s="6">
        <v>2</v>
      </c>
      <c r="I313" s="6">
        <v>4846788</v>
      </c>
      <c r="J313" s="6">
        <v>4846788</v>
      </c>
      <c r="K313" s="6">
        <v>4846788</v>
      </c>
      <c r="L313" s="6">
        <v>4838403</v>
      </c>
      <c r="M313" s="6">
        <v>4838403</v>
      </c>
      <c r="N313" s="6">
        <v>4838403</v>
      </c>
      <c r="O313" s="6">
        <v>3</v>
      </c>
      <c r="P313" s="6">
        <v>4744696</v>
      </c>
      <c r="Q313" s="6">
        <v>4846788</v>
      </c>
      <c r="R313" s="6">
        <v>52.27</v>
      </c>
      <c r="S313" s="6">
        <v>4744696</v>
      </c>
      <c r="T313" s="6">
        <v>4744696</v>
      </c>
      <c r="U313" s="6">
        <v>4646580.7</v>
      </c>
      <c r="V313" s="6">
        <v>1</v>
      </c>
      <c r="W313" s="6">
        <v>1</v>
      </c>
      <c r="X313" s="6">
        <v>0</v>
      </c>
    </row>
    <row r="314" spans="1:24" x14ac:dyDescent="0.25">
      <c r="A314" s="6" t="s">
        <v>460</v>
      </c>
      <c r="B314" s="6" t="str">
        <f>VLOOKUP(A314,'[1]SBV Isolates'!$A$2:$B$367,2,FALSE)</f>
        <v>plate04</v>
      </c>
      <c r="C314" s="6">
        <v>3</v>
      </c>
      <c r="D314" s="6">
        <v>3</v>
      </c>
      <c r="E314" s="6">
        <v>2</v>
      </c>
      <c r="F314" s="6">
        <v>2</v>
      </c>
      <c r="G314" s="6">
        <v>2</v>
      </c>
      <c r="H314" s="6">
        <v>2</v>
      </c>
      <c r="I314" s="6">
        <v>4843177</v>
      </c>
      <c r="J314" s="6">
        <v>4843177</v>
      </c>
      <c r="K314" s="6">
        <v>4838586</v>
      </c>
      <c r="L314" s="6">
        <v>4838586</v>
      </c>
      <c r="M314" s="6">
        <v>4838586</v>
      </c>
      <c r="N314" s="6">
        <v>4838586</v>
      </c>
      <c r="O314" s="6">
        <v>3</v>
      </c>
      <c r="P314" s="6">
        <v>4744879</v>
      </c>
      <c r="Q314" s="6">
        <v>4843177</v>
      </c>
      <c r="R314" s="6">
        <v>52.27</v>
      </c>
      <c r="S314" s="6">
        <v>4744879</v>
      </c>
      <c r="T314" s="6">
        <v>4744879</v>
      </c>
      <c r="U314" s="6">
        <v>4650393.5</v>
      </c>
      <c r="V314" s="6">
        <v>1</v>
      </c>
      <c r="W314" s="6">
        <v>1</v>
      </c>
      <c r="X314" s="6">
        <v>0</v>
      </c>
    </row>
    <row r="315" spans="1:24" x14ac:dyDescent="0.25">
      <c r="A315" s="6" t="s">
        <v>461</v>
      </c>
      <c r="B315" s="6" t="str">
        <f>VLOOKUP(A315,'[1]SBV Isolates'!$A$2:$B$367,2,FALSE)</f>
        <v>plate04</v>
      </c>
      <c r="C315" s="6">
        <v>3</v>
      </c>
      <c r="D315" s="6">
        <v>3</v>
      </c>
      <c r="E315" s="6">
        <v>2</v>
      </c>
      <c r="F315" s="6">
        <v>2</v>
      </c>
      <c r="G315" s="6">
        <v>2</v>
      </c>
      <c r="H315" s="6">
        <v>2</v>
      </c>
      <c r="I315" s="6">
        <v>4843159</v>
      </c>
      <c r="J315" s="6">
        <v>4843159</v>
      </c>
      <c r="K315" s="6">
        <v>4838582</v>
      </c>
      <c r="L315" s="6">
        <v>4838582</v>
      </c>
      <c r="M315" s="6">
        <v>4838582</v>
      </c>
      <c r="N315" s="6">
        <v>4838582</v>
      </c>
      <c r="O315" s="6">
        <v>3</v>
      </c>
      <c r="P315" s="6">
        <v>4744880</v>
      </c>
      <c r="Q315" s="6">
        <v>4843159</v>
      </c>
      <c r="R315" s="6">
        <v>52.27</v>
      </c>
      <c r="S315" s="6">
        <v>4744880</v>
      </c>
      <c r="T315" s="6">
        <v>4744880</v>
      </c>
      <c r="U315" s="6">
        <v>4650412.5</v>
      </c>
      <c r="V315" s="6">
        <v>1</v>
      </c>
      <c r="W315" s="6">
        <v>1</v>
      </c>
      <c r="X315" s="6">
        <v>0</v>
      </c>
    </row>
    <row r="316" spans="1:24" x14ac:dyDescent="0.25">
      <c r="A316" s="6" t="s">
        <v>462</v>
      </c>
      <c r="B316" s="6" t="str">
        <f>VLOOKUP(A316,'[1]SBV Isolates'!$A$2:$B$367,2,FALSE)</f>
        <v>plate04</v>
      </c>
      <c r="C316" s="6">
        <v>3</v>
      </c>
      <c r="D316" s="6">
        <v>3</v>
      </c>
      <c r="E316" s="6">
        <v>3</v>
      </c>
      <c r="F316" s="6">
        <v>3</v>
      </c>
      <c r="G316" s="6">
        <v>2</v>
      </c>
      <c r="H316" s="6">
        <v>2</v>
      </c>
      <c r="I316" s="6">
        <v>4851121</v>
      </c>
      <c r="J316" s="6">
        <v>4851121</v>
      </c>
      <c r="K316" s="6">
        <v>4851121</v>
      </c>
      <c r="L316" s="6">
        <v>4851121</v>
      </c>
      <c r="M316" s="6">
        <v>4838555</v>
      </c>
      <c r="N316" s="6">
        <v>4838555</v>
      </c>
      <c r="O316" s="6">
        <v>3</v>
      </c>
      <c r="P316" s="6">
        <v>4744848</v>
      </c>
      <c r="Q316" s="6">
        <v>4851121</v>
      </c>
      <c r="R316" s="6">
        <v>52.27</v>
      </c>
      <c r="S316" s="6">
        <v>4744848</v>
      </c>
      <c r="T316" s="6">
        <v>4744848</v>
      </c>
      <c r="U316" s="6">
        <v>4642745.8</v>
      </c>
      <c r="V316" s="6">
        <v>1</v>
      </c>
      <c r="W316" s="6">
        <v>1</v>
      </c>
      <c r="X316" s="6">
        <v>0</v>
      </c>
    </row>
    <row r="317" spans="1:24" x14ac:dyDescent="0.25">
      <c r="A317" s="6" t="s">
        <v>464</v>
      </c>
      <c r="B317" s="6" t="str">
        <f>VLOOKUP(A317,'[1]SBV Isolates'!$A$2:$B$367,2,FALSE)</f>
        <v>plate04</v>
      </c>
      <c r="C317" s="6">
        <v>3</v>
      </c>
      <c r="D317" s="6">
        <v>3</v>
      </c>
      <c r="E317" s="6">
        <v>3</v>
      </c>
      <c r="F317" s="6">
        <v>3</v>
      </c>
      <c r="G317" s="6">
        <v>2</v>
      </c>
      <c r="H317" s="6">
        <v>2</v>
      </c>
      <c r="I317" s="6">
        <v>4850027</v>
      </c>
      <c r="J317" s="6">
        <v>4850027</v>
      </c>
      <c r="K317" s="6">
        <v>4850027</v>
      </c>
      <c r="L317" s="6">
        <v>4850027</v>
      </c>
      <c r="M317" s="6">
        <v>4838559</v>
      </c>
      <c r="N317" s="6">
        <v>4838559</v>
      </c>
      <c r="O317" s="6">
        <v>3</v>
      </c>
      <c r="P317" s="6">
        <v>4744871</v>
      </c>
      <c r="Q317" s="6">
        <v>4850027</v>
      </c>
      <c r="R317" s="6">
        <v>52.27</v>
      </c>
      <c r="S317" s="6">
        <v>4744871</v>
      </c>
      <c r="T317" s="6">
        <v>4744871</v>
      </c>
      <c r="U317" s="6">
        <v>4643831.8</v>
      </c>
      <c r="V317" s="6">
        <v>1</v>
      </c>
      <c r="W317" s="6">
        <v>1</v>
      </c>
      <c r="X317" s="6">
        <v>0</v>
      </c>
    </row>
    <row r="318" spans="1:24" x14ac:dyDescent="0.25">
      <c r="A318" s="6" t="s">
        <v>466</v>
      </c>
      <c r="B318" s="6" t="str">
        <f>VLOOKUP(A318,'[1]SBV Isolates'!$A$2:$B$367,2,FALSE)</f>
        <v>plate04</v>
      </c>
      <c r="C318" s="6">
        <v>3</v>
      </c>
      <c r="D318" s="6">
        <v>3</v>
      </c>
      <c r="E318" s="6">
        <v>3</v>
      </c>
      <c r="F318" s="6">
        <v>2</v>
      </c>
      <c r="G318" s="6">
        <v>2</v>
      </c>
      <c r="H318" s="6">
        <v>2</v>
      </c>
      <c r="I318" s="6">
        <v>4846714</v>
      </c>
      <c r="J318" s="6">
        <v>4846714</v>
      </c>
      <c r="K318" s="6">
        <v>4846714</v>
      </c>
      <c r="L318" s="6">
        <v>4838530</v>
      </c>
      <c r="M318" s="6">
        <v>4838530</v>
      </c>
      <c r="N318" s="6">
        <v>4838530</v>
      </c>
      <c r="O318" s="6">
        <v>3</v>
      </c>
      <c r="P318" s="6">
        <v>4744875</v>
      </c>
      <c r="Q318" s="6">
        <v>4846714</v>
      </c>
      <c r="R318" s="6">
        <v>52.27</v>
      </c>
      <c r="S318" s="6">
        <v>4744875</v>
      </c>
      <c r="T318" s="6">
        <v>4744875</v>
      </c>
      <c r="U318" s="6">
        <v>4646999.4000000004</v>
      </c>
      <c r="V318" s="6">
        <v>1</v>
      </c>
      <c r="W318" s="6">
        <v>1</v>
      </c>
      <c r="X318" s="6">
        <v>0</v>
      </c>
    </row>
    <row r="319" spans="1:24" x14ac:dyDescent="0.25">
      <c r="A319" s="6" t="s">
        <v>468</v>
      </c>
      <c r="B319" s="6" t="str">
        <f>VLOOKUP(A319,'[1]SBV Isolates'!$A$2:$B$367,2,FALSE)</f>
        <v>plate04</v>
      </c>
      <c r="C319" s="6">
        <v>3</v>
      </c>
      <c r="D319" s="6">
        <v>3</v>
      </c>
      <c r="E319" s="6">
        <v>2</v>
      </c>
      <c r="F319" s="6">
        <v>2</v>
      </c>
      <c r="G319" s="6">
        <v>2</v>
      </c>
      <c r="H319" s="6">
        <v>2</v>
      </c>
      <c r="I319" s="6">
        <v>4843097</v>
      </c>
      <c r="J319" s="6">
        <v>4843097</v>
      </c>
      <c r="K319" s="6">
        <v>4838525</v>
      </c>
      <c r="L319" s="6">
        <v>4838525</v>
      </c>
      <c r="M319" s="6">
        <v>4838525</v>
      </c>
      <c r="N319" s="6">
        <v>4838525</v>
      </c>
      <c r="O319" s="6">
        <v>3</v>
      </c>
      <c r="P319" s="6">
        <v>4744826</v>
      </c>
      <c r="Q319" s="6">
        <v>4843097</v>
      </c>
      <c r="R319" s="6">
        <v>52.27</v>
      </c>
      <c r="S319" s="6">
        <v>4744826</v>
      </c>
      <c r="T319" s="6">
        <v>4744826</v>
      </c>
      <c r="U319" s="6">
        <v>4650366.0999999996</v>
      </c>
      <c r="V319" s="6">
        <v>1</v>
      </c>
      <c r="W319" s="6">
        <v>1</v>
      </c>
      <c r="X319" s="6">
        <v>0</v>
      </c>
    </row>
    <row r="320" spans="1:24" x14ac:dyDescent="0.25">
      <c r="A320" s="6" t="s">
        <v>469</v>
      </c>
      <c r="B320" s="6" t="str">
        <f>VLOOKUP(A320,'[1]SBV Isolates'!$A$2:$B$367,2,FALSE)</f>
        <v>plate04</v>
      </c>
      <c r="C320" s="6">
        <v>3</v>
      </c>
      <c r="D320" s="6">
        <v>3</v>
      </c>
      <c r="E320" s="6">
        <v>3</v>
      </c>
      <c r="F320" s="6">
        <v>2</v>
      </c>
      <c r="G320" s="6">
        <v>2</v>
      </c>
      <c r="H320" s="6">
        <v>2</v>
      </c>
      <c r="I320" s="6">
        <v>4846843</v>
      </c>
      <c r="J320" s="6">
        <v>4846843</v>
      </c>
      <c r="K320" s="6">
        <v>4846843</v>
      </c>
      <c r="L320" s="6">
        <v>4838589</v>
      </c>
      <c r="M320" s="6">
        <v>4838589</v>
      </c>
      <c r="N320" s="6">
        <v>4838589</v>
      </c>
      <c r="O320" s="6">
        <v>3</v>
      </c>
      <c r="P320" s="6">
        <v>4744880</v>
      </c>
      <c r="Q320" s="6">
        <v>4846843</v>
      </c>
      <c r="R320" s="6">
        <v>52.27</v>
      </c>
      <c r="S320" s="6">
        <v>4744880</v>
      </c>
      <c r="T320" s="6">
        <v>4744880</v>
      </c>
      <c r="U320" s="6">
        <v>4646887.8</v>
      </c>
      <c r="V320" s="6">
        <v>1</v>
      </c>
      <c r="W320" s="6">
        <v>1</v>
      </c>
      <c r="X320" s="6">
        <v>0</v>
      </c>
    </row>
    <row r="321" spans="1:24" x14ac:dyDescent="0.25">
      <c r="A321" s="6" t="s">
        <v>470</v>
      </c>
      <c r="B321" s="6" t="str">
        <f>VLOOKUP(A321,'[1]SBV Isolates'!$A$2:$B$367,2,FALSE)</f>
        <v>plate04</v>
      </c>
      <c r="C321" s="6">
        <v>3</v>
      </c>
      <c r="D321" s="6">
        <v>3</v>
      </c>
      <c r="E321" s="6">
        <v>2</v>
      </c>
      <c r="F321" s="6">
        <v>2</v>
      </c>
      <c r="G321" s="6">
        <v>2</v>
      </c>
      <c r="H321" s="6">
        <v>2</v>
      </c>
      <c r="I321" s="6">
        <v>4843174</v>
      </c>
      <c r="J321" s="6">
        <v>4843174</v>
      </c>
      <c r="K321" s="6">
        <v>4838587</v>
      </c>
      <c r="L321" s="6">
        <v>4838587</v>
      </c>
      <c r="M321" s="6">
        <v>4838587</v>
      </c>
      <c r="N321" s="6">
        <v>4838587</v>
      </c>
      <c r="O321" s="6">
        <v>3</v>
      </c>
      <c r="P321" s="6">
        <v>4744879</v>
      </c>
      <c r="Q321" s="6">
        <v>4843174</v>
      </c>
      <c r="R321" s="6">
        <v>52.27</v>
      </c>
      <c r="S321" s="6">
        <v>4744879</v>
      </c>
      <c r="T321" s="6">
        <v>4744879</v>
      </c>
      <c r="U321" s="6">
        <v>4650396.4000000004</v>
      </c>
      <c r="V321" s="6">
        <v>1</v>
      </c>
      <c r="W321" s="6">
        <v>1</v>
      </c>
      <c r="X321" s="6">
        <v>0</v>
      </c>
    </row>
    <row r="322" spans="1:24" x14ac:dyDescent="0.25">
      <c r="A322" s="6" t="s">
        <v>471</v>
      </c>
      <c r="B322" s="6" t="str">
        <f>VLOOKUP(A322,'[1]SBV Isolates'!$A$2:$B$367,2,FALSE)</f>
        <v>plate04</v>
      </c>
      <c r="C322" s="6">
        <v>3</v>
      </c>
      <c r="D322" s="6">
        <v>3</v>
      </c>
      <c r="E322" s="6">
        <v>3</v>
      </c>
      <c r="F322" s="6">
        <v>2</v>
      </c>
      <c r="G322" s="6">
        <v>2</v>
      </c>
      <c r="H322" s="6">
        <v>2</v>
      </c>
      <c r="I322" s="6">
        <v>4846955</v>
      </c>
      <c r="J322" s="6">
        <v>4846955</v>
      </c>
      <c r="K322" s="6">
        <v>4846955</v>
      </c>
      <c r="L322" s="6">
        <v>4838607</v>
      </c>
      <c r="M322" s="6">
        <v>4838607</v>
      </c>
      <c r="N322" s="6">
        <v>4838607</v>
      </c>
      <c r="O322" s="6">
        <v>3</v>
      </c>
      <c r="P322" s="6">
        <v>4744909</v>
      </c>
      <c r="Q322" s="6">
        <v>4846955</v>
      </c>
      <c r="R322" s="6">
        <v>52.27</v>
      </c>
      <c r="S322" s="6">
        <v>4744909</v>
      </c>
      <c r="T322" s="6">
        <v>4744909</v>
      </c>
      <c r="U322" s="6">
        <v>4646837.0999999996</v>
      </c>
      <c r="V322" s="6">
        <v>1</v>
      </c>
      <c r="W322" s="6">
        <v>1</v>
      </c>
      <c r="X322" s="6">
        <v>0</v>
      </c>
    </row>
    <row r="323" spans="1:24" x14ac:dyDescent="0.25">
      <c r="A323" s="6" t="s">
        <v>473</v>
      </c>
      <c r="B323" s="6" t="str">
        <f>VLOOKUP(A323,'[1]SBV Isolates'!$A$2:$B$367,2,FALSE)</f>
        <v>plate04</v>
      </c>
      <c r="C323" s="6">
        <v>3</v>
      </c>
      <c r="D323" s="6">
        <v>3</v>
      </c>
      <c r="E323" s="6">
        <v>3</v>
      </c>
      <c r="F323" s="6">
        <v>2</v>
      </c>
      <c r="G323" s="6">
        <v>2</v>
      </c>
      <c r="H323" s="6">
        <v>2</v>
      </c>
      <c r="I323" s="6">
        <v>4846786</v>
      </c>
      <c r="J323" s="6">
        <v>4846786</v>
      </c>
      <c r="K323" s="6">
        <v>4846786</v>
      </c>
      <c r="L323" s="6">
        <v>4838563</v>
      </c>
      <c r="M323" s="6">
        <v>4838563</v>
      </c>
      <c r="N323" s="6">
        <v>4838563</v>
      </c>
      <c r="O323" s="6">
        <v>3</v>
      </c>
      <c r="P323" s="6">
        <v>4744853</v>
      </c>
      <c r="Q323" s="6">
        <v>4846786</v>
      </c>
      <c r="R323" s="6">
        <v>52.27</v>
      </c>
      <c r="S323" s="6">
        <v>4744853</v>
      </c>
      <c r="T323" s="6">
        <v>4744853</v>
      </c>
      <c r="U323" s="6">
        <v>4646889.5</v>
      </c>
      <c r="V323" s="6">
        <v>1</v>
      </c>
      <c r="W323" s="6">
        <v>1</v>
      </c>
      <c r="X323" s="6">
        <v>0</v>
      </c>
    </row>
    <row r="324" spans="1:24" x14ac:dyDescent="0.25">
      <c r="A324" s="6" t="s">
        <v>475</v>
      </c>
      <c r="B324" s="6" t="str">
        <f>VLOOKUP(A324,'[1]SBV Isolates'!$A$2:$B$367,2,FALSE)</f>
        <v>plate04</v>
      </c>
      <c r="C324" s="6">
        <v>3</v>
      </c>
      <c r="D324" s="6">
        <v>3</v>
      </c>
      <c r="E324" s="6">
        <v>3</v>
      </c>
      <c r="F324" s="6">
        <v>2</v>
      </c>
      <c r="G324" s="6">
        <v>2</v>
      </c>
      <c r="H324" s="6">
        <v>2</v>
      </c>
      <c r="I324" s="6">
        <v>4846858</v>
      </c>
      <c r="J324" s="6">
        <v>4846858</v>
      </c>
      <c r="K324" s="6">
        <v>4846858</v>
      </c>
      <c r="L324" s="6">
        <v>4838598</v>
      </c>
      <c r="M324" s="6">
        <v>4838598</v>
      </c>
      <c r="N324" s="6">
        <v>4838598</v>
      </c>
      <c r="O324" s="6">
        <v>3</v>
      </c>
      <c r="P324" s="6">
        <v>4744889</v>
      </c>
      <c r="Q324" s="6">
        <v>4846858</v>
      </c>
      <c r="R324" s="6">
        <v>52.27</v>
      </c>
      <c r="S324" s="6">
        <v>4744889</v>
      </c>
      <c r="T324" s="6">
        <v>4744889</v>
      </c>
      <c r="U324" s="6">
        <v>4646891.0999999996</v>
      </c>
      <c r="V324" s="6">
        <v>1</v>
      </c>
      <c r="W324" s="6">
        <v>1</v>
      </c>
      <c r="X324" s="6">
        <v>0</v>
      </c>
    </row>
    <row r="325" spans="1:24" x14ac:dyDescent="0.25">
      <c r="A325" s="6" t="s">
        <v>476</v>
      </c>
      <c r="B325" s="6" t="str">
        <f>VLOOKUP(A325,'[1]SBV Isolates'!$A$2:$B$367,2,FALSE)</f>
        <v>plate04</v>
      </c>
      <c r="C325" s="6">
        <v>3</v>
      </c>
      <c r="D325" s="6">
        <v>3</v>
      </c>
      <c r="E325" s="6">
        <v>3</v>
      </c>
      <c r="F325" s="6">
        <v>2</v>
      </c>
      <c r="G325" s="6">
        <v>2</v>
      </c>
      <c r="H325" s="6">
        <v>2</v>
      </c>
      <c r="I325" s="6">
        <v>4846651</v>
      </c>
      <c r="J325" s="6">
        <v>4846651</v>
      </c>
      <c r="K325" s="6">
        <v>4846651</v>
      </c>
      <c r="L325" s="6">
        <v>4838586</v>
      </c>
      <c r="M325" s="6">
        <v>4838586</v>
      </c>
      <c r="N325" s="6">
        <v>4838586</v>
      </c>
      <c r="O325" s="6">
        <v>3</v>
      </c>
      <c r="P325" s="6">
        <v>4744880</v>
      </c>
      <c r="Q325" s="6">
        <v>4846651</v>
      </c>
      <c r="R325" s="6">
        <v>52.27</v>
      </c>
      <c r="S325" s="6">
        <v>4744880</v>
      </c>
      <c r="T325" s="6">
        <v>4744880</v>
      </c>
      <c r="U325" s="6">
        <v>4647071.2</v>
      </c>
      <c r="V325" s="6">
        <v>1</v>
      </c>
      <c r="W325" s="6">
        <v>1</v>
      </c>
      <c r="X325" s="6">
        <v>0</v>
      </c>
    </row>
    <row r="326" spans="1:24" x14ac:dyDescent="0.25">
      <c r="A326" s="6" t="s">
        <v>477</v>
      </c>
      <c r="B326" s="6" t="str">
        <f>VLOOKUP(A326,'[1]SBV Isolates'!$A$2:$B$367,2,FALSE)</f>
        <v>plate05</v>
      </c>
      <c r="C326" s="6">
        <v>3</v>
      </c>
      <c r="D326" s="6">
        <v>3</v>
      </c>
      <c r="E326" s="6">
        <v>3</v>
      </c>
      <c r="F326" s="6">
        <v>2</v>
      </c>
      <c r="G326" s="6">
        <v>2</v>
      </c>
      <c r="H326" s="6">
        <v>2</v>
      </c>
      <c r="I326" s="6">
        <v>4847296</v>
      </c>
      <c r="J326" s="6">
        <v>4847296</v>
      </c>
      <c r="K326" s="6">
        <v>4847296</v>
      </c>
      <c r="L326" s="6">
        <v>4838603</v>
      </c>
      <c r="M326" s="6">
        <v>4838603</v>
      </c>
      <c r="N326" s="6">
        <v>4838603</v>
      </c>
      <c r="O326" s="6">
        <v>3</v>
      </c>
      <c r="P326" s="6">
        <v>4744895</v>
      </c>
      <c r="Q326" s="6">
        <v>4847296</v>
      </c>
      <c r="R326" s="6">
        <v>52.27</v>
      </c>
      <c r="S326" s="6">
        <v>4744895</v>
      </c>
      <c r="T326" s="6">
        <v>4744895</v>
      </c>
      <c r="U326" s="6">
        <v>4646484.4000000004</v>
      </c>
      <c r="V326" s="6">
        <v>1</v>
      </c>
      <c r="W326" s="6">
        <v>1</v>
      </c>
      <c r="X326" s="6">
        <v>0</v>
      </c>
    </row>
    <row r="327" spans="1:24" x14ac:dyDescent="0.25">
      <c r="A327" s="6" t="s">
        <v>479</v>
      </c>
      <c r="B327" s="6" t="str">
        <f>VLOOKUP(A327,'[1]SBV Isolates'!$A$2:$B$367,2,FALSE)</f>
        <v>plate05</v>
      </c>
      <c r="C327" s="6">
        <v>3</v>
      </c>
      <c r="D327" s="6">
        <v>3</v>
      </c>
      <c r="E327" s="6">
        <v>2</v>
      </c>
      <c r="F327" s="6">
        <v>2</v>
      </c>
      <c r="G327" s="6">
        <v>2</v>
      </c>
      <c r="H327" s="6">
        <v>2</v>
      </c>
      <c r="I327" s="6">
        <v>4843330</v>
      </c>
      <c r="J327" s="6">
        <v>4843330</v>
      </c>
      <c r="K327" s="6">
        <v>4838761</v>
      </c>
      <c r="L327" s="6">
        <v>4838761</v>
      </c>
      <c r="M327" s="6">
        <v>4838761</v>
      </c>
      <c r="N327" s="6">
        <v>4838761</v>
      </c>
      <c r="O327" s="6">
        <v>3</v>
      </c>
      <c r="P327" s="6">
        <v>4745058</v>
      </c>
      <c r="Q327" s="6">
        <v>4843330</v>
      </c>
      <c r="R327" s="6">
        <v>52.27</v>
      </c>
      <c r="S327" s="6">
        <v>4745058</v>
      </c>
      <c r="T327" s="6">
        <v>4745058</v>
      </c>
      <c r="U327" s="6">
        <v>4650597.0999999996</v>
      </c>
      <c r="V327" s="6">
        <v>1</v>
      </c>
      <c r="W327" s="6">
        <v>1</v>
      </c>
      <c r="X327" s="6">
        <v>0</v>
      </c>
    </row>
    <row r="328" spans="1:24" x14ac:dyDescent="0.25">
      <c r="A328" s="6" t="s">
        <v>480</v>
      </c>
      <c r="B328" s="6" t="str">
        <f>VLOOKUP(A328,'[1]SBV Isolates'!$A$2:$B$367,2,FALSE)</f>
        <v>plate05</v>
      </c>
      <c r="C328" s="6">
        <v>3</v>
      </c>
      <c r="D328" s="6">
        <v>3</v>
      </c>
      <c r="E328" s="6">
        <v>3</v>
      </c>
      <c r="F328" s="6">
        <v>2</v>
      </c>
      <c r="G328" s="6">
        <v>2</v>
      </c>
      <c r="H328" s="6">
        <v>2</v>
      </c>
      <c r="I328" s="6">
        <v>4847176</v>
      </c>
      <c r="J328" s="6">
        <v>4847176</v>
      </c>
      <c r="K328" s="6">
        <v>4847176</v>
      </c>
      <c r="L328" s="6">
        <v>4838604</v>
      </c>
      <c r="M328" s="6">
        <v>4838604</v>
      </c>
      <c r="N328" s="6">
        <v>4838604</v>
      </c>
      <c r="O328" s="6">
        <v>3</v>
      </c>
      <c r="P328" s="6">
        <v>4744903</v>
      </c>
      <c r="Q328" s="6">
        <v>4847176</v>
      </c>
      <c r="R328" s="6">
        <v>52.27</v>
      </c>
      <c r="S328" s="6">
        <v>4744903</v>
      </c>
      <c r="T328" s="6">
        <v>4744903</v>
      </c>
      <c r="U328" s="6">
        <v>4646614.4000000004</v>
      </c>
      <c r="V328" s="6">
        <v>1</v>
      </c>
      <c r="W328" s="6">
        <v>1</v>
      </c>
      <c r="X328" s="6">
        <v>0</v>
      </c>
    </row>
    <row r="329" spans="1:24" x14ac:dyDescent="0.25">
      <c r="A329" s="6" t="s">
        <v>481</v>
      </c>
      <c r="B329" s="6" t="str">
        <f>VLOOKUP(A329,'[1]SBV Isolates'!$A$2:$B$367,2,FALSE)</f>
        <v>plate05</v>
      </c>
      <c r="C329" s="6">
        <v>3</v>
      </c>
      <c r="D329" s="6">
        <v>3</v>
      </c>
      <c r="E329" s="6">
        <v>3</v>
      </c>
      <c r="F329" s="6">
        <v>2</v>
      </c>
      <c r="G329" s="6">
        <v>2</v>
      </c>
      <c r="H329" s="6">
        <v>2</v>
      </c>
      <c r="I329" s="6">
        <v>4846765</v>
      </c>
      <c r="J329" s="6">
        <v>4846765</v>
      </c>
      <c r="K329" s="6">
        <v>4846765</v>
      </c>
      <c r="L329" s="6">
        <v>4838557</v>
      </c>
      <c r="M329" s="6">
        <v>4838557</v>
      </c>
      <c r="N329" s="6">
        <v>4838557</v>
      </c>
      <c r="O329" s="6">
        <v>3</v>
      </c>
      <c r="P329" s="6">
        <v>4744871</v>
      </c>
      <c r="Q329" s="6">
        <v>4846765</v>
      </c>
      <c r="R329" s="6">
        <v>52.27</v>
      </c>
      <c r="S329" s="6">
        <v>4744871</v>
      </c>
      <c r="T329" s="6">
        <v>4744871</v>
      </c>
      <c r="U329" s="6">
        <v>4646943.9000000004</v>
      </c>
      <c r="V329" s="6">
        <v>1</v>
      </c>
      <c r="W329" s="6">
        <v>1</v>
      </c>
      <c r="X329" s="6">
        <v>0</v>
      </c>
    </row>
    <row r="330" spans="1:24" x14ac:dyDescent="0.25">
      <c r="A330" s="6" t="s">
        <v>482</v>
      </c>
      <c r="B330" s="6" t="str">
        <f>VLOOKUP(A330,'[1]SBV Isolates'!$A$2:$B$367,2,FALSE)</f>
        <v>plate05</v>
      </c>
      <c r="C330" s="6">
        <v>3</v>
      </c>
      <c r="D330" s="6">
        <v>3</v>
      </c>
      <c r="E330" s="6">
        <v>3</v>
      </c>
      <c r="F330" s="6">
        <v>2</v>
      </c>
      <c r="G330" s="6">
        <v>2</v>
      </c>
      <c r="H330" s="6">
        <v>2</v>
      </c>
      <c r="I330" s="6">
        <v>4846130</v>
      </c>
      <c r="J330" s="6">
        <v>4846130</v>
      </c>
      <c r="K330" s="6">
        <v>4846130</v>
      </c>
      <c r="L330" s="6">
        <v>4838592</v>
      </c>
      <c r="M330" s="6">
        <v>4838592</v>
      </c>
      <c r="N330" s="6">
        <v>4838592</v>
      </c>
      <c r="O330" s="6">
        <v>3</v>
      </c>
      <c r="P330" s="6">
        <v>4744877</v>
      </c>
      <c r="Q330" s="6">
        <v>4846130</v>
      </c>
      <c r="R330" s="6">
        <v>52.27</v>
      </c>
      <c r="S330" s="6">
        <v>4744877</v>
      </c>
      <c r="T330" s="6">
        <v>4744877</v>
      </c>
      <c r="U330" s="6">
        <v>4647563.5</v>
      </c>
      <c r="V330" s="6">
        <v>1</v>
      </c>
      <c r="W330" s="6">
        <v>1</v>
      </c>
      <c r="X330" s="6">
        <v>0</v>
      </c>
    </row>
    <row r="331" spans="1:24" x14ac:dyDescent="0.25">
      <c r="A331" s="6" t="s">
        <v>483</v>
      </c>
      <c r="B331" s="6" t="str">
        <f>VLOOKUP(A331,'[1]SBV Isolates'!$A$2:$B$367,2,FALSE)</f>
        <v>plate05</v>
      </c>
      <c r="C331" s="6">
        <v>3</v>
      </c>
      <c r="D331" s="6">
        <v>3</v>
      </c>
      <c r="E331" s="6">
        <v>2</v>
      </c>
      <c r="F331" s="6">
        <v>2</v>
      </c>
      <c r="G331" s="6">
        <v>2</v>
      </c>
      <c r="H331" s="6">
        <v>2</v>
      </c>
      <c r="I331" s="6">
        <v>4843193</v>
      </c>
      <c r="J331" s="6">
        <v>4843193</v>
      </c>
      <c r="K331" s="6">
        <v>4838617</v>
      </c>
      <c r="L331" s="6">
        <v>4838617</v>
      </c>
      <c r="M331" s="6">
        <v>4838617</v>
      </c>
      <c r="N331" s="6">
        <v>4838617</v>
      </c>
      <c r="O331" s="6">
        <v>3</v>
      </c>
      <c r="P331" s="6">
        <v>4744907</v>
      </c>
      <c r="Q331" s="6">
        <v>4843193</v>
      </c>
      <c r="R331" s="6">
        <v>52.27</v>
      </c>
      <c r="S331" s="6">
        <v>4744907</v>
      </c>
      <c r="T331" s="6">
        <v>4744907</v>
      </c>
      <c r="U331" s="6">
        <v>4650433.0999999996</v>
      </c>
      <c r="V331" s="6">
        <v>1</v>
      </c>
      <c r="W331" s="6">
        <v>1</v>
      </c>
      <c r="X331" s="6">
        <v>0</v>
      </c>
    </row>
    <row r="332" spans="1:24" x14ac:dyDescent="0.25">
      <c r="A332" s="6" t="s">
        <v>120</v>
      </c>
      <c r="B332" s="6" t="str">
        <f>VLOOKUP(A332,'[1]SBV Isolates'!$A$2:$B$367,2,FALSE)</f>
        <v>plate01</v>
      </c>
      <c r="C332" s="6">
        <v>2</v>
      </c>
      <c r="D332" s="6">
        <v>2</v>
      </c>
      <c r="E332" s="6">
        <v>2</v>
      </c>
      <c r="F332" s="6">
        <v>2</v>
      </c>
      <c r="G332" s="6">
        <v>1</v>
      </c>
      <c r="H332" s="6">
        <v>1</v>
      </c>
      <c r="I332" s="6">
        <v>4848526</v>
      </c>
      <c r="J332" s="6">
        <v>4848526</v>
      </c>
      <c r="K332" s="6">
        <v>4848526</v>
      </c>
      <c r="L332" s="6">
        <v>4848526</v>
      </c>
      <c r="M332" s="6">
        <v>4838436</v>
      </c>
      <c r="N332" s="6">
        <v>4838436</v>
      </c>
      <c r="O332" s="6">
        <v>2</v>
      </c>
      <c r="P332" s="6">
        <v>4838436</v>
      </c>
      <c r="Q332" s="6">
        <v>4848526</v>
      </c>
      <c r="R332" s="6">
        <v>52.16</v>
      </c>
      <c r="S332" s="6">
        <v>4838436</v>
      </c>
      <c r="T332" s="6">
        <v>4838436</v>
      </c>
      <c r="U332" s="6">
        <v>4828388</v>
      </c>
      <c r="V332" s="6">
        <v>1</v>
      </c>
      <c r="W332" s="6">
        <v>1</v>
      </c>
      <c r="X332" s="6">
        <v>0</v>
      </c>
    </row>
    <row r="333" spans="1:24" x14ac:dyDescent="0.25">
      <c r="A333" s="6" t="s">
        <v>124</v>
      </c>
      <c r="B333" s="6" t="str">
        <f>VLOOKUP(A333,'[1]SBV Isolates'!$A$2:$B$367,2,FALSE)</f>
        <v>plate01</v>
      </c>
      <c r="C333" s="6">
        <v>2</v>
      </c>
      <c r="D333" s="6">
        <v>2</v>
      </c>
      <c r="E333" s="6">
        <v>2</v>
      </c>
      <c r="F333" s="6">
        <v>2</v>
      </c>
      <c r="G333" s="6">
        <v>2</v>
      </c>
      <c r="H333" s="6">
        <v>2</v>
      </c>
      <c r="I333" s="6">
        <v>4731042</v>
      </c>
      <c r="J333" s="6">
        <v>4731042</v>
      </c>
      <c r="K333" s="6">
        <v>4731042</v>
      </c>
      <c r="L333" s="6">
        <v>4731042</v>
      </c>
      <c r="M333" s="6">
        <v>4731042</v>
      </c>
      <c r="N333" s="6">
        <v>4731042</v>
      </c>
      <c r="O333" s="6">
        <v>2</v>
      </c>
      <c r="P333" s="6">
        <v>4637331</v>
      </c>
      <c r="Q333" s="6">
        <v>4731042</v>
      </c>
      <c r="R333" s="6">
        <v>52.29</v>
      </c>
      <c r="S333" s="6">
        <v>4637331</v>
      </c>
      <c r="T333" s="6">
        <v>4637331</v>
      </c>
      <c r="U333" s="6">
        <v>4547332.4000000004</v>
      </c>
      <c r="V333" s="6">
        <v>1</v>
      </c>
      <c r="W333" s="6">
        <v>1</v>
      </c>
      <c r="X333" s="6">
        <v>0</v>
      </c>
    </row>
    <row r="334" spans="1:24" x14ac:dyDescent="0.25">
      <c r="A334" s="6" t="s">
        <v>125</v>
      </c>
      <c r="B334" s="6" t="str">
        <f>VLOOKUP(A334,'[1]SBV Isolates'!$A$2:$B$367,2,FALSE)</f>
        <v>plate01</v>
      </c>
      <c r="C334" s="6">
        <v>2</v>
      </c>
      <c r="D334" s="6">
        <v>2</v>
      </c>
      <c r="E334" s="6">
        <v>2</v>
      </c>
      <c r="F334" s="6">
        <v>2</v>
      </c>
      <c r="G334" s="6">
        <v>2</v>
      </c>
      <c r="H334" s="6">
        <v>2</v>
      </c>
      <c r="I334" s="6">
        <v>4755905</v>
      </c>
      <c r="J334" s="6">
        <v>4755905</v>
      </c>
      <c r="K334" s="6">
        <v>4755905</v>
      </c>
      <c r="L334" s="6">
        <v>4755905</v>
      </c>
      <c r="M334" s="6">
        <v>4755905</v>
      </c>
      <c r="N334" s="6">
        <v>4755905</v>
      </c>
      <c r="O334" s="6">
        <v>2</v>
      </c>
      <c r="P334" s="6">
        <v>4662185</v>
      </c>
      <c r="Q334" s="6">
        <v>4755905</v>
      </c>
      <c r="R334" s="6">
        <v>52.29</v>
      </c>
      <c r="S334" s="6">
        <v>4662185</v>
      </c>
      <c r="T334" s="6">
        <v>4662185</v>
      </c>
      <c r="U334" s="6">
        <v>4572158.7</v>
      </c>
      <c r="V334" s="6">
        <v>1</v>
      </c>
      <c r="W334" s="6">
        <v>1</v>
      </c>
      <c r="X334" s="6">
        <v>0</v>
      </c>
    </row>
    <row r="335" spans="1:24" x14ac:dyDescent="0.25">
      <c r="A335" s="6" t="s">
        <v>133</v>
      </c>
      <c r="B335" s="6" t="str">
        <f>VLOOKUP(A335,'[1]SBV Isolates'!$A$2:$B$367,2,FALSE)</f>
        <v>plate01</v>
      </c>
      <c r="C335" s="6">
        <v>2</v>
      </c>
      <c r="D335" s="6">
        <v>2</v>
      </c>
      <c r="E335" s="6">
        <v>2</v>
      </c>
      <c r="F335" s="6">
        <v>2</v>
      </c>
      <c r="G335" s="6">
        <v>2</v>
      </c>
      <c r="H335" s="6">
        <v>2</v>
      </c>
      <c r="I335" s="6">
        <v>4846949</v>
      </c>
      <c r="J335" s="6">
        <v>4846949</v>
      </c>
      <c r="K335" s="6">
        <v>4846949</v>
      </c>
      <c r="L335" s="6">
        <v>4846949</v>
      </c>
      <c r="M335" s="6">
        <v>4846949</v>
      </c>
      <c r="N335" s="6">
        <v>4846949</v>
      </c>
      <c r="O335" s="6">
        <v>2</v>
      </c>
      <c r="P335" s="6">
        <v>4753132</v>
      </c>
      <c r="Q335" s="6">
        <v>4846949</v>
      </c>
      <c r="R335" s="6">
        <v>52.23</v>
      </c>
      <c r="S335" s="6">
        <v>4753132</v>
      </c>
      <c r="T335" s="6">
        <v>4753132</v>
      </c>
      <c r="U335" s="6">
        <v>4662946.8</v>
      </c>
      <c r="V335" s="6">
        <v>1</v>
      </c>
      <c r="W335" s="6">
        <v>1</v>
      </c>
      <c r="X335" s="6">
        <v>0</v>
      </c>
    </row>
    <row r="336" spans="1:24" x14ac:dyDescent="0.25">
      <c r="A336" s="6" t="s">
        <v>135</v>
      </c>
      <c r="B336" s="6" t="str">
        <f>VLOOKUP(A336,'[1]SBV Isolates'!$A$2:$B$367,2,FALSE)</f>
        <v>plate01</v>
      </c>
      <c r="C336" s="6">
        <v>2</v>
      </c>
      <c r="D336" s="6">
        <v>2</v>
      </c>
      <c r="E336" s="6">
        <v>2</v>
      </c>
      <c r="F336" s="6">
        <v>2</v>
      </c>
      <c r="G336" s="6">
        <v>2</v>
      </c>
      <c r="H336" s="6">
        <v>2</v>
      </c>
      <c r="I336" s="6">
        <v>4755496</v>
      </c>
      <c r="J336" s="6">
        <v>4755496</v>
      </c>
      <c r="K336" s="6">
        <v>4755496</v>
      </c>
      <c r="L336" s="6">
        <v>4755496</v>
      </c>
      <c r="M336" s="6">
        <v>4755496</v>
      </c>
      <c r="N336" s="6">
        <v>4755496</v>
      </c>
      <c r="O336" s="6">
        <v>2</v>
      </c>
      <c r="P336" s="6">
        <v>4661798</v>
      </c>
      <c r="Q336" s="6">
        <v>4755496</v>
      </c>
      <c r="R336" s="6">
        <v>52.29</v>
      </c>
      <c r="S336" s="6">
        <v>4661798</v>
      </c>
      <c r="T336" s="6">
        <v>4661798</v>
      </c>
      <c r="U336" s="6">
        <v>4571792.3</v>
      </c>
      <c r="V336" s="6">
        <v>1</v>
      </c>
      <c r="W336" s="6">
        <v>1</v>
      </c>
      <c r="X336" s="6">
        <v>0</v>
      </c>
    </row>
    <row r="337" spans="1:24" x14ac:dyDescent="0.25">
      <c r="A337" s="6" t="s">
        <v>138</v>
      </c>
      <c r="B337" s="6" t="str">
        <f>VLOOKUP(A337,'[1]SBV Isolates'!$A$2:$B$367,2,FALSE)</f>
        <v>plate01</v>
      </c>
      <c r="C337" s="6">
        <v>2</v>
      </c>
      <c r="D337" s="6">
        <v>2</v>
      </c>
      <c r="E337" s="6">
        <v>2</v>
      </c>
      <c r="F337" s="6">
        <v>2</v>
      </c>
      <c r="G337" s="6">
        <v>2</v>
      </c>
      <c r="H337" s="6">
        <v>2</v>
      </c>
      <c r="I337" s="6">
        <v>4846867</v>
      </c>
      <c r="J337" s="6">
        <v>4846867</v>
      </c>
      <c r="K337" s="6">
        <v>4846867</v>
      </c>
      <c r="L337" s="6">
        <v>4846867</v>
      </c>
      <c r="M337" s="6">
        <v>4846867</v>
      </c>
      <c r="N337" s="6">
        <v>4846867</v>
      </c>
      <c r="O337" s="6">
        <v>2</v>
      </c>
      <c r="P337" s="6">
        <v>4753039</v>
      </c>
      <c r="Q337" s="6">
        <v>4846867</v>
      </c>
      <c r="R337" s="6">
        <v>52.23</v>
      </c>
      <c r="S337" s="6">
        <v>4753039</v>
      </c>
      <c r="T337" s="6">
        <v>4753039</v>
      </c>
      <c r="U337" s="6">
        <v>4662843.7</v>
      </c>
      <c r="V337" s="6">
        <v>1</v>
      </c>
      <c r="W337" s="6">
        <v>1</v>
      </c>
      <c r="X337" s="6">
        <v>0</v>
      </c>
    </row>
    <row r="338" spans="1:24" x14ac:dyDescent="0.25">
      <c r="A338" s="6" t="s">
        <v>140</v>
      </c>
      <c r="B338" s="6" t="str">
        <f>VLOOKUP(A338,'[1]SBV Isolates'!$A$2:$B$367,2,FALSE)</f>
        <v>plate01</v>
      </c>
      <c r="C338" s="6">
        <v>2</v>
      </c>
      <c r="D338" s="6">
        <v>2</v>
      </c>
      <c r="E338" s="6">
        <v>2</v>
      </c>
      <c r="F338" s="6">
        <v>2</v>
      </c>
      <c r="G338" s="6">
        <v>2</v>
      </c>
      <c r="H338" s="6">
        <v>2</v>
      </c>
      <c r="I338" s="6">
        <v>4817142</v>
      </c>
      <c r="J338" s="6">
        <v>4817142</v>
      </c>
      <c r="K338" s="6">
        <v>4817142</v>
      </c>
      <c r="L338" s="6">
        <v>4817142</v>
      </c>
      <c r="M338" s="6">
        <v>4817142</v>
      </c>
      <c r="N338" s="6">
        <v>4817142</v>
      </c>
      <c r="O338" s="6">
        <v>2</v>
      </c>
      <c r="P338" s="6">
        <v>4723363</v>
      </c>
      <c r="Q338" s="6">
        <v>4817142</v>
      </c>
      <c r="R338" s="6">
        <v>52.24</v>
      </c>
      <c r="S338" s="6">
        <v>4723363</v>
      </c>
      <c r="T338" s="6">
        <v>4723363</v>
      </c>
      <c r="U338" s="6">
        <v>4633235.3</v>
      </c>
      <c r="V338" s="6">
        <v>1</v>
      </c>
      <c r="W338" s="6">
        <v>1</v>
      </c>
      <c r="X338" s="6">
        <v>0</v>
      </c>
    </row>
    <row r="339" spans="1:24" x14ac:dyDescent="0.25">
      <c r="A339" s="6" t="s">
        <v>143</v>
      </c>
      <c r="B339" s="6" t="str">
        <f>VLOOKUP(A339,'[1]SBV Isolates'!$A$2:$B$367,2,FALSE)</f>
        <v>plate01</v>
      </c>
      <c r="C339" s="6">
        <v>2</v>
      </c>
      <c r="D339" s="6">
        <v>2</v>
      </c>
      <c r="E339" s="6">
        <v>2</v>
      </c>
      <c r="F339" s="6">
        <v>2</v>
      </c>
      <c r="G339" s="6">
        <v>2</v>
      </c>
      <c r="H339" s="6">
        <v>2</v>
      </c>
      <c r="I339" s="6">
        <v>4794514</v>
      </c>
      <c r="J339" s="6">
        <v>4794514</v>
      </c>
      <c r="K339" s="6">
        <v>4794514</v>
      </c>
      <c r="L339" s="6">
        <v>4794514</v>
      </c>
      <c r="M339" s="6">
        <v>4794514</v>
      </c>
      <c r="N339" s="6">
        <v>4794514</v>
      </c>
      <c r="O339" s="6">
        <v>2</v>
      </c>
      <c r="P339" s="6">
        <v>4700795</v>
      </c>
      <c r="Q339" s="6">
        <v>4794514</v>
      </c>
      <c r="R339" s="6">
        <v>52.28</v>
      </c>
      <c r="S339" s="6">
        <v>4700795</v>
      </c>
      <c r="T339" s="6">
        <v>4700795</v>
      </c>
      <c r="U339" s="6">
        <v>4610739.9000000004</v>
      </c>
      <c r="V339" s="6">
        <v>1</v>
      </c>
      <c r="W339" s="6">
        <v>1</v>
      </c>
      <c r="X339" s="6">
        <v>0</v>
      </c>
    </row>
    <row r="340" spans="1:24" x14ac:dyDescent="0.25">
      <c r="A340" s="6" t="s">
        <v>146</v>
      </c>
      <c r="B340" s="6" t="str">
        <f>VLOOKUP(A340,'[1]SBV Isolates'!$A$2:$B$367,2,FALSE)</f>
        <v>plate01</v>
      </c>
      <c r="C340" s="6">
        <v>2</v>
      </c>
      <c r="D340" s="6">
        <v>2</v>
      </c>
      <c r="E340" s="6">
        <v>2</v>
      </c>
      <c r="F340" s="6">
        <v>2</v>
      </c>
      <c r="G340" s="6">
        <v>2</v>
      </c>
      <c r="H340" s="6">
        <v>2</v>
      </c>
      <c r="I340" s="6">
        <v>4773058</v>
      </c>
      <c r="J340" s="6">
        <v>4773058</v>
      </c>
      <c r="K340" s="6">
        <v>4773058</v>
      </c>
      <c r="L340" s="6">
        <v>4773058</v>
      </c>
      <c r="M340" s="6">
        <v>4773058</v>
      </c>
      <c r="N340" s="6">
        <v>4773058</v>
      </c>
      <c r="O340" s="6">
        <v>2</v>
      </c>
      <c r="P340" s="6">
        <v>4679343</v>
      </c>
      <c r="Q340" s="6">
        <v>4773058</v>
      </c>
      <c r="R340" s="6">
        <v>52.28</v>
      </c>
      <c r="S340" s="6">
        <v>4679343</v>
      </c>
      <c r="T340" s="6">
        <v>4679343</v>
      </c>
      <c r="U340" s="6">
        <v>4589308</v>
      </c>
      <c r="V340" s="6">
        <v>1</v>
      </c>
      <c r="W340" s="6">
        <v>1</v>
      </c>
      <c r="X340" s="6">
        <v>0</v>
      </c>
    </row>
    <row r="341" spans="1:24" x14ac:dyDescent="0.25">
      <c r="A341" s="6" t="s">
        <v>158</v>
      </c>
      <c r="B341" s="6" t="str">
        <f>VLOOKUP(A341,'[1]SBV Isolates'!$A$2:$B$367,2,FALSE)</f>
        <v>plate01</v>
      </c>
      <c r="C341" s="6">
        <v>2</v>
      </c>
      <c r="D341" s="6">
        <v>2</v>
      </c>
      <c r="E341" s="6">
        <v>2</v>
      </c>
      <c r="F341" s="6">
        <v>2</v>
      </c>
      <c r="G341" s="6">
        <v>2</v>
      </c>
      <c r="H341" s="6">
        <v>2</v>
      </c>
      <c r="I341" s="6">
        <v>4838596</v>
      </c>
      <c r="J341" s="6">
        <v>4838596</v>
      </c>
      <c r="K341" s="6">
        <v>4838596</v>
      </c>
      <c r="L341" s="6">
        <v>4838596</v>
      </c>
      <c r="M341" s="6">
        <v>4838596</v>
      </c>
      <c r="N341" s="6">
        <v>4838596</v>
      </c>
      <c r="O341" s="6">
        <v>2</v>
      </c>
      <c r="P341" s="6">
        <v>4744885</v>
      </c>
      <c r="Q341" s="6">
        <v>4838596</v>
      </c>
      <c r="R341" s="6">
        <v>52.27</v>
      </c>
      <c r="S341" s="6">
        <v>4744885</v>
      </c>
      <c r="T341" s="6">
        <v>4744885</v>
      </c>
      <c r="U341" s="6">
        <v>4654803.9000000004</v>
      </c>
      <c r="V341" s="6">
        <v>1</v>
      </c>
      <c r="W341" s="6">
        <v>1</v>
      </c>
      <c r="X341" s="6">
        <v>0</v>
      </c>
    </row>
    <row r="342" spans="1:24" x14ac:dyDescent="0.25">
      <c r="A342" s="6" t="s">
        <v>183</v>
      </c>
      <c r="B342" s="6" t="str">
        <f>VLOOKUP(A342,'[1]SBV Isolates'!$A$2:$B$367,2,FALSE)</f>
        <v>plate01</v>
      </c>
      <c r="C342" s="6">
        <v>2</v>
      </c>
      <c r="D342" s="6">
        <v>2</v>
      </c>
      <c r="E342" s="6">
        <v>2</v>
      </c>
      <c r="F342" s="6">
        <v>2</v>
      </c>
      <c r="G342" s="6">
        <v>2</v>
      </c>
      <c r="H342" s="6">
        <v>2</v>
      </c>
      <c r="I342" s="6">
        <v>4838554</v>
      </c>
      <c r="J342" s="6">
        <v>4838554</v>
      </c>
      <c r="K342" s="6">
        <v>4838554</v>
      </c>
      <c r="L342" s="6">
        <v>4838554</v>
      </c>
      <c r="M342" s="6">
        <v>4838554</v>
      </c>
      <c r="N342" s="6">
        <v>4838554</v>
      </c>
      <c r="O342" s="6">
        <v>2</v>
      </c>
      <c r="P342" s="6">
        <v>4744861</v>
      </c>
      <c r="Q342" s="6">
        <v>4838554</v>
      </c>
      <c r="R342" s="6">
        <v>52.27</v>
      </c>
      <c r="S342" s="6">
        <v>4744861</v>
      </c>
      <c r="T342" s="6">
        <v>4744861</v>
      </c>
      <c r="U342" s="6">
        <v>4654796.5</v>
      </c>
      <c r="V342" s="6">
        <v>1</v>
      </c>
      <c r="W342" s="6">
        <v>1</v>
      </c>
      <c r="X342" s="6">
        <v>0</v>
      </c>
    </row>
    <row r="343" spans="1:24" x14ac:dyDescent="0.25">
      <c r="A343" s="6" t="s">
        <v>200</v>
      </c>
      <c r="B343" s="6" t="str">
        <f>VLOOKUP(A343,'[1]SBV Isolates'!$A$2:$B$367,2,FALSE)</f>
        <v>plate02</v>
      </c>
      <c r="C343" s="6">
        <v>2</v>
      </c>
      <c r="D343" s="6">
        <v>2</v>
      </c>
      <c r="E343" s="6">
        <v>2</v>
      </c>
      <c r="F343" s="6">
        <v>2</v>
      </c>
      <c r="G343" s="6">
        <v>2</v>
      </c>
      <c r="H343" s="6">
        <v>2</v>
      </c>
      <c r="I343" s="6">
        <v>4838571</v>
      </c>
      <c r="J343" s="6">
        <v>4838571</v>
      </c>
      <c r="K343" s="6">
        <v>4838571</v>
      </c>
      <c r="L343" s="6">
        <v>4838571</v>
      </c>
      <c r="M343" s="6">
        <v>4838571</v>
      </c>
      <c r="N343" s="6">
        <v>4838571</v>
      </c>
      <c r="O343" s="6">
        <v>2</v>
      </c>
      <c r="P343" s="6">
        <v>4744878</v>
      </c>
      <c r="Q343" s="6">
        <v>4838571</v>
      </c>
      <c r="R343" s="6">
        <v>52.27</v>
      </c>
      <c r="S343" s="6">
        <v>4744878</v>
      </c>
      <c r="T343" s="6">
        <v>4744878</v>
      </c>
      <c r="U343" s="6">
        <v>4654813.5</v>
      </c>
      <c r="V343" s="6">
        <v>1</v>
      </c>
      <c r="W343" s="6">
        <v>1</v>
      </c>
      <c r="X343" s="6">
        <v>0</v>
      </c>
    </row>
    <row r="344" spans="1:24" x14ac:dyDescent="0.25">
      <c r="A344" s="6" t="s">
        <v>202</v>
      </c>
      <c r="B344" s="6" t="str">
        <f>VLOOKUP(A344,'[1]SBV Isolates'!$A$2:$B$367,2,FALSE)</f>
        <v>plate02</v>
      </c>
      <c r="C344" s="6">
        <v>2</v>
      </c>
      <c r="D344" s="6">
        <v>2</v>
      </c>
      <c r="E344" s="6">
        <v>2</v>
      </c>
      <c r="F344" s="6">
        <v>2</v>
      </c>
      <c r="G344" s="6">
        <v>2</v>
      </c>
      <c r="H344" s="6">
        <v>2</v>
      </c>
      <c r="I344" s="6">
        <v>4838673</v>
      </c>
      <c r="J344" s="6">
        <v>4838673</v>
      </c>
      <c r="K344" s="6">
        <v>4838673</v>
      </c>
      <c r="L344" s="6">
        <v>4838673</v>
      </c>
      <c r="M344" s="6">
        <v>4838673</v>
      </c>
      <c r="N344" s="6">
        <v>4838673</v>
      </c>
      <c r="O344" s="6">
        <v>2</v>
      </c>
      <c r="P344" s="6">
        <v>4744985</v>
      </c>
      <c r="Q344" s="6">
        <v>4838673</v>
      </c>
      <c r="R344" s="6">
        <v>52.27</v>
      </c>
      <c r="S344" s="6">
        <v>4744985</v>
      </c>
      <c r="T344" s="6">
        <v>4744985</v>
      </c>
      <c r="U344" s="6">
        <v>4654925</v>
      </c>
      <c r="V344" s="6">
        <v>1</v>
      </c>
      <c r="W344" s="6">
        <v>1</v>
      </c>
      <c r="X344" s="6">
        <v>0</v>
      </c>
    </row>
    <row r="345" spans="1:24" x14ac:dyDescent="0.25">
      <c r="A345" s="6" t="s">
        <v>205</v>
      </c>
      <c r="B345" s="6" t="str">
        <f>VLOOKUP(A345,'[1]SBV Isolates'!$A$2:$B$367,2,FALSE)</f>
        <v>plate02</v>
      </c>
      <c r="C345" s="6">
        <v>2</v>
      </c>
      <c r="D345" s="6">
        <v>2</v>
      </c>
      <c r="E345" s="6">
        <v>2</v>
      </c>
      <c r="F345" s="6">
        <v>2</v>
      </c>
      <c r="G345" s="6">
        <v>2</v>
      </c>
      <c r="H345" s="6">
        <v>2</v>
      </c>
      <c r="I345" s="6">
        <v>4838553</v>
      </c>
      <c r="J345" s="6">
        <v>4838553</v>
      </c>
      <c r="K345" s="6">
        <v>4838553</v>
      </c>
      <c r="L345" s="6">
        <v>4838553</v>
      </c>
      <c r="M345" s="6">
        <v>4838553</v>
      </c>
      <c r="N345" s="6">
        <v>4838553</v>
      </c>
      <c r="O345" s="6">
        <v>2</v>
      </c>
      <c r="P345" s="6">
        <v>4744868</v>
      </c>
      <c r="Q345" s="6">
        <v>4838553</v>
      </c>
      <c r="R345" s="6">
        <v>52.27</v>
      </c>
      <c r="S345" s="6">
        <v>4744868</v>
      </c>
      <c r="T345" s="6">
        <v>4744868</v>
      </c>
      <c r="U345" s="6">
        <v>4654810.9000000004</v>
      </c>
      <c r="V345" s="6">
        <v>1</v>
      </c>
      <c r="W345" s="6">
        <v>1</v>
      </c>
      <c r="X345" s="6">
        <v>0</v>
      </c>
    </row>
    <row r="346" spans="1:24" x14ac:dyDescent="0.25">
      <c r="A346" s="6" t="s">
        <v>211</v>
      </c>
      <c r="B346" s="6" t="str">
        <f>VLOOKUP(A346,'[1]SBV Isolates'!$A$2:$B$367,2,FALSE)</f>
        <v>plate02</v>
      </c>
      <c r="C346" s="6">
        <v>2</v>
      </c>
      <c r="D346" s="6">
        <v>2</v>
      </c>
      <c r="E346" s="6">
        <v>2</v>
      </c>
      <c r="F346" s="6">
        <v>2</v>
      </c>
      <c r="G346" s="6">
        <v>2</v>
      </c>
      <c r="H346" s="6">
        <v>2</v>
      </c>
      <c r="I346" s="6">
        <v>4838553</v>
      </c>
      <c r="J346" s="6">
        <v>4838553</v>
      </c>
      <c r="K346" s="6">
        <v>4838553</v>
      </c>
      <c r="L346" s="6">
        <v>4838553</v>
      </c>
      <c r="M346" s="6">
        <v>4838553</v>
      </c>
      <c r="N346" s="6">
        <v>4838553</v>
      </c>
      <c r="O346" s="6">
        <v>2</v>
      </c>
      <c r="P346" s="6">
        <v>4744870</v>
      </c>
      <c r="Q346" s="6">
        <v>4838553</v>
      </c>
      <c r="R346" s="6">
        <v>52.27</v>
      </c>
      <c r="S346" s="6">
        <v>4744870</v>
      </c>
      <c r="T346" s="6">
        <v>4744870</v>
      </c>
      <c r="U346" s="6">
        <v>4654814.7</v>
      </c>
      <c r="V346" s="6">
        <v>1</v>
      </c>
      <c r="W346" s="6">
        <v>1</v>
      </c>
      <c r="X346" s="6">
        <v>0</v>
      </c>
    </row>
    <row r="347" spans="1:24" x14ac:dyDescent="0.25">
      <c r="A347" s="6" t="s">
        <v>233</v>
      </c>
      <c r="B347" s="6" t="str">
        <f>VLOOKUP(A347,'[1]SBV Isolates'!$A$2:$B$367,2,FALSE)</f>
        <v>plate02</v>
      </c>
      <c r="C347" s="6">
        <v>2</v>
      </c>
      <c r="D347" s="6">
        <v>2</v>
      </c>
      <c r="E347" s="6">
        <v>2</v>
      </c>
      <c r="F347" s="6">
        <v>1</v>
      </c>
      <c r="G347" s="6">
        <v>1</v>
      </c>
      <c r="H347" s="6">
        <v>1</v>
      </c>
      <c r="I347" s="6">
        <v>4778025</v>
      </c>
      <c r="J347" s="6">
        <v>4778025</v>
      </c>
      <c r="K347" s="6">
        <v>4778025</v>
      </c>
      <c r="L347" s="6">
        <v>4769933</v>
      </c>
      <c r="M347" s="6">
        <v>4769933</v>
      </c>
      <c r="N347" s="6">
        <v>4769933</v>
      </c>
      <c r="O347" s="6">
        <v>2</v>
      </c>
      <c r="P347" s="6">
        <v>4769933</v>
      </c>
      <c r="Q347" s="6">
        <v>4778025</v>
      </c>
      <c r="R347" s="6">
        <v>52.18</v>
      </c>
      <c r="S347" s="6">
        <v>4769933</v>
      </c>
      <c r="T347" s="6">
        <v>4769933</v>
      </c>
      <c r="U347" s="6">
        <v>4761868.4000000004</v>
      </c>
      <c r="V347" s="6">
        <v>1</v>
      </c>
      <c r="W347" s="6">
        <v>1</v>
      </c>
      <c r="X347" s="6">
        <v>0</v>
      </c>
    </row>
    <row r="348" spans="1:24" x14ac:dyDescent="0.25">
      <c r="A348" s="6" t="s">
        <v>327</v>
      </c>
      <c r="B348" s="6" t="str">
        <f>VLOOKUP(A348,'[1]SBV Isolates'!$A$2:$B$367,2,FALSE)</f>
        <v>plate03</v>
      </c>
      <c r="C348" s="6">
        <v>2</v>
      </c>
      <c r="D348" s="6">
        <v>2</v>
      </c>
      <c r="E348" s="6">
        <v>2</v>
      </c>
      <c r="F348" s="6">
        <v>2</v>
      </c>
      <c r="G348" s="6">
        <v>2</v>
      </c>
      <c r="H348" s="6">
        <v>2</v>
      </c>
      <c r="I348" s="6">
        <v>4944922</v>
      </c>
      <c r="J348" s="6">
        <v>4944922</v>
      </c>
      <c r="K348" s="6">
        <v>4944922</v>
      </c>
      <c r="L348" s="6">
        <v>4944922</v>
      </c>
      <c r="M348" s="6">
        <v>4944922</v>
      </c>
      <c r="N348" s="6">
        <v>4944922</v>
      </c>
      <c r="O348" s="6">
        <v>2</v>
      </c>
      <c r="P348" s="6">
        <v>4858102</v>
      </c>
      <c r="Q348" s="6">
        <v>4944922</v>
      </c>
      <c r="R348" s="6">
        <v>52.26</v>
      </c>
      <c r="S348" s="6">
        <v>4858102</v>
      </c>
      <c r="T348" s="6">
        <v>4858102</v>
      </c>
      <c r="U348" s="6">
        <v>4774330.7</v>
      </c>
      <c r="V348" s="6">
        <v>1</v>
      </c>
      <c r="W348" s="6">
        <v>1</v>
      </c>
      <c r="X348" s="6">
        <v>0</v>
      </c>
    </row>
    <row r="349" spans="1:24" x14ac:dyDescent="0.25">
      <c r="A349" s="6" t="s">
        <v>365</v>
      </c>
      <c r="B349" s="6" t="str">
        <f>VLOOKUP(A349,'[1]SBV Isolates'!$A$2:$B$367,2,FALSE)</f>
        <v>plate03</v>
      </c>
      <c r="C349" s="6">
        <v>2</v>
      </c>
      <c r="D349" s="6">
        <v>2</v>
      </c>
      <c r="E349" s="6">
        <v>2</v>
      </c>
      <c r="F349" s="6">
        <v>2</v>
      </c>
      <c r="G349" s="6">
        <v>2</v>
      </c>
      <c r="H349" s="6">
        <v>2</v>
      </c>
      <c r="I349" s="6">
        <v>4793735</v>
      </c>
      <c r="J349" s="6">
        <v>4793735</v>
      </c>
      <c r="K349" s="6">
        <v>4793735</v>
      </c>
      <c r="L349" s="6">
        <v>4793735</v>
      </c>
      <c r="M349" s="6">
        <v>4793735</v>
      </c>
      <c r="N349" s="6">
        <v>4793735</v>
      </c>
      <c r="O349" s="6">
        <v>2</v>
      </c>
      <c r="P349" s="6">
        <v>4700058</v>
      </c>
      <c r="Q349" s="6">
        <v>4793735</v>
      </c>
      <c r="R349" s="6">
        <v>52.28</v>
      </c>
      <c r="S349" s="6">
        <v>4700058</v>
      </c>
      <c r="T349" s="6">
        <v>4700058</v>
      </c>
      <c r="U349" s="6">
        <v>4610042.2</v>
      </c>
      <c r="V349" s="6">
        <v>1</v>
      </c>
      <c r="W349" s="6">
        <v>1</v>
      </c>
      <c r="X349" s="6">
        <v>0</v>
      </c>
    </row>
    <row r="350" spans="1:24" x14ac:dyDescent="0.25">
      <c r="A350" s="6" t="s">
        <v>398</v>
      </c>
      <c r="B350" s="6" t="str">
        <f>VLOOKUP(A350,'[1]SBV Isolates'!$A$2:$B$367,2,FALSE)</f>
        <v>plate04</v>
      </c>
      <c r="C350" s="6">
        <v>2</v>
      </c>
      <c r="D350" s="6">
        <v>2</v>
      </c>
      <c r="E350" s="6">
        <v>2</v>
      </c>
      <c r="F350" s="6">
        <v>2</v>
      </c>
      <c r="G350" s="6">
        <v>2</v>
      </c>
      <c r="H350" s="6">
        <v>2</v>
      </c>
      <c r="I350" s="6">
        <v>4838552</v>
      </c>
      <c r="J350" s="6">
        <v>4838552</v>
      </c>
      <c r="K350" s="6">
        <v>4838552</v>
      </c>
      <c r="L350" s="6">
        <v>4838552</v>
      </c>
      <c r="M350" s="6">
        <v>4838552</v>
      </c>
      <c r="N350" s="6">
        <v>4838552</v>
      </c>
      <c r="O350" s="6">
        <v>2</v>
      </c>
      <c r="P350" s="6">
        <v>4744865</v>
      </c>
      <c r="Q350" s="6">
        <v>4838552</v>
      </c>
      <c r="R350" s="6">
        <v>52.27</v>
      </c>
      <c r="S350" s="6">
        <v>4744865</v>
      </c>
      <c r="T350" s="6">
        <v>4744865</v>
      </c>
      <c r="U350" s="6">
        <v>4654806</v>
      </c>
      <c r="V350" s="6">
        <v>1</v>
      </c>
      <c r="W350" s="6">
        <v>1</v>
      </c>
      <c r="X350" s="6">
        <v>0</v>
      </c>
    </row>
    <row r="351" spans="1:24" x14ac:dyDescent="0.25">
      <c r="A351" s="6" t="s">
        <v>399</v>
      </c>
      <c r="B351" s="6" t="str">
        <f>VLOOKUP(A351,'[1]SBV Isolates'!$A$2:$B$367,2,FALSE)</f>
        <v>plate04</v>
      </c>
      <c r="C351" s="6">
        <v>2</v>
      </c>
      <c r="D351" s="6">
        <v>2</v>
      </c>
      <c r="E351" s="6">
        <v>2</v>
      </c>
      <c r="F351" s="6">
        <v>2</v>
      </c>
      <c r="G351" s="6">
        <v>2</v>
      </c>
      <c r="H351" s="6">
        <v>2</v>
      </c>
      <c r="I351" s="6">
        <v>4838570</v>
      </c>
      <c r="J351" s="6">
        <v>4838570</v>
      </c>
      <c r="K351" s="6">
        <v>4838570</v>
      </c>
      <c r="L351" s="6">
        <v>4838570</v>
      </c>
      <c r="M351" s="6">
        <v>4838570</v>
      </c>
      <c r="N351" s="6">
        <v>4838570</v>
      </c>
      <c r="O351" s="6">
        <v>2</v>
      </c>
      <c r="P351" s="6">
        <v>4744872</v>
      </c>
      <c r="Q351" s="6">
        <v>4838570</v>
      </c>
      <c r="R351" s="6">
        <v>52.27</v>
      </c>
      <c r="S351" s="6">
        <v>4744872</v>
      </c>
      <c r="T351" s="6">
        <v>4744872</v>
      </c>
      <c r="U351" s="6">
        <v>4654802.9000000004</v>
      </c>
      <c r="V351" s="6">
        <v>1</v>
      </c>
      <c r="W351" s="6">
        <v>1</v>
      </c>
      <c r="X351" s="6">
        <v>0</v>
      </c>
    </row>
    <row r="352" spans="1:24" x14ac:dyDescent="0.25">
      <c r="A352" s="6" t="s">
        <v>401</v>
      </c>
      <c r="B352" s="6" t="str">
        <f>VLOOKUP(A352,'[1]SBV Isolates'!$A$2:$B$367,2,FALSE)</f>
        <v>plate04</v>
      </c>
      <c r="C352" s="6">
        <v>2</v>
      </c>
      <c r="D352" s="6">
        <v>2</v>
      </c>
      <c r="E352" s="6">
        <v>2</v>
      </c>
      <c r="F352" s="6">
        <v>2</v>
      </c>
      <c r="G352" s="6">
        <v>2</v>
      </c>
      <c r="H352" s="6">
        <v>2</v>
      </c>
      <c r="I352" s="6">
        <v>4838455</v>
      </c>
      <c r="J352" s="6">
        <v>4838455</v>
      </c>
      <c r="K352" s="6">
        <v>4838455</v>
      </c>
      <c r="L352" s="6">
        <v>4838455</v>
      </c>
      <c r="M352" s="6">
        <v>4838455</v>
      </c>
      <c r="N352" s="6">
        <v>4838455</v>
      </c>
      <c r="O352" s="6">
        <v>2</v>
      </c>
      <c r="P352" s="6">
        <v>4744765</v>
      </c>
      <c r="Q352" s="6">
        <v>4838455</v>
      </c>
      <c r="R352" s="6">
        <v>52.27</v>
      </c>
      <c r="S352" s="6">
        <v>4744765</v>
      </c>
      <c r="T352" s="6">
        <v>4744765</v>
      </c>
      <c r="U352" s="6">
        <v>4654703.4000000004</v>
      </c>
      <c r="V352" s="6">
        <v>1</v>
      </c>
      <c r="W352" s="6">
        <v>1</v>
      </c>
      <c r="X352" s="6">
        <v>0</v>
      </c>
    </row>
    <row r="353" spans="1:24" x14ac:dyDescent="0.25">
      <c r="A353" s="6" t="s">
        <v>404</v>
      </c>
      <c r="B353" s="6" t="str">
        <f>VLOOKUP(A353,'[1]SBV Isolates'!$A$2:$B$367,2,FALSE)</f>
        <v>plate04</v>
      </c>
      <c r="C353" s="6">
        <v>2</v>
      </c>
      <c r="D353" s="6">
        <v>2</v>
      </c>
      <c r="E353" s="6">
        <v>2</v>
      </c>
      <c r="F353" s="6">
        <v>2</v>
      </c>
      <c r="G353" s="6">
        <v>2</v>
      </c>
      <c r="H353" s="6">
        <v>2</v>
      </c>
      <c r="I353" s="6">
        <v>4831414</v>
      </c>
      <c r="J353" s="6">
        <v>4831414</v>
      </c>
      <c r="K353" s="6">
        <v>4831414</v>
      </c>
      <c r="L353" s="6">
        <v>4831414</v>
      </c>
      <c r="M353" s="6">
        <v>4831414</v>
      </c>
      <c r="N353" s="6">
        <v>4831414</v>
      </c>
      <c r="O353" s="6">
        <v>2</v>
      </c>
      <c r="P353" s="6">
        <v>4737713</v>
      </c>
      <c r="Q353" s="6">
        <v>4831414</v>
      </c>
      <c r="R353" s="6">
        <v>52.28</v>
      </c>
      <c r="S353" s="6">
        <v>4737713</v>
      </c>
      <c r="T353" s="6">
        <v>4737713</v>
      </c>
      <c r="U353" s="6">
        <v>4647646.5</v>
      </c>
      <c r="V353" s="6">
        <v>1</v>
      </c>
      <c r="W353" s="6">
        <v>1</v>
      </c>
      <c r="X353" s="6">
        <v>0</v>
      </c>
    </row>
    <row r="354" spans="1:24" x14ac:dyDescent="0.25">
      <c r="A354" s="6" t="s">
        <v>409</v>
      </c>
      <c r="B354" s="6" t="str">
        <f>VLOOKUP(A354,'[1]SBV Isolates'!$A$2:$B$367,2,FALSE)</f>
        <v>plate04</v>
      </c>
      <c r="C354" s="6">
        <v>2</v>
      </c>
      <c r="D354" s="6">
        <v>2</v>
      </c>
      <c r="E354" s="6">
        <v>2</v>
      </c>
      <c r="F354" s="6">
        <v>2</v>
      </c>
      <c r="G354" s="6">
        <v>2</v>
      </c>
      <c r="H354" s="6">
        <v>2</v>
      </c>
      <c r="I354" s="6">
        <v>4831413</v>
      </c>
      <c r="J354" s="6">
        <v>4831413</v>
      </c>
      <c r="K354" s="6">
        <v>4831413</v>
      </c>
      <c r="L354" s="6">
        <v>4831413</v>
      </c>
      <c r="M354" s="6">
        <v>4831413</v>
      </c>
      <c r="N354" s="6">
        <v>4831413</v>
      </c>
      <c r="O354" s="6">
        <v>2</v>
      </c>
      <c r="P354" s="6">
        <v>4737709</v>
      </c>
      <c r="Q354" s="6">
        <v>4831413</v>
      </c>
      <c r="R354" s="6">
        <v>52.28</v>
      </c>
      <c r="S354" s="6">
        <v>4737709</v>
      </c>
      <c r="T354" s="6">
        <v>4737709</v>
      </c>
      <c r="U354" s="6">
        <v>4647639.7</v>
      </c>
      <c r="V354" s="6">
        <v>1</v>
      </c>
      <c r="W354" s="6">
        <v>1</v>
      </c>
      <c r="X354" s="6">
        <v>0</v>
      </c>
    </row>
    <row r="355" spans="1:24" x14ac:dyDescent="0.25">
      <c r="A355" s="6" t="s">
        <v>410</v>
      </c>
      <c r="B355" s="6" t="str">
        <f>VLOOKUP(A355,'[1]SBV Isolates'!$A$2:$B$367,2,FALSE)</f>
        <v>plate04</v>
      </c>
      <c r="C355" s="6">
        <v>2</v>
      </c>
      <c r="D355" s="6">
        <v>2</v>
      </c>
      <c r="E355" s="6">
        <v>2</v>
      </c>
      <c r="F355" s="6">
        <v>2</v>
      </c>
      <c r="G355" s="6">
        <v>2</v>
      </c>
      <c r="H355" s="6">
        <v>2</v>
      </c>
      <c r="I355" s="6">
        <v>4838770</v>
      </c>
      <c r="J355" s="6">
        <v>4838770</v>
      </c>
      <c r="K355" s="6">
        <v>4838770</v>
      </c>
      <c r="L355" s="6">
        <v>4838770</v>
      </c>
      <c r="M355" s="6">
        <v>4838770</v>
      </c>
      <c r="N355" s="6">
        <v>4838770</v>
      </c>
      <c r="O355" s="6">
        <v>2</v>
      </c>
      <c r="P355" s="6">
        <v>4745076</v>
      </c>
      <c r="Q355" s="6">
        <v>4838770</v>
      </c>
      <c r="R355" s="6">
        <v>52.27</v>
      </c>
      <c r="S355" s="6">
        <v>4745076</v>
      </c>
      <c r="T355" s="6">
        <v>4745076</v>
      </c>
      <c r="U355" s="6">
        <v>4655010.4000000004</v>
      </c>
      <c r="V355" s="6">
        <v>1</v>
      </c>
      <c r="W355" s="6">
        <v>1</v>
      </c>
      <c r="X355" s="6">
        <v>0</v>
      </c>
    </row>
    <row r="356" spans="1:24" x14ac:dyDescent="0.25">
      <c r="A356" s="6" t="s">
        <v>411</v>
      </c>
      <c r="B356" s="6" t="str">
        <f>VLOOKUP(A356,'[1]SBV Isolates'!$A$2:$B$367,2,FALSE)</f>
        <v>plate04</v>
      </c>
      <c r="C356" s="6">
        <v>2</v>
      </c>
      <c r="D356" s="6">
        <v>2</v>
      </c>
      <c r="E356" s="6">
        <v>2</v>
      </c>
      <c r="F356" s="6">
        <v>2</v>
      </c>
      <c r="G356" s="6">
        <v>2</v>
      </c>
      <c r="H356" s="6">
        <v>2</v>
      </c>
      <c r="I356" s="6">
        <v>4838578</v>
      </c>
      <c r="J356" s="6">
        <v>4838578</v>
      </c>
      <c r="K356" s="6">
        <v>4838578</v>
      </c>
      <c r="L356" s="6">
        <v>4838578</v>
      </c>
      <c r="M356" s="6">
        <v>4838578</v>
      </c>
      <c r="N356" s="6">
        <v>4838578</v>
      </c>
      <c r="O356" s="6">
        <v>2</v>
      </c>
      <c r="P356" s="6">
        <v>4744882</v>
      </c>
      <c r="Q356" s="6">
        <v>4838578</v>
      </c>
      <c r="R356" s="6">
        <v>52.27</v>
      </c>
      <c r="S356" s="6">
        <v>4744882</v>
      </c>
      <c r="T356" s="6">
        <v>4744882</v>
      </c>
      <c r="U356" s="6">
        <v>4654814.7</v>
      </c>
      <c r="V356" s="6">
        <v>1</v>
      </c>
      <c r="W356" s="6">
        <v>1</v>
      </c>
      <c r="X356" s="6">
        <v>0</v>
      </c>
    </row>
    <row r="357" spans="1:24" x14ac:dyDescent="0.25">
      <c r="A357" s="6" t="s">
        <v>413</v>
      </c>
      <c r="B357" s="6" t="str">
        <f>VLOOKUP(A357,'[1]SBV Isolates'!$A$2:$B$367,2,FALSE)</f>
        <v>plate04</v>
      </c>
      <c r="C357" s="6">
        <v>2</v>
      </c>
      <c r="D357" s="6">
        <v>2</v>
      </c>
      <c r="E357" s="6">
        <v>2</v>
      </c>
      <c r="F357" s="6">
        <v>2</v>
      </c>
      <c r="G357" s="6">
        <v>2</v>
      </c>
      <c r="H357" s="6">
        <v>2</v>
      </c>
      <c r="I357" s="6">
        <v>4879722</v>
      </c>
      <c r="J357" s="6">
        <v>4879722</v>
      </c>
      <c r="K357" s="6">
        <v>4879722</v>
      </c>
      <c r="L357" s="6">
        <v>4879722</v>
      </c>
      <c r="M357" s="6">
        <v>4879722</v>
      </c>
      <c r="N357" s="6">
        <v>4879722</v>
      </c>
      <c r="O357" s="6">
        <v>2</v>
      </c>
      <c r="P357" s="6">
        <v>4785916</v>
      </c>
      <c r="Q357" s="6">
        <v>4879722</v>
      </c>
      <c r="R357" s="6">
        <v>52.25</v>
      </c>
      <c r="S357" s="6">
        <v>4785916</v>
      </c>
      <c r="T357" s="6">
        <v>4785916</v>
      </c>
      <c r="U357" s="6">
        <v>4695716.5999999996</v>
      </c>
      <c r="V357" s="6">
        <v>1</v>
      </c>
      <c r="W357" s="6">
        <v>1</v>
      </c>
      <c r="X357" s="6">
        <v>0</v>
      </c>
    </row>
    <row r="358" spans="1:24" x14ac:dyDescent="0.25">
      <c r="A358" s="6" t="s">
        <v>451</v>
      </c>
      <c r="B358" s="6" t="str">
        <f>VLOOKUP(A358,'[1]SBV Isolates'!$A$2:$B$367,2,FALSE)</f>
        <v>plate04</v>
      </c>
      <c r="C358" s="6">
        <v>2</v>
      </c>
      <c r="D358" s="6">
        <v>2</v>
      </c>
      <c r="E358" s="6">
        <v>2</v>
      </c>
      <c r="F358" s="6">
        <v>2</v>
      </c>
      <c r="G358" s="6">
        <v>2</v>
      </c>
      <c r="H358" s="6">
        <v>2</v>
      </c>
      <c r="I358" s="6">
        <v>4879708</v>
      </c>
      <c r="J358" s="6">
        <v>4879708</v>
      </c>
      <c r="K358" s="6">
        <v>4879708</v>
      </c>
      <c r="L358" s="6">
        <v>4879708</v>
      </c>
      <c r="M358" s="6">
        <v>4879708</v>
      </c>
      <c r="N358" s="6">
        <v>4879708</v>
      </c>
      <c r="O358" s="6">
        <v>2</v>
      </c>
      <c r="P358" s="6">
        <v>4785910</v>
      </c>
      <c r="Q358" s="6">
        <v>4879708</v>
      </c>
      <c r="R358" s="6">
        <v>52.25</v>
      </c>
      <c r="S358" s="6">
        <v>4785910</v>
      </c>
      <c r="T358" s="6">
        <v>4785910</v>
      </c>
      <c r="U358" s="6">
        <v>4695718</v>
      </c>
      <c r="V358" s="6">
        <v>1</v>
      </c>
      <c r="W358" s="6">
        <v>1</v>
      </c>
      <c r="X358" s="6">
        <v>0</v>
      </c>
    </row>
    <row r="359" spans="1:24" x14ac:dyDescent="0.25">
      <c r="A359" s="6" t="s">
        <v>115</v>
      </c>
      <c r="B359" s="6" t="str">
        <f>VLOOKUP(A359,'[1]SBV Isolates'!$A$2:$B$367,2,FALSE)</f>
        <v>plate05</v>
      </c>
      <c r="C359" s="6">
        <v>1</v>
      </c>
      <c r="D359" s="6">
        <v>1</v>
      </c>
      <c r="E359" s="6">
        <v>1</v>
      </c>
      <c r="F359" s="6">
        <v>1</v>
      </c>
      <c r="G359" s="6">
        <v>1</v>
      </c>
      <c r="H359" s="6">
        <v>1</v>
      </c>
      <c r="I359" s="6">
        <v>4737786</v>
      </c>
      <c r="J359" s="6">
        <v>4737786</v>
      </c>
      <c r="K359" s="6">
        <v>4737786</v>
      </c>
      <c r="L359" s="6">
        <v>4737786</v>
      </c>
      <c r="M359" s="6">
        <v>4737786</v>
      </c>
      <c r="N359" s="6">
        <v>4737786</v>
      </c>
      <c r="O359" s="6">
        <v>1</v>
      </c>
      <c r="P359" s="6">
        <v>4737786</v>
      </c>
      <c r="Q359" s="6">
        <v>4737786</v>
      </c>
      <c r="R359" s="6">
        <v>52.21</v>
      </c>
      <c r="S359" s="6">
        <v>4737786</v>
      </c>
      <c r="T359" s="6">
        <v>4737786</v>
      </c>
      <c r="U359" s="6">
        <v>4737786</v>
      </c>
      <c r="V359" s="6">
        <v>1</v>
      </c>
      <c r="W359" s="6">
        <v>1</v>
      </c>
      <c r="X359" s="6">
        <v>0</v>
      </c>
    </row>
    <row r="360" spans="1:24" x14ac:dyDescent="0.25">
      <c r="A360" s="6" t="s">
        <v>116</v>
      </c>
      <c r="B360" s="6" t="str">
        <f>VLOOKUP(A360,'[1]SBV Isolates'!$A$2:$B$367,2,FALSE)</f>
        <v>plate01</v>
      </c>
      <c r="C360" s="6">
        <v>1</v>
      </c>
      <c r="D360" s="6">
        <v>1</v>
      </c>
      <c r="E360" s="6">
        <v>1</v>
      </c>
      <c r="F360" s="6">
        <v>1</v>
      </c>
      <c r="G360" s="6">
        <v>1</v>
      </c>
      <c r="H360" s="6">
        <v>1</v>
      </c>
      <c r="I360" s="6">
        <v>4706556</v>
      </c>
      <c r="J360" s="6">
        <v>4706556</v>
      </c>
      <c r="K360" s="6">
        <v>4706556</v>
      </c>
      <c r="L360" s="6">
        <v>4706556</v>
      </c>
      <c r="M360" s="6">
        <v>4706556</v>
      </c>
      <c r="N360" s="6">
        <v>4706556</v>
      </c>
      <c r="O360" s="6">
        <v>1</v>
      </c>
      <c r="P360" s="6">
        <v>4706556</v>
      </c>
      <c r="Q360" s="6">
        <v>4706556</v>
      </c>
      <c r="R360" s="6">
        <v>52.3</v>
      </c>
      <c r="S360" s="6">
        <v>4706556</v>
      </c>
      <c r="T360" s="6">
        <v>4706556</v>
      </c>
      <c r="U360" s="6">
        <v>4706556</v>
      </c>
      <c r="V360" s="6">
        <v>1</v>
      </c>
      <c r="W360" s="6">
        <v>1</v>
      </c>
      <c r="X360" s="6">
        <v>0</v>
      </c>
    </row>
    <row r="361" spans="1:24" x14ac:dyDescent="0.25">
      <c r="A361" s="6" t="s">
        <v>117</v>
      </c>
      <c r="B361" s="6" t="str">
        <f>VLOOKUP(A361,'[1]SBV Isolates'!$A$2:$B$367,2,FALSE)</f>
        <v>plate01</v>
      </c>
      <c r="C361" s="6">
        <v>1</v>
      </c>
      <c r="D361" s="6">
        <v>1</v>
      </c>
      <c r="E361" s="6">
        <v>1</v>
      </c>
      <c r="F361" s="6">
        <v>1</v>
      </c>
      <c r="G361" s="6">
        <v>1</v>
      </c>
      <c r="H361" s="6">
        <v>1</v>
      </c>
      <c r="I361" s="6">
        <v>4813143</v>
      </c>
      <c r="J361" s="6">
        <v>4813143</v>
      </c>
      <c r="K361" s="6">
        <v>4813143</v>
      </c>
      <c r="L361" s="6">
        <v>4813143</v>
      </c>
      <c r="M361" s="6">
        <v>4813143</v>
      </c>
      <c r="N361" s="6">
        <v>4813143</v>
      </c>
      <c r="O361" s="6">
        <v>1</v>
      </c>
      <c r="P361" s="6">
        <v>4813143</v>
      </c>
      <c r="Q361" s="6">
        <v>4813143</v>
      </c>
      <c r="R361" s="6">
        <v>52.2</v>
      </c>
      <c r="S361" s="6">
        <v>4813143</v>
      </c>
      <c r="T361" s="6">
        <v>4813143</v>
      </c>
      <c r="U361" s="6">
        <v>4813143</v>
      </c>
      <c r="V361" s="6">
        <v>1</v>
      </c>
      <c r="W361" s="6">
        <v>1</v>
      </c>
      <c r="X361" s="6">
        <v>0</v>
      </c>
    </row>
    <row r="362" spans="1:24" x14ac:dyDescent="0.25">
      <c r="A362" s="6" t="s">
        <v>118</v>
      </c>
      <c r="B362" s="6" t="str">
        <f>VLOOKUP(A362,'[1]SBV Isolates'!$A$2:$B$367,2,FALSE)</f>
        <v>plate01</v>
      </c>
      <c r="C362" s="6">
        <v>1</v>
      </c>
      <c r="D362" s="6">
        <v>1</v>
      </c>
      <c r="E362" s="6">
        <v>1</v>
      </c>
      <c r="F362" s="6">
        <v>1</v>
      </c>
      <c r="G362" s="6">
        <v>1</v>
      </c>
      <c r="H362" s="6">
        <v>1</v>
      </c>
      <c r="I362" s="6">
        <v>4735727</v>
      </c>
      <c r="J362" s="6">
        <v>4735727</v>
      </c>
      <c r="K362" s="6">
        <v>4735727</v>
      </c>
      <c r="L362" s="6">
        <v>4735727</v>
      </c>
      <c r="M362" s="6">
        <v>4735727</v>
      </c>
      <c r="N362" s="6">
        <v>4735727</v>
      </c>
      <c r="O362" s="6">
        <v>1</v>
      </c>
      <c r="P362" s="6">
        <v>4735727</v>
      </c>
      <c r="Q362" s="6">
        <v>4735727</v>
      </c>
      <c r="R362" s="6">
        <v>52.23</v>
      </c>
      <c r="S362" s="6">
        <v>4735727</v>
      </c>
      <c r="T362" s="6">
        <v>4735727</v>
      </c>
      <c r="U362" s="6">
        <v>4735727</v>
      </c>
      <c r="V362" s="6">
        <v>1</v>
      </c>
      <c r="W362" s="6">
        <v>1</v>
      </c>
      <c r="X362" s="6">
        <v>0</v>
      </c>
    </row>
    <row r="363" spans="1:24" x14ac:dyDescent="0.25">
      <c r="A363" s="6" t="s">
        <v>122</v>
      </c>
      <c r="B363" s="6" t="str">
        <f>VLOOKUP(A363,'[1]SBV Isolates'!$A$2:$B$367,2,FALSE)</f>
        <v>plate01</v>
      </c>
      <c r="C363" s="6">
        <v>1</v>
      </c>
      <c r="D363" s="6">
        <v>1</v>
      </c>
      <c r="E363" s="6">
        <v>1</v>
      </c>
      <c r="F363" s="6">
        <v>1</v>
      </c>
      <c r="G363" s="6">
        <v>1</v>
      </c>
      <c r="H363" s="6">
        <v>1</v>
      </c>
      <c r="I363" s="6">
        <v>4805541</v>
      </c>
      <c r="J363" s="6">
        <v>4805541</v>
      </c>
      <c r="K363" s="6">
        <v>4805541</v>
      </c>
      <c r="L363" s="6">
        <v>4805541</v>
      </c>
      <c r="M363" s="6">
        <v>4805541</v>
      </c>
      <c r="N363" s="6">
        <v>4805541</v>
      </c>
      <c r="O363" s="6">
        <v>1</v>
      </c>
      <c r="P363" s="6">
        <v>4805541</v>
      </c>
      <c r="Q363" s="6">
        <v>4805541</v>
      </c>
      <c r="R363" s="6">
        <v>52.16</v>
      </c>
      <c r="S363" s="6">
        <v>4805541</v>
      </c>
      <c r="T363" s="6">
        <v>4805541</v>
      </c>
      <c r="U363" s="6">
        <v>4805541</v>
      </c>
      <c r="V363" s="6">
        <v>1</v>
      </c>
      <c r="W363" s="6">
        <v>1</v>
      </c>
      <c r="X363" s="6">
        <v>0</v>
      </c>
    </row>
    <row r="364" spans="1:24" x14ac:dyDescent="0.25">
      <c r="A364" s="6" t="s">
        <v>123</v>
      </c>
      <c r="B364" s="6" t="str">
        <f>VLOOKUP(A364,'[1]SBV Isolates'!$A$2:$B$367,2,FALSE)</f>
        <v>plate01</v>
      </c>
      <c r="C364" s="6">
        <v>1</v>
      </c>
      <c r="D364" s="6">
        <v>1</v>
      </c>
      <c r="E364" s="6">
        <v>1</v>
      </c>
      <c r="F364" s="6">
        <v>1</v>
      </c>
      <c r="G364" s="6">
        <v>1</v>
      </c>
      <c r="H364" s="6">
        <v>1</v>
      </c>
      <c r="I364" s="6">
        <v>4853885</v>
      </c>
      <c r="J364" s="6">
        <v>4853885</v>
      </c>
      <c r="K364" s="6">
        <v>4853885</v>
      </c>
      <c r="L364" s="6">
        <v>4853885</v>
      </c>
      <c r="M364" s="6">
        <v>4853885</v>
      </c>
      <c r="N364" s="6">
        <v>4853885</v>
      </c>
      <c r="O364" s="6">
        <v>1</v>
      </c>
      <c r="P364" s="6">
        <v>4853885</v>
      </c>
      <c r="Q364" s="6">
        <v>4853885</v>
      </c>
      <c r="R364" s="6">
        <v>52.21</v>
      </c>
      <c r="S364" s="6">
        <v>4853885</v>
      </c>
      <c r="T364" s="6">
        <v>4853885</v>
      </c>
      <c r="U364" s="6">
        <v>4853885</v>
      </c>
      <c r="V364" s="6">
        <v>1</v>
      </c>
      <c r="W364" s="6">
        <v>1</v>
      </c>
      <c r="X364" s="6">
        <v>0</v>
      </c>
    </row>
    <row r="365" spans="1:24" x14ac:dyDescent="0.25">
      <c r="A365" s="6" t="s">
        <v>126</v>
      </c>
      <c r="B365" s="6" t="str">
        <f>VLOOKUP(A365,'[1]SBV Isolates'!$A$2:$B$367,2,FALSE)</f>
        <v>plate01</v>
      </c>
      <c r="C365" s="6">
        <v>1</v>
      </c>
      <c r="D365" s="6">
        <v>1</v>
      </c>
      <c r="E365" s="6">
        <v>1</v>
      </c>
      <c r="F365" s="6">
        <v>1</v>
      </c>
      <c r="G365" s="6">
        <v>1</v>
      </c>
      <c r="H365" s="6">
        <v>1</v>
      </c>
      <c r="I365" s="6">
        <v>4737847</v>
      </c>
      <c r="J365" s="6">
        <v>4737847</v>
      </c>
      <c r="K365" s="6">
        <v>4737847</v>
      </c>
      <c r="L365" s="6">
        <v>4737847</v>
      </c>
      <c r="M365" s="6">
        <v>4737847</v>
      </c>
      <c r="N365" s="6">
        <v>4737847</v>
      </c>
      <c r="O365" s="6">
        <v>1</v>
      </c>
      <c r="P365" s="6">
        <v>4737847</v>
      </c>
      <c r="Q365" s="6">
        <v>4737847</v>
      </c>
      <c r="R365" s="6">
        <v>52.21</v>
      </c>
      <c r="S365" s="6">
        <v>4737847</v>
      </c>
      <c r="T365" s="6">
        <v>4737847</v>
      </c>
      <c r="U365" s="6">
        <v>4737847</v>
      </c>
      <c r="V365" s="6">
        <v>1</v>
      </c>
      <c r="W365" s="6">
        <v>1</v>
      </c>
      <c r="X365" s="6">
        <v>0</v>
      </c>
    </row>
    <row r="366" spans="1:24" x14ac:dyDescent="0.25">
      <c r="A366" s="6" t="s">
        <v>128</v>
      </c>
      <c r="B366" s="6" t="str">
        <f>VLOOKUP(A366,'[1]SBV Isolates'!$A$2:$B$367,2,FALSE)</f>
        <v>plate01</v>
      </c>
      <c r="C366" s="6">
        <v>1</v>
      </c>
      <c r="D366" s="6">
        <v>1</v>
      </c>
      <c r="E366" s="6">
        <v>1</v>
      </c>
      <c r="F366" s="6">
        <v>1</v>
      </c>
      <c r="G366" s="6">
        <v>1</v>
      </c>
      <c r="H366" s="6">
        <v>1</v>
      </c>
      <c r="I366" s="6">
        <v>4733987</v>
      </c>
      <c r="J366" s="6">
        <v>4733987</v>
      </c>
      <c r="K366" s="6">
        <v>4733987</v>
      </c>
      <c r="L366" s="6">
        <v>4733987</v>
      </c>
      <c r="M366" s="6">
        <v>4733987</v>
      </c>
      <c r="N366" s="6">
        <v>4733987</v>
      </c>
      <c r="O366" s="6">
        <v>1</v>
      </c>
      <c r="P366" s="6">
        <v>4733987</v>
      </c>
      <c r="Q366" s="6">
        <v>4733987</v>
      </c>
      <c r="R366" s="6">
        <v>52.24</v>
      </c>
      <c r="S366" s="6">
        <v>4733987</v>
      </c>
      <c r="T366" s="6">
        <v>4733987</v>
      </c>
      <c r="U366" s="6">
        <v>4733987</v>
      </c>
      <c r="V366" s="6">
        <v>1</v>
      </c>
      <c r="W366" s="6">
        <v>1</v>
      </c>
      <c r="X366" s="6">
        <v>0</v>
      </c>
    </row>
    <row r="367" spans="1:24" x14ac:dyDescent="0.25">
      <c r="A367" s="6" t="s">
        <v>132</v>
      </c>
      <c r="B367" s="6" t="str">
        <f>VLOOKUP(A367,'[1]SBV Isolates'!$A$2:$B$367,2,FALSE)</f>
        <v>plate01</v>
      </c>
      <c r="C367" s="6">
        <v>1</v>
      </c>
      <c r="D367" s="6">
        <v>1</v>
      </c>
      <c r="E367" s="6">
        <v>1</v>
      </c>
      <c r="F367" s="6">
        <v>1</v>
      </c>
      <c r="G367" s="6">
        <v>1</v>
      </c>
      <c r="H367" s="6">
        <v>1</v>
      </c>
      <c r="I367" s="6">
        <v>4714511</v>
      </c>
      <c r="J367" s="6">
        <v>4714511</v>
      </c>
      <c r="K367" s="6">
        <v>4714511</v>
      </c>
      <c r="L367" s="6">
        <v>4714511</v>
      </c>
      <c r="M367" s="6">
        <v>4714511</v>
      </c>
      <c r="N367" s="6">
        <v>4714511</v>
      </c>
      <c r="O367" s="6">
        <v>1</v>
      </c>
      <c r="P367" s="6">
        <v>4714511</v>
      </c>
      <c r="Q367" s="6">
        <v>4714511</v>
      </c>
      <c r="R367" s="6">
        <v>52.3</v>
      </c>
      <c r="S367" s="6">
        <v>4714511</v>
      </c>
      <c r="T367" s="6">
        <v>4714511</v>
      </c>
      <c r="U367" s="6">
        <v>4714511</v>
      </c>
      <c r="V367" s="6">
        <v>1</v>
      </c>
      <c r="W367" s="6">
        <v>1</v>
      </c>
      <c r="X367" s="6">
        <v>0</v>
      </c>
    </row>
    <row r="368" spans="1:24" x14ac:dyDescent="0.25">
      <c r="A368" s="6" t="s">
        <v>134</v>
      </c>
      <c r="B368" s="6" t="str">
        <f>VLOOKUP(A368,'[1]SBV Isolates'!$A$2:$B$367,2,FALSE)</f>
        <v>plate01</v>
      </c>
      <c r="C368" s="6">
        <v>1</v>
      </c>
      <c r="D368" s="6">
        <v>1</v>
      </c>
      <c r="E368" s="6">
        <v>1</v>
      </c>
      <c r="F368" s="6">
        <v>1</v>
      </c>
      <c r="G368" s="6">
        <v>1</v>
      </c>
      <c r="H368" s="6">
        <v>1</v>
      </c>
      <c r="I368" s="6">
        <v>4769938</v>
      </c>
      <c r="J368" s="6">
        <v>4769938</v>
      </c>
      <c r="K368" s="6">
        <v>4769938</v>
      </c>
      <c r="L368" s="6">
        <v>4769938</v>
      </c>
      <c r="M368" s="6">
        <v>4769938</v>
      </c>
      <c r="N368" s="6">
        <v>4769938</v>
      </c>
      <c r="O368" s="6">
        <v>1</v>
      </c>
      <c r="P368" s="6">
        <v>4769938</v>
      </c>
      <c r="Q368" s="6">
        <v>4769938</v>
      </c>
      <c r="R368" s="6">
        <v>52.19</v>
      </c>
      <c r="S368" s="6">
        <v>4769938</v>
      </c>
      <c r="T368" s="6">
        <v>4769938</v>
      </c>
      <c r="U368" s="6">
        <v>4769938</v>
      </c>
      <c r="V368" s="6">
        <v>1</v>
      </c>
      <c r="W368" s="6">
        <v>1</v>
      </c>
      <c r="X368" s="6">
        <v>0</v>
      </c>
    </row>
    <row r="369" spans="1:24" x14ac:dyDescent="0.25">
      <c r="A369" s="6" t="s">
        <v>142</v>
      </c>
      <c r="B369" s="6" t="str">
        <f>VLOOKUP(A369,'[1]SBV Isolates'!$A$2:$B$367,2,FALSE)</f>
        <v>plate01</v>
      </c>
      <c r="C369" s="6">
        <v>1</v>
      </c>
      <c r="D369" s="6">
        <v>1</v>
      </c>
      <c r="E369" s="6">
        <v>1</v>
      </c>
      <c r="F369" s="6">
        <v>1</v>
      </c>
      <c r="G369" s="6">
        <v>1</v>
      </c>
      <c r="H369" s="6">
        <v>1</v>
      </c>
      <c r="I369" s="6">
        <v>4809896</v>
      </c>
      <c r="J369" s="6">
        <v>4809896</v>
      </c>
      <c r="K369" s="6">
        <v>4809896</v>
      </c>
      <c r="L369" s="6">
        <v>4809896</v>
      </c>
      <c r="M369" s="6">
        <v>4809896</v>
      </c>
      <c r="N369" s="6">
        <v>4809896</v>
      </c>
      <c r="O369" s="6">
        <v>1</v>
      </c>
      <c r="P369" s="6">
        <v>4809896</v>
      </c>
      <c r="Q369" s="6">
        <v>4809896</v>
      </c>
      <c r="R369" s="6">
        <v>52.17</v>
      </c>
      <c r="S369" s="6">
        <v>4809896</v>
      </c>
      <c r="T369" s="6">
        <v>4809896</v>
      </c>
      <c r="U369" s="6">
        <v>4809896</v>
      </c>
      <c r="V369" s="6">
        <v>1</v>
      </c>
      <c r="W369" s="6">
        <v>1</v>
      </c>
      <c r="X369" s="6">
        <v>0</v>
      </c>
    </row>
    <row r="370" spans="1:24" x14ac:dyDescent="0.25">
      <c r="A370" s="6" t="s">
        <v>145</v>
      </c>
      <c r="B370" s="6" t="str">
        <f>VLOOKUP(A370,'[1]SBV Isolates'!$A$2:$B$367,2,FALSE)</f>
        <v>plate01</v>
      </c>
      <c r="C370" s="6">
        <v>1</v>
      </c>
      <c r="D370" s="6">
        <v>1</v>
      </c>
      <c r="E370" s="6">
        <v>1</v>
      </c>
      <c r="F370" s="6">
        <v>1</v>
      </c>
      <c r="G370" s="6">
        <v>1</v>
      </c>
      <c r="H370" s="6">
        <v>1</v>
      </c>
      <c r="I370" s="6">
        <v>4738819</v>
      </c>
      <c r="J370" s="6">
        <v>4738819</v>
      </c>
      <c r="K370" s="6">
        <v>4738819</v>
      </c>
      <c r="L370" s="6">
        <v>4738819</v>
      </c>
      <c r="M370" s="6">
        <v>4738819</v>
      </c>
      <c r="N370" s="6">
        <v>4738819</v>
      </c>
      <c r="O370" s="6">
        <v>1</v>
      </c>
      <c r="P370" s="6">
        <v>4738819</v>
      </c>
      <c r="Q370" s="6">
        <v>4738819</v>
      </c>
      <c r="R370" s="6">
        <v>52.18</v>
      </c>
      <c r="S370" s="6">
        <v>4738819</v>
      </c>
      <c r="T370" s="6">
        <v>4738819</v>
      </c>
      <c r="U370" s="6">
        <v>4738819</v>
      </c>
      <c r="V370" s="6">
        <v>1</v>
      </c>
      <c r="W370" s="6">
        <v>1</v>
      </c>
      <c r="X370" s="6">
        <v>0</v>
      </c>
    </row>
    <row r="371" spans="1:24" x14ac:dyDescent="0.25">
      <c r="A371" s="6" t="s">
        <v>422</v>
      </c>
      <c r="B371" s="6" t="str">
        <f>VLOOKUP(A371,'[1]SBV Isolates'!$A$2:$B$367,2,FALSE)</f>
        <v>plate04</v>
      </c>
      <c r="C371" s="6">
        <v>1</v>
      </c>
      <c r="D371" s="6">
        <v>1</v>
      </c>
      <c r="E371" s="6">
        <v>1</v>
      </c>
      <c r="F371" s="6">
        <v>1</v>
      </c>
      <c r="G371" s="6">
        <v>1</v>
      </c>
      <c r="H371" s="6">
        <v>1</v>
      </c>
      <c r="I371" s="6">
        <v>4818844</v>
      </c>
      <c r="J371" s="6">
        <v>4818844</v>
      </c>
      <c r="K371" s="6">
        <v>4818844</v>
      </c>
      <c r="L371" s="6">
        <v>4818844</v>
      </c>
      <c r="M371" s="6">
        <v>4818844</v>
      </c>
      <c r="N371" s="6">
        <v>4818844</v>
      </c>
      <c r="O371" s="6">
        <v>1</v>
      </c>
      <c r="P371" s="6">
        <v>4818844</v>
      </c>
      <c r="Q371" s="6">
        <v>4818844</v>
      </c>
      <c r="R371" s="6">
        <v>52.21</v>
      </c>
      <c r="S371" s="6">
        <v>4818844</v>
      </c>
      <c r="T371" s="6">
        <v>4818844</v>
      </c>
      <c r="U371" s="6">
        <v>4818844</v>
      </c>
      <c r="V371" s="6">
        <v>1</v>
      </c>
      <c r="W371" s="6">
        <v>1</v>
      </c>
      <c r="X371" s="6">
        <v>0</v>
      </c>
    </row>
  </sheetData>
  <autoFilter ref="A1:A371" xr:uid="{5367B986-9BC2-43D5-BD7C-60B37459A41D}"/>
  <sortState xmlns:xlrd2="http://schemas.microsoft.com/office/spreadsheetml/2017/richdata2" ref="A1:X371">
    <sortCondition descending="1" ref="C1:C3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5462-7F05-49A9-8516-9C915FA41FAA}">
  <dimension ref="A1:W80"/>
  <sheetViews>
    <sheetView topLeftCell="F64" zoomScaleNormal="100" workbookViewId="0">
      <selection activeCell="E16" sqref="E16"/>
    </sheetView>
  </sheetViews>
  <sheetFormatPr defaultRowHeight="15" x14ac:dyDescent="0.25"/>
  <cols>
    <col min="1" max="1" width="18.5703125" style="6" bestFit="1" customWidth="1"/>
    <col min="2" max="2" width="17" style="6" bestFit="1" customWidth="1"/>
    <col min="3" max="4" width="20.140625" style="6" bestFit="1" customWidth="1"/>
    <col min="5" max="7" width="21.140625" style="6" bestFit="1" customWidth="1"/>
    <col min="8" max="8" width="19.5703125" style="6" bestFit="1" customWidth="1"/>
    <col min="9" max="10" width="22.7109375" style="6" bestFit="1" customWidth="1"/>
    <col min="11" max="13" width="23.7109375" style="6" bestFit="1" customWidth="1"/>
    <col min="14" max="14" width="8.85546875" style="6" bestFit="1" customWidth="1"/>
    <col min="15" max="15" width="13.28515625" style="6" bestFit="1" customWidth="1"/>
    <col min="16" max="16" width="11.28515625" style="6" bestFit="1" customWidth="1"/>
    <col min="17" max="17" width="6.85546875" style="6" bestFit="1" customWidth="1"/>
    <col min="18" max="19" width="8" style="6" bestFit="1" customWidth="1"/>
    <col min="20" max="20" width="10" style="6" bestFit="1" customWidth="1"/>
    <col min="21" max="21" width="3.85546875" style="6" bestFit="1" customWidth="1"/>
    <col min="22" max="22" width="4" style="6" bestFit="1" customWidth="1"/>
    <col min="23" max="23" width="15.85546875" style="6" bestFit="1" customWidth="1"/>
    <col min="24" max="16384" width="9.140625" style="6"/>
  </cols>
  <sheetData>
    <row r="1" spans="1:2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x14ac:dyDescent="0.25">
      <c r="A2" s="6" t="s">
        <v>46</v>
      </c>
      <c r="B2" s="6">
        <v>351</v>
      </c>
      <c r="C2" s="6">
        <v>351</v>
      </c>
      <c r="D2" s="6">
        <v>222</v>
      </c>
      <c r="E2" s="6">
        <v>143</v>
      </c>
      <c r="F2" s="6">
        <v>51</v>
      </c>
      <c r="G2" s="6">
        <v>10</v>
      </c>
      <c r="H2" s="6">
        <v>4598543</v>
      </c>
      <c r="I2" s="6">
        <v>4598543</v>
      </c>
      <c r="J2" s="6">
        <v>4201157</v>
      </c>
      <c r="K2" s="6">
        <v>3601203</v>
      </c>
      <c r="L2" s="6">
        <v>2127027</v>
      </c>
      <c r="M2" s="6">
        <v>687874</v>
      </c>
      <c r="N2" s="6">
        <v>351</v>
      </c>
      <c r="O2" s="6">
        <v>106718</v>
      </c>
      <c r="P2" s="6">
        <v>4598543</v>
      </c>
      <c r="Q2" s="6">
        <v>52.16</v>
      </c>
      <c r="R2" s="6">
        <v>22923</v>
      </c>
      <c r="S2" s="6">
        <v>5738</v>
      </c>
      <c r="T2" s="6">
        <v>29346.5</v>
      </c>
      <c r="U2" s="6">
        <v>59</v>
      </c>
      <c r="V2" s="6">
        <v>211</v>
      </c>
      <c r="W2" s="6">
        <v>0</v>
      </c>
    </row>
    <row r="3" spans="1:23" x14ac:dyDescent="0.25">
      <c r="A3" s="6" t="s">
        <v>48</v>
      </c>
      <c r="B3" s="6">
        <v>175</v>
      </c>
      <c r="C3" s="6">
        <v>174</v>
      </c>
      <c r="D3" s="6">
        <v>135</v>
      </c>
      <c r="E3" s="6">
        <v>110</v>
      </c>
      <c r="F3" s="6">
        <v>63</v>
      </c>
      <c r="G3" s="6">
        <v>33</v>
      </c>
      <c r="H3" s="6">
        <v>4699238</v>
      </c>
      <c r="I3" s="6">
        <v>4698761</v>
      </c>
      <c r="J3" s="6">
        <v>4576972</v>
      </c>
      <c r="K3" s="6">
        <v>4395939</v>
      </c>
      <c r="L3" s="6">
        <v>3698604</v>
      </c>
      <c r="M3" s="6">
        <v>2685440</v>
      </c>
      <c r="N3" s="6">
        <v>174</v>
      </c>
      <c r="O3" s="6">
        <v>183403</v>
      </c>
      <c r="P3" s="6">
        <v>4698761</v>
      </c>
      <c r="Q3" s="6">
        <v>52.11</v>
      </c>
      <c r="R3" s="6">
        <v>58161</v>
      </c>
      <c r="S3" s="6">
        <v>12034</v>
      </c>
      <c r="T3" s="6">
        <v>63086.6</v>
      </c>
      <c r="U3" s="6">
        <v>27</v>
      </c>
      <c r="V3" s="6">
        <v>95</v>
      </c>
      <c r="W3" s="6">
        <v>0</v>
      </c>
    </row>
    <row r="4" spans="1:23" x14ac:dyDescent="0.25">
      <c r="A4" s="6" t="s">
        <v>49</v>
      </c>
      <c r="B4" s="6">
        <v>36</v>
      </c>
      <c r="C4" s="6">
        <v>36</v>
      </c>
      <c r="D4" s="6">
        <v>32</v>
      </c>
      <c r="E4" s="6">
        <v>30</v>
      </c>
      <c r="F4" s="6">
        <v>28</v>
      </c>
      <c r="G4" s="6">
        <v>21</v>
      </c>
      <c r="H4" s="6">
        <v>4676636</v>
      </c>
      <c r="I4" s="6">
        <v>4676636</v>
      </c>
      <c r="J4" s="6">
        <v>4665266</v>
      </c>
      <c r="K4" s="6">
        <v>4652801</v>
      </c>
      <c r="L4" s="6">
        <v>4616416</v>
      </c>
      <c r="M4" s="6">
        <v>4369395</v>
      </c>
      <c r="N4" s="6">
        <v>36</v>
      </c>
      <c r="O4" s="6">
        <v>546632</v>
      </c>
      <c r="P4" s="6">
        <v>4676636</v>
      </c>
      <c r="Q4" s="6">
        <v>52.23</v>
      </c>
      <c r="R4" s="6">
        <v>285020</v>
      </c>
      <c r="S4" s="6">
        <v>77487</v>
      </c>
      <c r="T4" s="6">
        <v>269950.3</v>
      </c>
      <c r="U4" s="6">
        <v>7</v>
      </c>
      <c r="V4" s="6">
        <v>19</v>
      </c>
      <c r="W4" s="6">
        <v>0</v>
      </c>
    </row>
    <row r="5" spans="1:23" x14ac:dyDescent="0.25">
      <c r="A5" s="6" t="s">
        <v>99</v>
      </c>
      <c r="B5" s="6">
        <v>14</v>
      </c>
      <c r="C5" s="6">
        <v>14</v>
      </c>
      <c r="D5" s="6">
        <v>12</v>
      </c>
      <c r="E5" s="6">
        <v>9</v>
      </c>
      <c r="F5" s="6">
        <v>9</v>
      </c>
      <c r="G5" s="6">
        <v>5</v>
      </c>
      <c r="H5" s="6">
        <v>4941215</v>
      </c>
      <c r="I5" s="6">
        <v>4941215</v>
      </c>
      <c r="J5" s="6">
        <v>4936495</v>
      </c>
      <c r="K5" s="6">
        <v>4913819</v>
      </c>
      <c r="L5" s="6">
        <v>4913819</v>
      </c>
      <c r="M5" s="6">
        <v>4778585</v>
      </c>
      <c r="N5" s="6">
        <v>14</v>
      </c>
      <c r="O5" s="6">
        <v>4159827</v>
      </c>
      <c r="P5" s="6">
        <v>4941215</v>
      </c>
      <c r="Q5" s="6">
        <v>52.22</v>
      </c>
      <c r="R5" s="6">
        <v>4159827</v>
      </c>
      <c r="S5" s="6">
        <v>154743</v>
      </c>
      <c r="T5" s="6">
        <v>3527443.5</v>
      </c>
      <c r="U5" s="6">
        <v>1</v>
      </c>
      <c r="V5" s="6">
        <v>3</v>
      </c>
      <c r="W5" s="6">
        <v>0</v>
      </c>
    </row>
    <row r="6" spans="1:23" x14ac:dyDescent="0.25">
      <c r="A6" s="6" t="s">
        <v>100</v>
      </c>
      <c r="B6" s="6">
        <v>12</v>
      </c>
      <c r="C6" s="6">
        <v>12</v>
      </c>
      <c r="D6" s="6">
        <v>11</v>
      </c>
      <c r="E6" s="6">
        <v>8</v>
      </c>
      <c r="F6" s="6">
        <v>6</v>
      </c>
      <c r="G6" s="6">
        <v>5</v>
      </c>
      <c r="H6" s="6">
        <v>5029687</v>
      </c>
      <c r="I6" s="6">
        <v>5029687</v>
      </c>
      <c r="J6" s="6">
        <v>5026268</v>
      </c>
      <c r="K6" s="6">
        <v>5004440</v>
      </c>
      <c r="L6" s="6">
        <v>4980069</v>
      </c>
      <c r="M6" s="6">
        <v>4939496</v>
      </c>
      <c r="N6" s="6">
        <v>12</v>
      </c>
      <c r="O6" s="6">
        <v>4072238</v>
      </c>
      <c r="P6" s="6">
        <v>5029687</v>
      </c>
      <c r="Q6" s="6">
        <v>52.09</v>
      </c>
      <c r="R6" s="6">
        <v>4072238</v>
      </c>
      <c r="S6" s="6">
        <v>609333</v>
      </c>
      <c r="T6" s="6">
        <v>3375716.3</v>
      </c>
      <c r="U6" s="6">
        <v>1</v>
      </c>
      <c r="V6" s="6">
        <v>2</v>
      </c>
      <c r="W6" s="6">
        <v>0</v>
      </c>
    </row>
    <row r="7" spans="1:23" x14ac:dyDescent="0.25">
      <c r="A7" s="6" t="s">
        <v>25</v>
      </c>
      <c r="B7" s="6">
        <v>5</v>
      </c>
      <c r="C7" s="6">
        <v>5</v>
      </c>
      <c r="D7" s="6">
        <v>4</v>
      </c>
      <c r="E7" s="6">
        <v>4</v>
      </c>
      <c r="F7" s="6">
        <v>3</v>
      </c>
      <c r="G7" s="6">
        <v>3</v>
      </c>
      <c r="H7" s="6">
        <v>4839831</v>
      </c>
      <c r="I7" s="6">
        <v>4839831</v>
      </c>
      <c r="J7" s="6">
        <v>4836004</v>
      </c>
      <c r="K7" s="6">
        <v>4836004</v>
      </c>
      <c r="L7" s="6">
        <v>4823866</v>
      </c>
      <c r="M7" s="6">
        <v>4823866</v>
      </c>
      <c r="N7" s="6">
        <v>5</v>
      </c>
      <c r="O7" s="6">
        <v>4678879</v>
      </c>
      <c r="P7" s="6">
        <v>4839831</v>
      </c>
      <c r="Q7" s="6">
        <v>52.13</v>
      </c>
      <c r="R7" s="6">
        <v>4678879</v>
      </c>
      <c r="S7" s="6">
        <v>4678879</v>
      </c>
      <c r="T7" s="6">
        <v>4525570.8</v>
      </c>
      <c r="U7" s="6">
        <v>1</v>
      </c>
      <c r="V7" s="6">
        <v>1</v>
      </c>
      <c r="W7" s="6">
        <v>0</v>
      </c>
    </row>
    <row r="8" spans="1:23" x14ac:dyDescent="0.25">
      <c r="A8" s="6" t="s">
        <v>27</v>
      </c>
      <c r="B8" s="6">
        <v>5</v>
      </c>
      <c r="C8" s="6">
        <v>5</v>
      </c>
      <c r="D8" s="6">
        <v>5</v>
      </c>
      <c r="E8" s="6">
        <v>3</v>
      </c>
      <c r="F8" s="6">
        <v>2</v>
      </c>
      <c r="G8" s="6">
        <v>2</v>
      </c>
      <c r="H8" s="6">
        <v>4822471</v>
      </c>
      <c r="I8" s="6">
        <v>4822471</v>
      </c>
      <c r="J8" s="6">
        <v>4822471</v>
      </c>
      <c r="K8" s="6">
        <v>4803174</v>
      </c>
      <c r="L8" s="6">
        <v>4788521</v>
      </c>
      <c r="M8" s="6">
        <v>4788521</v>
      </c>
      <c r="N8" s="6">
        <v>5</v>
      </c>
      <c r="O8" s="6">
        <v>4641443</v>
      </c>
      <c r="P8" s="6">
        <v>4822471</v>
      </c>
      <c r="Q8" s="6">
        <v>52.19</v>
      </c>
      <c r="R8" s="6">
        <v>4641443</v>
      </c>
      <c r="S8" s="6">
        <v>4641443</v>
      </c>
      <c r="T8" s="6">
        <v>4471779.3</v>
      </c>
      <c r="U8" s="6">
        <v>1</v>
      </c>
      <c r="V8" s="6">
        <v>1</v>
      </c>
      <c r="W8" s="6">
        <v>0</v>
      </c>
    </row>
    <row r="9" spans="1:23" x14ac:dyDescent="0.25">
      <c r="A9" s="6" t="s">
        <v>38</v>
      </c>
      <c r="B9" s="6">
        <v>4</v>
      </c>
      <c r="C9" s="6">
        <v>4</v>
      </c>
      <c r="D9" s="6">
        <v>4</v>
      </c>
      <c r="E9" s="6">
        <v>2</v>
      </c>
      <c r="F9" s="6">
        <v>1</v>
      </c>
      <c r="G9" s="6">
        <v>1</v>
      </c>
      <c r="H9" s="6">
        <v>4920856</v>
      </c>
      <c r="I9" s="6">
        <v>4920856</v>
      </c>
      <c r="J9" s="6">
        <v>4920856</v>
      </c>
      <c r="K9" s="6">
        <v>4907545</v>
      </c>
      <c r="L9" s="6">
        <v>4896910</v>
      </c>
      <c r="M9" s="6">
        <v>4896910</v>
      </c>
      <c r="N9" s="6">
        <v>4</v>
      </c>
      <c r="O9" s="6">
        <v>4896910</v>
      </c>
      <c r="P9" s="6">
        <v>4920856</v>
      </c>
      <c r="Q9" s="6">
        <v>52.01</v>
      </c>
      <c r="R9" s="6">
        <v>4896910</v>
      </c>
      <c r="S9" s="6">
        <v>4896910</v>
      </c>
      <c r="T9" s="6">
        <v>4873122.3</v>
      </c>
      <c r="U9" s="6">
        <v>1</v>
      </c>
      <c r="V9" s="6">
        <v>1</v>
      </c>
      <c r="W9" s="6">
        <v>0</v>
      </c>
    </row>
    <row r="10" spans="1:23" x14ac:dyDescent="0.25">
      <c r="A10" s="6" t="s">
        <v>23</v>
      </c>
      <c r="B10" s="6">
        <v>3</v>
      </c>
      <c r="C10" s="6">
        <v>3</v>
      </c>
      <c r="D10" s="6">
        <v>3</v>
      </c>
      <c r="E10" s="6">
        <v>3</v>
      </c>
      <c r="F10" s="6">
        <v>3</v>
      </c>
      <c r="G10" s="6">
        <v>3</v>
      </c>
      <c r="H10" s="6">
        <v>4690755</v>
      </c>
      <c r="I10" s="6">
        <v>4690755</v>
      </c>
      <c r="J10" s="6">
        <v>4690755</v>
      </c>
      <c r="K10" s="6">
        <v>4690755</v>
      </c>
      <c r="L10" s="6">
        <v>4690755</v>
      </c>
      <c r="M10" s="6">
        <v>4690755</v>
      </c>
      <c r="N10" s="6">
        <v>3</v>
      </c>
      <c r="O10" s="6">
        <v>3664733</v>
      </c>
      <c r="P10" s="6">
        <v>4690755</v>
      </c>
      <c r="Q10" s="6">
        <v>52.27</v>
      </c>
      <c r="R10" s="6">
        <v>3664733</v>
      </c>
      <c r="S10" s="6">
        <v>796700</v>
      </c>
      <c r="T10" s="6">
        <v>3009662.1</v>
      </c>
      <c r="U10" s="6">
        <v>1</v>
      </c>
      <c r="V10" s="6">
        <v>2</v>
      </c>
      <c r="W10" s="6">
        <v>0</v>
      </c>
    </row>
    <row r="11" spans="1:23" x14ac:dyDescent="0.25">
      <c r="A11" s="6" t="s">
        <v>90</v>
      </c>
      <c r="B11" s="6">
        <v>3</v>
      </c>
      <c r="C11" s="6">
        <v>3</v>
      </c>
      <c r="D11" s="6">
        <v>3</v>
      </c>
      <c r="E11" s="6">
        <v>3</v>
      </c>
      <c r="F11" s="6">
        <v>3</v>
      </c>
      <c r="G11" s="6">
        <v>2</v>
      </c>
      <c r="H11" s="6">
        <v>4687881</v>
      </c>
      <c r="I11" s="6">
        <v>4687881</v>
      </c>
      <c r="J11" s="6">
        <v>4687881</v>
      </c>
      <c r="K11" s="6">
        <v>4687881</v>
      </c>
      <c r="L11" s="6">
        <v>4687881</v>
      </c>
      <c r="M11" s="6">
        <v>4647323</v>
      </c>
      <c r="N11" s="6">
        <v>3</v>
      </c>
      <c r="O11" s="6">
        <v>3814140</v>
      </c>
      <c r="P11" s="6">
        <v>4687881</v>
      </c>
      <c r="Q11" s="6">
        <v>52.25</v>
      </c>
      <c r="R11" s="6">
        <v>3814140</v>
      </c>
      <c r="S11" s="6">
        <v>833183</v>
      </c>
      <c r="T11" s="6">
        <v>3251683</v>
      </c>
      <c r="U11" s="6">
        <v>1</v>
      </c>
      <c r="V11" s="6">
        <v>2</v>
      </c>
      <c r="W11" s="6">
        <v>0</v>
      </c>
    </row>
    <row r="12" spans="1:23" x14ac:dyDescent="0.25">
      <c r="A12" s="6" t="s">
        <v>29</v>
      </c>
      <c r="B12" s="6">
        <v>2</v>
      </c>
      <c r="C12" s="6">
        <v>2</v>
      </c>
      <c r="D12" s="6">
        <v>2</v>
      </c>
      <c r="E12" s="6">
        <v>2</v>
      </c>
      <c r="F12" s="6">
        <v>1</v>
      </c>
      <c r="G12" s="6">
        <v>1</v>
      </c>
      <c r="H12" s="6">
        <v>4700234</v>
      </c>
      <c r="I12" s="6">
        <v>4700234</v>
      </c>
      <c r="J12" s="6">
        <v>4700234</v>
      </c>
      <c r="K12" s="6">
        <v>4700234</v>
      </c>
      <c r="L12" s="6">
        <v>4689218</v>
      </c>
      <c r="M12" s="6">
        <v>4689218</v>
      </c>
      <c r="N12" s="6">
        <v>2</v>
      </c>
      <c r="O12" s="6">
        <v>4689218</v>
      </c>
      <c r="P12" s="6">
        <v>4700234</v>
      </c>
      <c r="Q12" s="6">
        <v>52.24</v>
      </c>
      <c r="R12" s="6">
        <v>4689218</v>
      </c>
      <c r="S12" s="6">
        <v>4689218</v>
      </c>
      <c r="T12" s="6">
        <v>4678253.5999999996</v>
      </c>
      <c r="U12" s="6">
        <v>1</v>
      </c>
      <c r="V12" s="6">
        <v>1</v>
      </c>
      <c r="W12" s="6">
        <v>0</v>
      </c>
    </row>
    <row r="13" spans="1:23" x14ac:dyDescent="0.25">
      <c r="A13" s="6" t="s">
        <v>30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4674656</v>
      </c>
      <c r="I13" s="6">
        <v>4674656</v>
      </c>
      <c r="J13" s="6">
        <v>4674656</v>
      </c>
      <c r="K13" s="6">
        <v>4674656</v>
      </c>
      <c r="L13" s="6">
        <v>4674656</v>
      </c>
      <c r="M13" s="6">
        <v>4674656</v>
      </c>
      <c r="N13" s="6">
        <v>2</v>
      </c>
      <c r="O13" s="6">
        <v>4607439</v>
      </c>
      <c r="P13" s="6">
        <v>4674656</v>
      </c>
      <c r="Q13" s="6">
        <v>52.24</v>
      </c>
      <c r="R13" s="6">
        <v>4607439</v>
      </c>
      <c r="S13" s="6">
        <v>4607439</v>
      </c>
      <c r="T13" s="6">
        <v>4542155</v>
      </c>
      <c r="U13" s="6">
        <v>1</v>
      </c>
      <c r="V13" s="6">
        <v>1</v>
      </c>
      <c r="W13" s="6">
        <v>0</v>
      </c>
    </row>
    <row r="14" spans="1:23" x14ac:dyDescent="0.25">
      <c r="A14" s="6" t="s">
        <v>32</v>
      </c>
      <c r="B14" s="6">
        <v>2</v>
      </c>
      <c r="C14" s="6">
        <v>2</v>
      </c>
      <c r="D14" s="6">
        <v>2</v>
      </c>
      <c r="E14" s="6">
        <v>1</v>
      </c>
      <c r="F14" s="6">
        <v>1</v>
      </c>
      <c r="G14" s="6">
        <v>1</v>
      </c>
      <c r="H14" s="6">
        <v>4699867</v>
      </c>
      <c r="I14" s="6">
        <v>4699867</v>
      </c>
      <c r="J14" s="6">
        <v>4699867</v>
      </c>
      <c r="K14" s="6">
        <v>4690528</v>
      </c>
      <c r="L14" s="6">
        <v>4690528</v>
      </c>
      <c r="M14" s="6">
        <v>4690528</v>
      </c>
      <c r="N14" s="6">
        <v>2</v>
      </c>
      <c r="O14" s="6">
        <v>4690528</v>
      </c>
      <c r="P14" s="6">
        <v>4699867</v>
      </c>
      <c r="Q14" s="6">
        <v>52.21</v>
      </c>
      <c r="R14" s="6">
        <v>4690528</v>
      </c>
      <c r="S14" s="6">
        <v>4690528</v>
      </c>
      <c r="T14" s="6">
        <v>4681226.0999999996</v>
      </c>
      <c r="U14" s="6">
        <v>1</v>
      </c>
      <c r="V14" s="6">
        <v>1</v>
      </c>
      <c r="W14" s="6">
        <v>0</v>
      </c>
    </row>
    <row r="15" spans="1:23" x14ac:dyDescent="0.25">
      <c r="A15" s="6" t="s">
        <v>33</v>
      </c>
      <c r="B15" s="6">
        <v>2</v>
      </c>
      <c r="C15" s="6">
        <v>2</v>
      </c>
      <c r="D15" s="6">
        <v>2</v>
      </c>
      <c r="E15" s="6">
        <v>2</v>
      </c>
      <c r="F15" s="6">
        <v>2</v>
      </c>
      <c r="G15" s="6">
        <v>2</v>
      </c>
      <c r="H15" s="6">
        <v>4683281</v>
      </c>
      <c r="I15" s="6">
        <v>4683281</v>
      </c>
      <c r="J15" s="6">
        <v>4683281</v>
      </c>
      <c r="K15" s="6">
        <v>4683281</v>
      </c>
      <c r="L15" s="6">
        <v>4683281</v>
      </c>
      <c r="M15" s="6">
        <v>4683281</v>
      </c>
      <c r="N15" s="6">
        <v>2</v>
      </c>
      <c r="O15" s="6">
        <v>4590680</v>
      </c>
      <c r="P15" s="6">
        <v>4683281</v>
      </c>
      <c r="Q15" s="6">
        <v>52.3</v>
      </c>
      <c r="R15" s="6">
        <v>4590680</v>
      </c>
      <c r="S15" s="6">
        <v>4590680</v>
      </c>
      <c r="T15" s="6">
        <v>4501740.9000000004</v>
      </c>
      <c r="U15" s="6">
        <v>1</v>
      </c>
      <c r="V15" s="6">
        <v>1</v>
      </c>
      <c r="W15" s="6">
        <v>0</v>
      </c>
    </row>
    <row r="16" spans="1:23" x14ac:dyDescent="0.25">
      <c r="A16" s="6" t="s">
        <v>36</v>
      </c>
      <c r="B16" s="6">
        <v>2</v>
      </c>
      <c r="C16" s="6">
        <v>2</v>
      </c>
      <c r="D16" s="6">
        <v>1</v>
      </c>
      <c r="E16" s="6">
        <v>1</v>
      </c>
      <c r="F16" s="6">
        <v>1</v>
      </c>
      <c r="G16" s="6">
        <v>1</v>
      </c>
      <c r="H16" s="6">
        <v>4693781</v>
      </c>
      <c r="I16" s="6">
        <v>4693781</v>
      </c>
      <c r="J16" s="6">
        <v>4690405</v>
      </c>
      <c r="K16" s="6">
        <v>4690405</v>
      </c>
      <c r="L16" s="6">
        <v>4690405</v>
      </c>
      <c r="M16" s="6">
        <v>4690405</v>
      </c>
      <c r="N16" s="6">
        <v>2</v>
      </c>
      <c r="O16" s="6">
        <v>4690405</v>
      </c>
      <c r="P16" s="6">
        <v>4693781</v>
      </c>
      <c r="Q16" s="6">
        <v>52.22</v>
      </c>
      <c r="R16" s="6">
        <v>4690405</v>
      </c>
      <c r="S16" s="6">
        <v>4690405</v>
      </c>
      <c r="T16" s="6">
        <v>4687033.9000000004</v>
      </c>
      <c r="U16" s="6">
        <v>1</v>
      </c>
      <c r="V16" s="6">
        <v>1</v>
      </c>
      <c r="W16" s="6">
        <v>0</v>
      </c>
    </row>
    <row r="17" spans="1:23" x14ac:dyDescent="0.25">
      <c r="A17" s="6" t="s">
        <v>39</v>
      </c>
      <c r="B17" s="6">
        <v>2</v>
      </c>
      <c r="C17" s="6">
        <v>2</v>
      </c>
      <c r="D17" s="6">
        <v>2</v>
      </c>
      <c r="E17" s="6">
        <v>2</v>
      </c>
      <c r="F17" s="6">
        <v>2</v>
      </c>
      <c r="G17" s="6">
        <v>2</v>
      </c>
      <c r="H17" s="6">
        <v>4695296</v>
      </c>
      <c r="I17" s="6">
        <v>4695296</v>
      </c>
      <c r="J17" s="6">
        <v>4695296</v>
      </c>
      <c r="K17" s="6">
        <v>4695296</v>
      </c>
      <c r="L17" s="6">
        <v>4695296</v>
      </c>
      <c r="M17" s="6">
        <v>4695296</v>
      </c>
      <c r="N17" s="6">
        <v>2</v>
      </c>
      <c r="O17" s="6">
        <v>4608216</v>
      </c>
      <c r="P17" s="6">
        <v>4695296</v>
      </c>
      <c r="Q17" s="6">
        <v>52.24</v>
      </c>
      <c r="R17" s="6">
        <v>4608216</v>
      </c>
      <c r="S17" s="6">
        <v>4608216</v>
      </c>
      <c r="T17" s="6">
        <v>4524366</v>
      </c>
      <c r="U17" s="6">
        <v>1</v>
      </c>
      <c r="V17" s="6">
        <v>1</v>
      </c>
      <c r="W17" s="6">
        <v>0</v>
      </c>
    </row>
    <row r="18" spans="1:23" x14ac:dyDescent="0.25">
      <c r="A18" s="6" t="s">
        <v>40</v>
      </c>
      <c r="B18" s="6">
        <v>2</v>
      </c>
      <c r="C18" s="6">
        <v>2</v>
      </c>
      <c r="D18" s="6">
        <v>2</v>
      </c>
      <c r="E18" s="6">
        <v>2</v>
      </c>
      <c r="F18" s="6">
        <v>2</v>
      </c>
      <c r="G18" s="6">
        <v>1</v>
      </c>
      <c r="H18" s="6">
        <v>4688897</v>
      </c>
      <c r="I18" s="6">
        <v>4688897</v>
      </c>
      <c r="J18" s="6">
        <v>4688897</v>
      </c>
      <c r="K18" s="6">
        <v>4688897</v>
      </c>
      <c r="L18" s="6">
        <v>4688897</v>
      </c>
      <c r="M18" s="6">
        <v>4658029</v>
      </c>
      <c r="N18" s="6">
        <v>2</v>
      </c>
      <c r="O18" s="6">
        <v>4658029</v>
      </c>
      <c r="P18" s="6">
        <v>4688897</v>
      </c>
      <c r="Q18" s="6">
        <v>52.25</v>
      </c>
      <c r="R18" s="6">
        <v>4658029</v>
      </c>
      <c r="S18" s="6">
        <v>4658029</v>
      </c>
      <c r="T18" s="6">
        <v>4627567.4000000004</v>
      </c>
      <c r="U18" s="6">
        <v>1</v>
      </c>
      <c r="V18" s="6">
        <v>1</v>
      </c>
      <c r="W18" s="6">
        <v>0</v>
      </c>
    </row>
    <row r="19" spans="1:23" x14ac:dyDescent="0.25">
      <c r="A19" s="6" t="s">
        <v>42</v>
      </c>
      <c r="B19" s="6">
        <v>2</v>
      </c>
      <c r="C19" s="6">
        <v>2</v>
      </c>
      <c r="D19" s="6">
        <v>1</v>
      </c>
      <c r="E19" s="6">
        <v>1</v>
      </c>
      <c r="F19" s="6">
        <v>1</v>
      </c>
      <c r="G19" s="6">
        <v>1</v>
      </c>
      <c r="H19" s="6">
        <v>4693118</v>
      </c>
      <c r="I19" s="6">
        <v>4693118</v>
      </c>
      <c r="J19" s="6">
        <v>4688456</v>
      </c>
      <c r="K19" s="6">
        <v>4688456</v>
      </c>
      <c r="L19" s="6">
        <v>4688456</v>
      </c>
      <c r="M19" s="6">
        <v>4688456</v>
      </c>
      <c r="N19" s="6">
        <v>2</v>
      </c>
      <c r="O19" s="6">
        <v>4688456</v>
      </c>
      <c r="P19" s="6">
        <v>4693118</v>
      </c>
      <c r="Q19" s="6">
        <v>52.25</v>
      </c>
      <c r="R19" s="6">
        <v>4688456</v>
      </c>
      <c r="S19" s="6">
        <v>4688456</v>
      </c>
      <c r="T19" s="6">
        <v>4683803.3</v>
      </c>
      <c r="U19" s="6">
        <v>1</v>
      </c>
      <c r="V19" s="6">
        <v>1</v>
      </c>
      <c r="W19" s="6">
        <v>0</v>
      </c>
    </row>
    <row r="20" spans="1:23" x14ac:dyDescent="0.25">
      <c r="A20" s="6" t="s">
        <v>44</v>
      </c>
      <c r="B20" s="6">
        <v>2</v>
      </c>
      <c r="C20" s="6">
        <v>2</v>
      </c>
      <c r="D20" s="6">
        <v>2</v>
      </c>
      <c r="E20" s="6">
        <v>2</v>
      </c>
      <c r="F20" s="6">
        <v>2</v>
      </c>
      <c r="G20" s="6">
        <v>2</v>
      </c>
      <c r="H20" s="6">
        <v>4776336</v>
      </c>
      <c r="I20" s="6">
        <v>4776336</v>
      </c>
      <c r="J20" s="6">
        <v>4776336</v>
      </c>
      <c r="K20" s="6">
        <v>4776336</v>
      </c>
      <c r="L20" s="6">
        <v>4776336</v>
      </c>
      <c r="M20" s="6">
        <v>4776336</v>
      </c>
      <c r="N20" s="6">
        <v>2</v>
      </c>
      <c r="O20" s="6">
        <v>4688460</v>
      </c>
      <c r="P20" s="6">
        <v>4776336</v>
      </c>
      <c r="Q20" s="6">
        <v>52.21</v>
      </c>
      <c r="R20" s="6">
        <v>4688460</v>
      </c>
      <c r="S20" s="6">
        <v>4688460</v>
      </c>
      <c r="T20" s="6">
        <v>4603817.5</v>
      </c>
      <c r="U20" s="6">
        <v>1</v>
      </c>
      <c r="V20" s="6">
        <v>1</v>
      </c>
      <c r="W20" s="6">
        <v>0</v>
      </c>
    </row>
    <row r="21" spans="1:23" x14ac:dyDescent="0.25">
      <c r="A21" s="6" t="s">
        <v>51</v>
      </c>
      <c r="B21" s="6">
        <v>2</v>
      </c>
      <c r="C21" s="6">
        <v>2</v>
      </c>
      <c r="D21" s="6">
        <v>2</v>
      </c>
      <c r="E21" s="6">
        <v>2</v>
      </c>
      <c r="F21" s="6">
        <v>2</v>
      </c>
      <c r="G21" s="6">
        <v>2</v>
      </c>
      <c r="H21" s="6">
        <v>4776332</v>
      </c>
      <c r="I21" s="6">
        <v>4776332</v>
      </c>
      <c r="J21" s="6">
        <v>4776332</v>
      </c>
      <c r="K21" s="6">
        <v>4776332</v>
      </c>
      <c r="L21" s="6">
        <v>4776332</v>
      </c>
      <c r="M21" s="6">
        <v>4776332</v>
      </c>
      <c r="N21" s="6">
        <v>2</v>
      </c>
      <c r="O21" s="6">
        <v>4688457</v>
      </c>
      <c r="P21" s="6">
        <v>4776332</v>
      </c>
      <c r="Q21" s="6">
        <v>52.21</v>
      </c>
      <c r="R21" s="6">
        <v>4688457</v>
      </c>
      <c r="S21" s="6">
        <v>4688457</v>
      </c>
      <c r="T21" s="6">
        <v>4603815.5</v>
      </c>
      <c r="U21" s="6">
        <v>1</v>
      </c>
      <c r="V21" s="6">
        <v>1</v>
      </c>
      <c r="W21" s="6">
        <v>0</v>
      </c>
    </row>
    <row r="22" spans="1:23" x14ac:dyDescent="0.25">
      <c r="A22" s="6" t="s">
        <v>52</v>
      </c>
      <c r="B22" s="6">
        <v>2</v>
      </c>
      <c r="C22" s="6">
        <v>2</v>
      </c>
      <c r="D22" s="6">
        <v>2</v>
      </c>
      <c r="E22" s="6">
        <v>2</v>
      </c>
      <c r="F22" s="6">
        <v>2</v>
      </c>
      <c r="G22" s="6">
        <v>2</v>
      </c>
      <c r="H22" s="6">
        <v>4776830</v>
      </c>
      <c r="I22" s="6">
        <v>4776830</v>
      </c>
      <c r="J22" s="6">
        <v>4776830</v>
      </c>
      <c r="K22" s="6">
        <v>4776830</v>
      </c>
      <c r="L22" s="6">
        <v>4776830</v>
      </c>
      <c r="M22" s="6">
        <v>4776830</v>
      </c>
      <c r="N22" s="6">
        <v>2</v>
      </c>
      <c r="O22" s="6">
        <v>4688424</v>
      </c>
      <c r="P22" s="6">
        <v>4776830</v>
      </c>
      <c r="Q22" s="6">
        <v>52.21</v>
      </c>
      <c r="R22" s="6">
        <v>4688424</v>
      </c>
      <c r="S22" s="6">
        <v>4688424</v>
      </c>
      <c r="T22" s="6">
        <v>4603290.3</v>
      </c>
      <c r="U22" s="6">
        <v>1</v>
      </c>
      <c r="V22" s="6">
        <v>1</v>
      </c>
      <c r="W22" s="6">
        <v>0</v>
      </c>
    </row>
    <row r="23" spans="1:23" x14ac:dyDescent="0.25">
      <c r="A23" s="6" t="s">
        <v>65</v>
      </c>
      <c r="B23" s="6">
        <v>2</v>
      </c>
      <c r="C23" s="6">
        <v>2</v>
      </c>
      <c r="D23" s="6">
        <v>2</v>
      </c>
      <c r="E23" s="6">
        <v>2</v>
      </c>
      <c r="F23" s="6">
        <v>2</v>
      </c>
      <c r="G23" s="6">
        <v>2</v>
      </c>
      <c r="H23" s="6">
        <v>4744089</v>
      </c>
      <c r="I23" s="6">
        <v>4744089</v>
      </c>
      <c r="J23" s="6">
        <v>4744089</v>
      </c>
      <c r="K23" s="6">
        <v>4744089</v>
      </c>
      <c r="L23" s="6">
        <v>4744089</v>
      </c>
      <c r="M23" s="6">
        <v>4744089</v>
      </c>
      <c r="N23" s="6">
        <v>2</v>
      </c>
      <c r="O23" s="6">
        <v>4688340</v>
      </c>
      <c r="P23" s="6">
        <v>4744089</v>
      </c>
      <c r="Q23" s="6">
        <v>52.14</v>
      </c>
      <c r="R23" s="6">
        <v>4688340</v>
      </c>
      <c r="S23" s="6">
        <v>4688340</v>
      </c>
      <c r="T23" s="6">
        <v>4633901.2</v>
      </c>
      <c r="U23" s="6">
        <v>1</v>
      </c>
      <c r="V23" s="6">
        <v>1</v>
      </c>
      <c r="W23" s="6">
        <v>0</v>
      </c>
    </row>
    <row r="24" spans="1:23" x14ac:dyDescent="0.25">
      <c r="A24" s="6" t="s">
        <v>67</v>
      </c>
      <c r="B24" s="6">
        <v>2</v>
      </c>
      <c r="C24" s="6">
        <v>2</v>
      </c>
      <c r="D24" s="6">
        <v>2</v>
      </c>
      <c r="E24" s="6">
        <v>2</v>
      </c>
      <c r="F24" s="6">
        <v>2</v>
      </c>
      <c r="G24" s="6">
        <v>2</v>
      </c>
      <c r="H24" s="6">
        <v>4744297</v>
      </c>
      <c r="I24" s="6">
        <v>4744297</v>
      </c>
      <c r="J24" s="6">
        <v>4744297</v>
      </c>
      <c r="K24" s="6">
        <v>4744297</v>
      </c>
      <c r="L24" s="6">
        <v>4744297</v>
      </c>
      <c r="M24" s="6">
        <v>4744297</v>
      </c>
      <c r="N24" s="6">
        <v>2</v>
      </c>
      <c r="O24" s="6">
        <v>4688344</v>
      </c>
      <c r="P24" s="6">
        <v>4744297</v>
      </c>
      <c r="Q24" s="6">
        <v>52.14</v>
      </c>
      <c r="R24" s="6">
        <v>4688344</v>
      </c>
      <c r="S24" s="6">
        <v>4688344</v>
      </c>
      <c r="T24" s="6">
        <v>4633710.8</v>
      </c>
      <c r="U24" s="6">
        <v>1</v>
      </c>
      <c r="V24" s="6">
        <v>1</v>
      </c>
      <c r="W24" s="6">
        <v>0</v>
      </c>
    </row>
    <row r="25" spans="1:23" x14ac:dyDescent="0.25">
      <c r="A25" s="6" t="s">
        <v>69</v>
      </c>
      <c r="B25" s="6">
        <v>2</v>
      </c>
      <c r="C25" s="6">
        <v>2</v>
      </c>
      <c r="D25" s="6">
        <v>2</v>
      </c>
      <c r="E25" s="6">
        <v>2</v>
      </c>
      <c r="F25" s="6">
        <v>1</v>
      </c>
      <c r="G25" s="6">
        <v>1</v>
      </c>
      <c r="H25" s="6">
        <v>4702422</v>
      </c>
      <c r="I25" s="6">
        <v>4702422</v>
      </c>
      <c r="J25" s="6">
        <v>4702422</v>
      </c>
      <c r="K25" s="6">
        <v>4702422</v>
      </c>
      <c r="L25" s="6">
        <v>4688461</v>
      </c>
      <c r="M25" s="6">
        <v>4688461</v>
      </c>
      <c r="N25" s="6">
        <v>2</v>
      </c>
      <c r="O25" s="6">
        <v>4688461</v>
      </c>
      <c r="P25" s="6">
        <v>4702422</v>
      </c>
      <c r="Q25" s="6">
        <v>52.25</v>
      </c>
      <c r="R25" s="6">
        <v>4688461</v>
      </c>
      <c r="S25" s="6">
        <v>4688461</v>
      </c>
      <c r="T25" s="6">
        <v>4674582.9000000004</v>
      </c>
      <c r="U25" s="6">
        <v>1</v>
      </c>
      <c r="V25" s="6">
        <v>1</v>
      </c>
      <c r="W25" s="6">
        <v>0</v>
      </c>
    </row>
    <row r="26" spans="1:23" x14ac:dyDescent="0.25">
      <c r="A26" s="6" t="s">
        <v>83</v>
      </c>
      <c r="B26" s="6">
        <v>2</v>
      </c>
      <c r="C26" s="6">
        <v>2</v>
      </c>
      <c r="D26" s="6">
        <v>2</v>
      </c>
      <c r="E26" s="6">
        <v>2</v>
      </c>
      <c r="F26" s="6">
        <v>2</v>
      </c>
      <c r="G26" s="6">
        <v>2</v>
      </c>
      <c r="H26" s="6">
        <v>4739534</v>
      </c>
      <c r="I26" s="6">
        <v>4739534</v>
      </c>
      <c r="J26" s="6">
        <v>4739534</v>
      </c>
      <c r="K26" s="6">
        <v>4739534</v>
      </c>
      <c r="L26" s="6">
        <v>4739534</v>
      </c>
      <c r="M26" s="6">
        <v>4739534</v>
      </c>
      <c r="N26" s="6">
        <v>2</v>
      </c>
      <c r="O26" s="6">
        <v>4647886</v>
      </c>
      <c r="P26" s="6">
        <v>4739534</v>
      </c>
      <c r="Q26" s="6">
        <v>52.23</v>
      </c>
      <c r="R26" s="6">
        <v>4647886</v>
      </c>
      <c r="S26" s="6">
        <v>4647886</v>
      </c>
      <c r="T26" s="6">
        <v>4559782.4000000004</v>
      </c>
      <c r="U26" s="6">
        <v>1</v>
      </c>
      <c r="V26" s="6">
        <v>1</v>
      </c>
      <c r="W26" s="6">
        <v>0</v>
      </c>
    </row>
    <row r="27" spans="1:23" x14ac:dyDescent="0.25">
      <c r="A27" s="6" t="s">
        <v>87</v>
      </c>
      <c r="B27" s="6">
        <v>2</v>
      </c>
      <c r="C27" s="6">
        <v>2</v>
      </c>
      <c r="D27" s="6">
        <v>2</v>
      </c>
      <c r="E27" s="6">
        <v>2</v>
      </c>
      <c r="F27" s="6">
        <v>2</v>
      </c>
      <c r="G27" s="6">
        <v>1</v>
      </c>
      <c r="H27" s="6">
        <v>4725559</v>
      </c>
      <c r="I27" s="6">
        <v>4725559</v>
      </c>
      <c r="J27" s="6">
        <v>4725559</v>
      </c>
      <c r="K27" s="6">
        <v>4725559</v>
      </c>
      <c r="L27" s="6">
        <v>4725559</v>
      </c>
      <c r="M27" s="6">
        <v>4688462</v>
      </c>
      <c r="N27" s="6">
        <v>2</v>
      </c>
      <c r="O27" s="6">
        <v>4688462</v>
      </c>
      <c r="P27" s="6">
        <v>4725559</v>
      </c>
      <c r="Q27" s="6">
        <v>52.33</v>
      </c>
      <c r="R27" s="6">
        <v>4688462</v>
      </c>
      <c r="S27" s="6">
        <v>4688462</v>
      </c>
      <c r="T27" s="6">
        <v>4651947.4000000004</v>
      </c>
      <c r="U27" s="6">
        <v>1</v>
      </c>
      <c r="V27" s="6">
        <v>1</v>
      </c>
      <c r="W27" s="6">
        <v>0</v>
      </c>
    </row>
    <row r="28" spans="1:23" x14ac:dyDescent="0.25">
      <c r="A28" s="6" t="s">
        <v>98</v>
      </c>
      <c r="B28" s="6">
        <v>2</v>
      </c>
      <c r="C28" s="6">
        <v>2</v>
      </c>
      <c r="D28" s="6">
        <v>2</v>
      </c>
      <c r="E28" s="6">
        <v>2</v>
      </c>
      <c r="F28" s="6">
        <v>2</v>
      </c>
      <c r="G28" s="6">
        <v>2</v>
      </c>
      <c r="H28" s="6">
        <v>4746525</v>
      </c>
      <c r="I28" s="6">
        <v>4746525</v>
      </c>
      <c r="J28" s="6">
        <v>4746525</v>
      </c>
      <c r="K28" s="6">
        <v>4746525</v>
      </c>
      <c r="L28" s="6">
        <v>4746525</v>
      </c>
      <c r="M28" s="6">
        <v>4746525</v>
      </c>
      <c r="N28" s="6">
        <v>2</v>
      </c>
      <c r="O28" s="6">
        <v>4688454</v>
      </c>
      <c r="P28" s="6">
        <v>4746525</v>
      </c>
      <c r="Q28" s="6">
        <v>52.13</v>
      </c>
      <c r="R28" s="6">
        <v>4688454</v>
      </c>
      <c r="S28" s="6">
        <v>4688454</v>
      </c>
      <c r="T28" s="6">
        <v>4631803.9000000004</v>
      </c>
      <c r="U28" s="6">
        <v>1</v>
      </c>
      <c r="V28" s="6">
        <v>1</v>
      </c>
      <c r="W28" s="6">
        <v>0</v>
      </c>
    </row>
    <row r="29" spans="1:23" x14ac:dyDescent="0.25">
      <c r="A29" s="6" t="s">
        <v>24</v>
      </c>
      <c r="B29" s="6">
        <v>1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4648183</v>
      </c>
      <c r="I29" s="6">
        <v>4648183</v>
      </c>
      <c r="J29" s="6">
        <v>4648183</v>
      </c>
      <c r="K29" s="6">
        <v>4648183</v>
      </c>
      <c r="L29" s="6">
        <v>4648183</v>
      </c>
      <c r="M29" s="6">
        <v>4648183</v>
      </c>
      <c r="N29" s="6">
        <v>1</v>
      </c>
      <c r="O29" s="6">
        <v>4648183</v>
      </c>
      <c r="P29" s="6">
        <v>4648183</v>
      </c>
      <c r="Q29" s="6">
        <v>52.26</v>
      </c>
      <c r="R29" s="6">
        <v>4648183</v>
      </c>
      <c r="S29" s="6">
        <v>4648183</v>
      </c>
      <c r="T29" s="6">
        <v>4648183</v>
      </c>
      <c r="U29" s="6">
        <v>1</v>
      </c>
      <c r="V29" s="6">
        <v>1</v>
      </c>
      <c r="W29" s="6">
        <v>0</v>
      </c>
    </row>
    <row r="30" spans="1:23" x14ac:dyDescent="0.25">
      <c r="A30" s="6" t="s">
        <v>26</v>
      </c>
      <c r="B30" s="6">
        <v>1</v>
      </c>
      <c r="C30" s="6">
        <v>1</v>
      </c>
      <c r="D30" s="6">
        <v>1</v>
      </c>
      <c r="E30" s="6">
        <v>1</v>
      </c>
      <c r="F30" s="6">
        <v>1</v>
      </c>
      <c r="G30" s="6">
        <v>1</v>
      </c>
      <c r="H30" s="6">
        <v>4688543</v>
      </c>
      <c r="I30" s="6">
        <v>4688543</v>
      </c>
      <c r="J30" s="6">
        <v>4688543</v>
      </c>
      <c r="K30" s="6">
        <v>4688543</v>
      </c>
      <c r="L30" s="6">
        <v>4688543</v>
      </c>
      <c r="M30" s="6">
        <v>4688543</v>
      </c>
      <c r="N30" s="6">
        <v>1</v>
      </c>
      <c r="O30" s="6">
        <v>4688543</v>
      </c>
      <c r="P30" s="6">
        <v>4688543</v>
      </c>
      <c r="Q30" s="6">
        <v>52.22</v>
      </c>
      <c r="R30" s="6">
        <v>4688543</v>
      </c>
      <c r="S30" s="6">
        <v>4688543</v>
      </c>
      <c r="T30" s="6">
        <v>4688543</v>
      </c>
      <c r="U30" s="6">
        <v>1</v>
      </c>
      <c r="V30" s="6">
        <v>1</v>
      </c>
      <c r="W30" s="6">
        <v>0</v>
      </c>
    </row>
    <row r="31" spans="1:23" x14ac:dyDescent="0.25">
      <c r="A31" s="6" t="s">
        <v>28</v>
      </c>
      <c r="B31" s="6">
        <v>1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6">
        <v>4674209</v>
      </c>
      <c r="I31" s="6">
        <v>4674209</v>
      </c>
      <c r="J31" s="6">
        <v>4674209</v>
      </c>
      <c r="K31" s="6">
        <v>4674209</v>
      </c>
      <c r="L31" s="6">
        <v>4674209</v>
      </c>
      <c r="M31" s="6">
        <v>4674209</v>
      </c>
      <c r="N31" s="6">
        <v>1</v>
      </c>
      <c r="O31" s="6">
        <v>4674209</v>
      </c>
      <c r="P31" s="6">
        <v>4674209</v>
      </c>
      <c r="Q31" s="6">
        <v>52.23</v>
      </c>
      <c r="R31" s="6">
        <v>4674209</v>
      </c>
      <c r="S31" s="6">
        <v>4674209</v>
      </c>
      <c r="T31" s="6">
        <v>4674209</v>
      </c>
      <c r="U31" s="6">
        <v>1</v>
      </c>
      <c r="V31" s="6">
        <v>1</v>
      </c>
      <c r="W31" s="6">
        <v>0</v>
      </c>
    </row>
    <row r="32" spans="1:23" x14ac:dyDescent="0.25">
      <c r="A32" s="6" t="s">
        <v>31</v>
      </c>
      <c r="B32" s="6">
        <v>1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4686167</v>
      </c>
      <c r="I32" s="6">
        <v>4686167</v>
      </c>
      <c r="J32" s="6">
        <v>4686167</v>
      </c>
      <c r="K32" s="6">
        <v>4686167</v>
      </c>
      <c r="L32" s="6">
        <v>4686167</v>
      </c>
      <c r="M32" s="6">
        <v>4686167</v>
      </c>
      <c r="N32" s="6">
        <v>1</v>
      </c>
      <c r="O32" s="6">
        <v>4686167</v>
      </c>
      <c r="P32" s="6">
        <v>4686167</v>
      </c>
      <c r="Q32" s="6">
        <v>52.22</v>
      </c>
      <c r="R32" s="6">
        <v>4686167</v>
      </c>
      <c r="S32" s="6">
        <v>4686167</v>
      </c>
      <c r="T32" s="6">
        <v>4686167</v>
      </c>
      <c r="U32" s="6">
        <v>1</v>
      </c>
      <c r="V32" s="6">
        <v>1</v>
      </c>
      <c r="W32" s="6">
        <v>0</v>
      </c>
    </row>
    <row r="33" spans="1:23" x14ac:dyDescent="0.25">
      <c r="A33" s="6" t="s">
        <v>34</v>
      </c>
      <c r="B33" s="6">
        <v>1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4638301</v>
      </c>
      <c r="I33" s="6">
        <v>4638301</v>
      </c>
      <c r="J33" s="6">
        <v>4638301</v>
      </c>
      <c r="K33" s="6">
        <v>4638301</v>
      </c>
      <c r="L33" s="6">
        <v>4638301</v>
      </c>
      <c r="M33" s="6">
        <v>4638301</v>
      </c>
      <c r="N33" s="6">
        <v>1</v>
      </c>
      <c r="O33" s="6">
        <v>4638301</v>
      </c>
      <c r="P33" s="6">
        <v>4638301</v>
      </c>
      <c r="Q33" s="6">
        <v>52.29</v>
      </c>
      <c r="R33" s="6">
        <v>4638301</v>
      </c>
      <c r="S33" s="6">
        <v>4638301</v>
      </c>
      <c r="T33" s="6">
        <v>4638301</v>
      </c>
      <c r="U33" s="6">
        <v>1</v>
      </c>
      <c r="V33" s="6">
        <v>1</v>
      </c>
      <c r="W33" s="6">
        <v>0</v>
      </c>
    </row>
    <row r="34" spans="1:23" x14ac:dyDescent="0.25">
      <c r="A34" s="6" t="s">
        <v>35</v>
      </c>
      <c r="B34" s="6">
        <v>1</v>
      </c>
      <c r="C34" s="6">
        <v>1</v>
      </c>
      <c r="D34" s="6">
        <v>1</v>
      </c>
      <c r="E34" s="6">
        <v>1</v>
      </c>
      <c r="F34" s="6">
        <v>1</v>
      </c>
      <c r="G34" s="6">
        <v>1</v>
      </c>
      <c r="H34" s="6">
        <v>4673652</v>
      </c>
      <c r="I34" s="6">
        <v>4673652</v>
      </c>
      <c r="J34" s="6">
        <v>4673652</v>
      </c>
      <c r="K34" s="6">
        <v>4673652</v>
      </c>
      <c r="L34" s="6">
        <v>4673652</v>
      </c>
      <c r="M34" s="6">
        <v>4673652</v>
      </c>
      <c r="N34" s="6">
        <v>1</v>
      </c>
      <c r="O34" s="6">
        <v>4673652</v>
      </c>
      <c r="P34" s="6">
        <v>4673652</v>
      </c>
      <c r="Q34" s="6">
        <v>52.22</v>
      </c>
      <c r="R34" s="6">
        <v>4673652</v>
      </c>
      <c r="S34" s="6">
        <v>4673652</v>
      </c>
      <c r="T34" s="6">
        <v>4673652</v>
      </c>
      <c r="U34" s="6">
        <v>1</v>
      </c>
      <c r="V34" s="6">
        <v>1</v>
      </c>
      <c r="W34" s="6">
        <v>0</v>
      </c>
    </row>
    <row r="35" spans="1:23" x14ac:dyDescent="0.25">
      <c r="A35" s="6" t="s">
        <v>37</v>
      </c>
      <c r="B35" s="6">
        <v>1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  <c r="H35" s="6">
        <v>4688122</v>
      </c>
      <c r="I35" s="6">
        <v>4688122</v>
      </c>
      <c r="J35" s="6">
        <v>4688122</v>
      </c>
      <c r="K35" s="6">
        <v>4688122</v>
      </c>
      <c r="L35" s="6">
        <v>4688122</v>
      </c>
      <c r="M35" s="6">
        <v>4688122</v>
      </c>
      <c r="N35" s="6">
        <v>1</v>
      </c>
      <c r="O35" s="6">
        <v>4688122</v>
      </c>
      <c r="P35" s="6">
        <v>4688122</v>
      </c>
      <c r="Q35" s="6">
        <v>52.21</v>
      </c>
      <c r="R35" s="6">
        <v>4688122</v>
      </c>
      <c r="S35" s="6">
        <v>4688122</v>
      </c>
      <c r="T35" s="6">
        <v>4688122</v>
      </c>
      <c r="U35" s="6">
        <v>1</v>
      </c>
      <c r="V35" s="6">
        <v>1</v>
      </c>
      <c r="W35" s="6">
        <v>0</v>
      </c>
    </row>
    <row r="36" spans="1:23" x14ac:dyDescent="0.25">
      <c r="A36" s="6" t="s">
        <v>41</v>
      </c>
      <c r="B36" s="6">
        <v>1</v>
      </c>
      <c r="C36" s="6">
        <v>1</v>
      </c>
      <c r="D36" s="6">
        <v>1</v>
      </c>
      <c r="E36" s="6">
        <v>1</v>
      </c>
      <c r="F36" s="6">
        <v>1</v>
      </c>
      <c r="G36" s="6">
        <v>1</v>
      </c>
      <c r="H36" s="6">
        <v>4688457</v>
      </c>
      <c r="I36" s="6">
        <v>4688457</v>
      </c>
      <c r="J36" s="6">
        <v>4688457</v>
      </c>
      <c r="K36" s="6">
        <v>4688457</v>
      </c>
      <c r="L36" s="6">
        <v>4688457</v>
      </c>
      <c r="M36" s="6">
        <v>4688457</v>
      </c>
      <c r="N36" s="6">
        <v>1</v>
      </c>
      <c r="O36" s="6">
        <v>4688457</v>
      </c>
      <c r="P36" s="6">
        <v>4688457</v>
      </c>
      <c r="Q36" s="6">
        <v>52.25</v>
      </c>
      <c r="R36" s="6">
        <v>4688457</v>
      </c>
      <c r="S36" s="6">
        <v>4688457</v>
      </c>
      <c r="T36" s="6">
        <v>4688457</v>
      </c>
      <c r="U36" s="6">
        <v>1</v>
      </c>
      <c r="V36" s="6">
        <v>1</v>
      </c>
      <c r="W36" s="6">
        <v>0</v>
      </c>
    </row>
    <row r="37" spans="1:23" x14ac:dyDescent="0.25">
      <c r="A37" s="6" t="s">
        <v>43</v>
      </c>
      <c r="B37" s="6">
        <v>1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4682986</v>
      </c>
      <c r="I37" s="6">
        <v>4682986</v>
      </c>
      <c r="J37" s="6">
        <v>4682986</v>
      </c>
      <c r="K37" s="6">
        <v>4682986</v>
      </c>
      <c r="L37" s="6">
        <v>4682986</v>
      </c>
      <c r="M37" s="6">
        <v>4682986</v>
      </c>
      <c r="N37" s="6">
        <v>1</v>
      </c>
      <c r="O37" s="6">
        <v>4682986</v>
      </c>
      <c r="P37" s="6">
        <v>4682986</v>
      </c>
      <c r="Q37" s="6">
        <v>52.25</v>
      </c>
      <c r="R37" s="6">
        <v>4682986</v>
      </c>
      <c r="S37" s="6">
        <v>4682986</v>
      </c>
      <c r="T37" s="6">
        <v>4682986</v>
      </c>
      <c r="U37" s="6">
        <v>1</v>
      </c>
      <c r="V37" s="6">
        <v>1</v>
      </c>
      <c r="W37" s="6">
        <v>0</v>
      </c>
    </row>
    <row r="38" spans="1:23" x14ac:dyDescent="0.25">
      <c r="A38" s="6" t="s">
        <v>45</v>
      </c>
      <c r="B38" s="6">
        <v>1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4688447</v>
      </c>
      <c r="I38" s="6">
        <v>4688447</v>
      </c>
      <c r="J38" s="6">
        <v>4688447</v>
      </c>
      <c r="K38" s="6">
        <v>4688447</v>
      </c>
      <c r="L38" s="6">
        <v>4688447</v>
      </c>
      <c r="M38" s="6">
        <v>4688447</v>
      </c>
      <c r="N38" s="6">
        <v>1</v>
      </c>
      <c r="O38" s="6">
        <v>4688447</v>
      </c>
      <c r="P38" s="6">
        <v>4688447</v>
      </c>
      <c r="Q38" s="6">
        <v>52.25</v>
      </c>
      <c r="R38" s="6">
        <v>4688447</v>
      </c>
      <c r="S38" s="6">
        <v>4688447</v>
      </c>
      <c r="T38" s="6">
        <v>4688447</v>
      </c>
      <c r="U38" s="6">
        <v>1</v>
      </c>
      <c r="V38" s="6">
        <v>1</v>
      </c>
      <c r="W38" s="6">
        <v>0</v>
      </c>
    </row>
    <row r="39" spans="1:23" x14ac:dyDescent="0.25">
      <c r="A39" s="6" t="s">
        <v>47</v>
      </c>
      <c r="B39" s="6">
        <v>1</v>
      </c>
      <c r="C39" s="6">
        <v>1</v>
      </c>
      <c r="D39" s="6">
        <v>1</v>
      </c>
      <c r="E39" s="6">
        <v>1</v>
      </c>
      <c r="F39" s="6">
        <v>1</v>
      </c>
      <c r="G39" s="6">
        <v>1</v>
      </c>
      <c r="H39" s="6">
        <v>4688456</v>
      </c>
      <c r="I39" s="6">
        <v>4688456</v>
      </c>
      <c r="J39" s="6">
        <v>4688456</v>
      </c>
      <c r="K39" s="6">
        <v>4688456</v>
      </c>
      <c r="L39" s="6">
        <v>4688456</v>
      </c>
      <c r="M39" s="6">
        <v>4688456</v>
      </c>
      <c r="N39" s="6">
        <v>1</v>
      </c>
      <c r="O39" s="6">
        <v>4688456</v>
      </c>
      <c r="P39" s="6">
        <v>4688456</v>
      </c>
      <c r="Q39" s="6">
        <v>52.25</v>
      </c>
      <c r="R39" s="6">
        <v>4688456</v>
      </c>
      <c r="S39" s="6">
        <v>4688456</v>
      </c>
      <c r="T39" s="6">
        <v>4688456</v>
      </c>
      <c r="U39" s="6">
        <v>1</v>
      </c>
      <c r="V39" s="6">
        <v>1</v>
      </c>
      <c r="W39" s="6">
        <v>0</v>
      </c>
    </row>
    <row r="40" spans="1:23" x14ac:dyDescent="0.25">
      <c r="A40" s="6" t="s">
        <v>50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4647886</v>
      </c>
      <c r="I40" s="6">
        <v>4647886</v>
      </c>
      <c r="J40" s="6">
        <v>4647886</v>
      </c>
      <c r="K40" s="6">
        <v>4647886</v>
      </c>
      <c r="L40" s="6">
        <v>4647886</v>
      </c>
      <c r="M40" s="6">
        <v>4647886</v>
      </c>
      <c r="N40" s="6">
        <v>1</v>
      </c>
      <c r="O40" s="6">
        <v>4647886</v>
      </c>
      <c r="P40" s="6">
        <v>4647886</v>
      </c>
      <c r="Q40" s="6">
        <v>52.28</v>
      </c>
      <c r="R40" s="6">
        <v>4647886</v>
      </c>
      <c r="S40" s="6">
        <v>4647886</v>
      </c>
      <c r="T40" s="6">
        <v>4647886</v>
      </c>
      <c r="U40" s="6">
        <v>1</v>
      </c>
      <c r="V40" s="6">
        <v>1</v>
      </c>
      <c r="W40" s="6">
        <v>0</v>
      </c>
    </row>
    <row r="41" spans="1:23" x14ac:dyDescent="0.25">
      <c r="A41" s="6" t="s">
        <v>53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4688414</v>
      </c>
      <c r="I41" s="6">
        <v>4688414</v>
      </c>
      <c r="J41" s="6">
        <v>4688414</v>
      </c>
      <c r="K41" s="6">
        <v>4688414</v>
      </c>
      <c r="L41" s="6">
        <v>4688414</v>
      </c>
      <c r="M41" s="6">
        <v>4688414</v>
      </c>
      <c r="N41" s="6">
        <v>1</v>
      </c>
      <c r="O41" s="6">
        <v>4688414</v>
      </c>
      <c r="P41" s="6">
        <v>4688414</v>
      </c>
      <c r="Q41" s="6">
        <v>52.25</v>
      </c>
      <c r="R41" s="6">
        <v>4688414</v>
      </c>
      <c r="S41" s="6">
        <v>4688414</v>
      </c>
      <c r="T41" s="6">
        <v>4688414</v>
      </c>
      <c r="U41" s="6">
        <v>1</v>
      </c>
      <c r="V41" s="6">
        <v>1</v>
      </c>
      <c r="W41" s="6">
        <v>0</v>
      </c>
    </row>
    <row r="42" spans="1:23" x14ac:dyDescent="0.25">
      <c r="A42" s="6" t="s">
        <v>54</v>
      </c>
      <c r="B42" s="6">
        <v>1</v>
      </c>
      <c r="C42" s="6">
        <v>1</v>
      </c>
      <c r="D42" s="6">
        <v>1</v>
      </c>
      <c r="E42" s="6">
        <v>1</v>
      </c>
      <c r="F42" s="6">
        <v>1</v>
      </c>
      <c r="G42" s="6">
        <v>1</v>
      </c>
      <c r="H42" s="6">
        <v>4688450</v>
      </c>
      <c r="I42" s="6">
        <v>4688450</v>
      </c>
      <c r="J42" s="6">
        <v>4688450</v>
      </c>
      <c r="K42" s="6">
        <v>4688450</v>
      </c>
      <c r="L42" s="6">
        <v>4688450</v>
      </c>
      <c r="M42" s="6">
        <v>4688450</v>
      </c>
      <c r="N42" s="6">
        <v>1</v>
      </c>
      <c r="O42" s="6">
        <v>4688450</v>
      </c>
      <c r="P42" s="6">
        <v>4688450</v>
      </c>
      <c r="Q42" s="6">
        <v>52.25</v>
      </c>
      <c r="R42" s="6">
        <v>4688450</v>
      </c>
      <c r="S42" s="6">
        <v>4688450</v>
      </c>
      <c r="T42" s="6">
        <v>4688450</v>
      </c>
      <c r="U42" s="6">
        <v>1</v>
      </c>
      <c r="V42" s="6">
        <v>1</v>
      </c>
      <c r="W42" s="6">
        <v>0</v>
      </c>
    </row>
    <row r="43" spans="1:23" x14ac:dyDescent="0.25">
      <c r="A43" s="6" t="s">
        <v>55</v>
      </c>
      <c r="B43" s="6">
        <v>1</v>
      </c>
      <c r="C43" s="6">
        <v>1</v>
      </c>
      <c r="D43" s="6">
        <v>1</v>
      </c>
      <c r="E43" s="6">
        <v>1</v>
      </c>
      <c r="F43" s="6">
        <v>1</v>
      </c>
      <c r="G43" s="6">
        <v>1</v>
      </c>
      <c r="H43" s="6">
        <v>4688455</v>
      </c>
      <c r="I43" s="6">
        <v>4688455</v>
      </c>
      <c r="J43" s="6">
        <v>4688455</v>
      </c>
      <c r="K43" s="6">
        <v>4688455</v>
      </c>
      <c r="L43" s="6">
        <v>4688455</v>
      </c>
      <c r="M43" s="6">
        <v>4688455</v>
      </c>
      <c r="N43" s="6">
        <v>1</v>
      </c>
      <c r="O43" s="6">
        <v>4688455</v>
      </c>
      <c r="P43" s="6">
        <v>4688455</v>
      </c>
      <c r="Q43" s="6">
        <v>52.25</v>
      </c>
      <c r="R43" s="6">
        <v>4688455</v>
      </c>
      <c r="S43" s="6">
        <v>4688455</v>
      </c>
      <c r="T43" s="6">
        <v>4688455</v>
      </c>
      <c r="U43" s="6">
        <v>1</v>
      </c>
      <c r="V43" s="6">
        <v>1</v>
      </c>
      <c r="W43" s="6">
        <v>0</v>
      </c>
    </row>
    <row r="44" spans="1:23" x14ac:dyDescent="0.25">
      <c r="A44" s="6" t="s">
        <v>56</v>
      </c>
      <c r="B44" s="6">
        <v>1</v>
      </c>
      <c r="C44" s="6">
        <v>1</v>
      </c>
      <c r="D44" s="6">
        <v>1</v>
      </c>
      <c r="E44" s="6">
        <v>1</v>
      </c>
      <c r="F44" s="6">
        <v>1</v>
      </c>
      <c r="G44" s="6">
        <v>1</v>
      </c>
      <c r="H44" s="6">
        <v>4688457</v>
      </c>
      <c r="I44" s="6">
        <v>4688457</v>
      </c>
      <c r="J44" s="6">
        <v>4688457</v>
      </c>
      <c r="K44" s="6">
        <v>4688457</v>
      </c>
      <c r="L44" s="6">
        <v>4688457</v>
      </c>
      <c r="M44" s="6">
        <v>4688457</v>
      </c>
      <c r="N44" s="6">
        <v>1</v>
      </c>
      <c r="O44" s="6">
        <v>4688457</v>
      </c>
      <c r="P44" s="6">
        <v>4688457</v>
      </c>
      <c r="Q44" s="6">
        <v>52.25</v>
      </c>
      <c r="R44" s="6">
        <v>4688457</v>
      </c>
      <c r="S44" s="6">
        <v>4688457</v>
      </c>
      <c r="T44" s="6">
        <v>4688457</v>
      </c>
      <c r="U44" s="6">
        <v>1</v>
      </c>
      <c r="V44" s="6">
        <v>1</v>
      </c>
      <c r="W44" s="6">
        <v>0</v>
      </c>
    </row>
    <row r="45" spans="1:23" x14ac:dyDescent="0.25">
      <c r="A45" s="6" t="s">
        <v>57</v>
      </c>
      <c r="B45" s="6">
        <v>1</v>
      </c>
      <c r="C45" s="6">
        <v>1</v>
      </c>
      <c r="D45" s="6">
        <v>1</v>
      </c>
      <c r="E45" s="6">
        <v>1</v>
      </c>
      <c r="F45" s="6">
        <v>1</v>
      </c>
      <c r="G45" s="6">
        <v>1</v>
      </c>
      <c r="H45" s="6">
        <v>4688460</v>
      </c>
      <c r="I45" s="6">
        <v>4688460</v>
      </c>
      <c r="J45" s="6">
        <v>4688460</v>
      </c>
      <c r="K45" s="6">
        <v>4688460</v>
      </c>
      <c r="L45" s="6">
        <v>4688460</v>
      </c>
      <c r="M45" s="6">
        <v>4688460</v>
      </c>
      <c r="N45" s="6">
        <v>1</v>
      </c>
      <c r="O45" s="6">
        <v>4688460</v>
      </c>
      <c r="P45" s="6">
        <v>4688460</v>
      </c>
      <c r="Q45" s="6">
        <v>52.25</v>
      </c>
      <c r="R45" s="6">
        <v>4688460</v>
      </c>
      <c r="S45" s="6">
        <v>4688460</v>
      </c>
      <c r="T45" s="6">
        <v>4688460</v>
      </c>
      <c r="U45" s="6">
        <v>1</v>
      </c>
      <c r="V45" s="6">
        <v>1</v>
      </c>
      <c r="W45" s="6">
        <v>0</v>
      </c>
    </row>
    <row r="46" spans="1:23" x14ac:dyDescent="0.25">
      <c r="A46" s="6" t="s">
        <v>58</v>
      </c>
      <c r="B46" s="6">
        <v>1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>
        <v>4688457</v>
      </c>
      <c r="I46" s="6">
        <v>4688457</v>
      </c>
      <c r="J46" s="6">
        <v>4688457</v>
      </c>
      <c r="K46" s="6">
        <v>4688457</v>
      </c>
      <c r="L46" s="6">
        <v>4688457</v>
      </c>
      <c r="M46" s="6">
        <v>4688457</v>
      </c>
      <c r="N46" s="6">
        <v>1</v>
      </c>
      <c r="O46" s="6">
        <v>4688457</v>
      </c>
      <c r="P46" s="6">
        <v>4688457</v>
      </c>
      <c r="Q46" s="6">
        <v>52.25</v>
      </c>
      <c r="R46" s="6">
        <v>4688457</v>
      </c>
      <c r="S46" s="6">
        <v>4688457</v>
      </c>
      <c r="T46" s="6">
        <v>4688457</v>
      </c>
      <c r="U46" s="6">
        <v>1</v>
      </c>
      <c r="V46" s="6">
        <v>1</v>
      </c>
      <c r="W46" s="6">
        <v>0</v>
      </c>
    </row>
    <row r="47" spans="1:23" x14ac:dyDescent="0.25">
      <c r="A47" s="6" t="s">
        <v>59</v>
      </c>
      <c r="B47" s="6">
        <v>1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4647685</v>
      </c>
      <c r="I47" s="6">
        <v>4647685</v>
      </c>
      <c r="J47" s="6">
        <v>4647685</v>
      </c>
      <c r="K47" s="6">
        <v>4647685</v>
      </c>
      <c r="L47" s="6">
        <v>4647685</v>
      </c>
      <c r="M47" s="6">
        <v>4647685</v>
      </c>
      <c r="N47" s="6">
        <v>1</v>
      </c>
      <c r="O47" s="6">
        <v>4647685</v>
      </c>
      <c r="P47" s="6">
        <v>4647685</v>
      </c>
      <c r="Q47" s="6">
        <v>52.28</v>
      </c>
      <c r="R47" s="6">
        <v>4647685</v>
      </c>
      <c r="S47" s="6">
        <v>4647685</v>
      </c>
      <c r="T47" s="6">
        <v>4647685</v>
      </c>
      <c r="U47" s="6">
        <v>1</v>
      </c>
      <c r="V47" s="6">
        <v>1</v>
      </c>
      <c r="W47" s="6">
        <v>0</v>
      </c>
    </row>
    <row r="48" spans="1:23" x14ac:dyDescent="0.25">
      <c r="A48" s="6" t="s">
        <v>60</v>
      </c>
      <c r="B48" s="6">
        <v>1</v>
      </c>
      <c r="C48" s="6">
        <v>1</v>
      </c>
      <c r="D48" s="6">
        <v>1</v>
      </c>
      <c r="E48" s="6">
        <v>1</v>
      </c>
      <c r="F48" s="6">
        <v>1</v>
      </c>
      <c r="G48" s="6">
        <v>1</v>
      </c>
      <c r="H48" s="6">
        <v>4688505</v>
      </c>
      <c r="I48" s="6">
        <v>4688505</v>
      </c>
      <c r="J48" s="6">
        <v>4688505</v>
      </c>
      <c r="K48" s="6">
        <v>4688505</v>
      </c>
      <c r="L48" s="6">
        <v>4688505</v>
      </c>
      <c r="M48" s="6">
        <v>4688505</v>
      </c>
      <c r="N48" s="6">
        <v>1</v>
      </c>
      <c r="O48" s="6">
        <v>4688505</v>
      </c>
      <c r="P48" s="6">
        <v>4688505</v>
      </c>
      <c r="Q48" s="6">
        <v>52.25</v>
      </c>
      <c r="R48" s="6">
        <v>4688505</v>
      </c>
      <c r="S48" s="6">
        <v>4688505</v>
      </c>
      <c r="T48" s="6">
        <v>4688505</v>
      </c>
      <c r="U48" s="6">
        <v>1</v>
      </c>
      <c r="V48" s="6">
        <v>1</v>
      </c>
      <c r="W48" s="6">
        <v>0</v>
      </c>
    </row>
    <row r="49" spans="1:23" x14ac:dyDescent="0.25">
      <c r="A49" s="6" t="s">
        <v>61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4688460</v>
      </c>
      <c r="I49" s="6">
        <v>4688460</v>
      </c>
      <c r="J49" s="6">
        <v>4688460</v>
      </c>
      <c r="K49" s="6">
        <v>4688460</v>
      </c>
      <c r="L49" s="6">
        <v>4688460</v>
      </c>
      <c r="M49" s="6">
        <v>4688460</v>
      </c>
      <c r="N49" s="6">
        <v>1</v>
      </c>
      <c r="O49" s="6">
        <v>4688460</v>
      </c>
      <c r="P49" s="6">
        <v>4688460</v>
      </c>
      <c r="Q49" s="6">
        <v>52.25</v>
      </c>
      <c r="R49" s="6">
        <v>4688460</v>
      </c>
      <c r="S49" s="6">
        <v>4688460</v>
      </c>
      <c r="T49" s="6">
        <v>4688460</v>
      </c>
      <c r="U49" s="6">
        <v>1</v>
      </c>
      <c r="V49" s="6">
        <v>1</v>
      </c>
      <c r="W49" s="6">
        <v>0</v>
      </c>
    </row>
    <row r="50" spans="1:23" x14ac:dyDescent="0.25">
      <c r="A50" s="6" t="s">
        <v>62</v>
      </c>
      <c r="B50" s="6">
        <v>1</v>
      </c>
      <c r="C50" s="6">
        <v>1</v>
      </c>
      <c r="D50" s="6">
        <v>1</v>
      </c>
      <c r="E50" s="6">
        <v>1</v>
      </c>
      <c r="F50" s="6">
        <v>1</v>
      </c>
      <c r="G50" s="6">
        <v>1</v>
      </c>
      <c r="H50" s="6">
        <v>4688458</v>
      </c>
      <c r="I50" s="6">
        <v>4688458</v>
      </c>
      <c r="J50" s="6">
        <v>4688458</v>
      </c>
      <c r="K50" s="6">
        <v>4688458</v>
      </c>
      <c r="L50" s="6">
        <v>4688458</v>
      </c>
      <c r="M50" s="6">
        <v>4688458</v>
      </c>
      <c r="N50" s="6">
        <v>1</v>
      </c>
      <c r="O50" s="6">
        <v>4688458</v>
      </c>
      <c r="P50" s="6">
        <v>4688458</v>
      </c>
      <c r="Q50" s="6">
        <v>52.25</v>
      </c>
      <c r="R50" s="6">
        <v>4688458</v>
      </c>
      <c r="S50" s="6">
        <v>4688458</v>
      </c>
      <c r="T50" s="6">
        <v>4688458</v>
      </c>
      <c r="U50" s="6">
        <v>1</v>
      </c>
      <c r="V50" s="6">
        <v>1</v>
      </c>
      <c r="W50" s="6">
        <v>0</v>
      </c>
    </row>
    <row r="51" spans="1:23" x14ac:dyDescent="0.25">
      <c r="A51" s="6" t="s">
        <v>63</v>
      </c>
      <c r="B51" s="6">
        <v>1</v>
      </c>
      <c r="C51" s="6">
        <v>1</v>
      </c>
      <c r="D51" s="6">
        <v>1</v>
      </c>
      <c r="E51" s="6">
        <v>1</v>
      </c>
      <c r="F51" s="6">
        <v>1</v>
      </c>
      <c r="G51" s="6">
        <v>1</v>
      </c>
      <c r="H51" s="6">
        <v>4688461</v>
      </c>
      <c r="I51" s="6">
        <v>4688461</v>
      </c>
      <c r="J51" s="6">
        <v>4688461</v>
      </c>
      <c r="K51" s="6">
        <v>4688461</v>
      </c>
      <c r="L51" s="6">
        <v>4688461</v>
      </c>
      <c r="M51" s="6">
        <v>4688461</v>
      </c>
      <c r="N51" s="6">
        <v>1</v>
      </c>
      <c r="O51" s="6">
        <v>4688461</v>
      </c>
      <c r="P51" s="6">
        <v>4688461</v>
      </c>
      <c r="Q51" s="6">
        <v>52.25</v>
      </c>
      <c r="R51" s="6">
        <v>4688461</v>
      </c>
      <c r="S51" s="6">
        <v>4688461</v>
      </c>
      <c r="T51" s="6">
        <v>4688461</v>
      </c>
      <c r="U51" s="6">
        <v>1</v>
      </c>
      <c r="V51" s="6">
        <v>1</v>
      </c>
      <c r="W51" s="6">
        <v>0</v>
      </c>
    </row>
    <row r="52" spans="1:23" x14ac:dyDescent="0.25">
      <c r="A52" s="6" t="s">
        <v>64</v>
      </c>
      <c r="B52" s="6">
        <v>1</v>
      </c>
      <c r="C52" s="6">
        <v>1</v>
      </c>
      <c r="D52" s="6">
        <v>1</v>
      </c>
      <c r="E52" s="6">
        <v>1</v>
      </c>
      <c r="F52" s="6">
        <v>1</v>
      </c>
      <c r="G52" s="6">
        <v>1</v>
      </c>
      <c r="H52" s="6">
        <v>4688455</v>
      </c>
      <c r="I52" s="6">
        <v>4688455</v>
      </c>
      <c r="J52" s="6">
        <v>4688455</v>
      </c>
      <c r="K52" s="6">
        <v>4688455</v>
      </c>
      <c r="L52" s="6">
        <v>4688455</v>
      </c>
      <c r="M52" s="6">
        <v>4688455</v>
      </c>
      <c r="N52" s="6">
        <v>1</v>
      </c>
      <c r="O52" s="6">
        <v>4688455</v>
      </c>
      <c r="P52" s="6">
        <v>4688455</v>
      </c>
      <c r="Q52" s="6">
        <v>52.25</v>
      </c>
      <c r="R52" s="6">
        <v>4688455</v>
      </c>
      <c r="S52" s="6">
        <v>4688455</v>
      </c>
      <c r="T52" s="6">
        <v>4688455</v>
      </c>
      <c r="U52" s="6">
        <v>1</v>
      </c>
      <c r="V52" s="6">
        <v>1</v>
      </c>
      <c r="W52" s="6">
        <v>0</v>
      </c>
    </row>
    <row r="53" spans="1:23" x14ac:dyDescent="0.25">
      <c r="A53" s="6" t="s">
        <v>66</v>
      </c>
      <c r="B53" s="6">
        <v>1</v>
      </c>
      <c r="C53" s="6">
        <v>1</v>
      </c>
      <c r="D53" s="6">
        <v>1</v>
      </c>
      <c r="E53" s="6">
        <v>1</v>
      </c>
      <c r="F53" s="6">
        <v>1</v>
      </c>
      <c r="G53" s="6">
        <v>1</v>
      </c>
      <c r="H53" s="6">
        <v>4688422</v>
      </c>
      <c r="I53" s="6">
        <v>4688422</v>
      </c>
      <c r="J53" s="6">
        <v>4688422</v>
      </c>
      <c r="K53" s="6">
        <v>4688422</v>
      </c>
      <c r="L53" s="6">
        <v>4688422</v>
      </c>
      <c r="M53" s="6">
        <v>4688422</v>
      </c>
      <c r="N53" s="6">
        <v>1</v>
      </c>
      <c r="O53" s="6">
        <v>4688422</v>
      </c>
      <c r="P53" s="6">
        <v>4688422</v>
      </c>
      <c r="Q53" s="6">
        <v>52.25</v>
      </c>
      <c r="R53" s="6">
        <v>4688422</v>
      </c>
      <c r="S53" s="6">
        <v>4688422</v>
      </c>
      <c r="T53" s="6">
        <v>4688422</v>
      </c>
      <c r="U53" s="6">
        <v>1</v>
      </c>
      <c r="V53" s="6">
        <v>1</v>
      </c>
      <c r="W53" s="6">
        <v>0</v>
      </c>
    </row>
    <row r="54" spans="1:23" x14ac:dyDescent="0.25">
      <c r="A54" s="6" t="s">
        <v>68</v>
      </c>
      <c r="B54" s="6">
        <v>1</v>
      </c>
      <c r="C54" s="6">
        <v>1</v>
      </c>
      <c r="D54" s="6">
        <v>1</v>
      </c>
      <c r="E54" s="6">
        <v>1</v>
      </c>
      <c r="F54" s="6">
        <v>1</v>
      </c>
      <c r="G54" s="6">
        <v>1</v>
      </c>
      <c r="H54" s="6">
        <v>4688452</v>
      </c>
      <c r="I54" s="6">
        <v>4688452</v>
      </c>
      <c r="J54" s="6">
        <v>4688452</v>
      </c>
      <c r="K54" s="6">
        <v>4688452</v>
      </c>
      <c r="L54" s="6">
        <v>4688452</v>
      </c>
      <c r="M54" s="6">
        <v>4688452</v>
      </c>
      <c r="N54" s="6">
        <v>1</v>
      </c>
      <c r="O54" s="6">
        <v>4688452</v>
      </c>
      <c r="P54" s="6">
        <v>4688452</v>
      </c>
      <c r="Q54" s="6">
        <v>52.25</v>
      </c>
      <c r="R54" s="6">
        <v>4688452</v>
      </c>
      <c r="S54" s="6">
        <v>4688452</v>
      </c>
      <c r="T54" s="6">
        <v>4688452</v>
      </c>
      <c r="U54" s="6">
        <v>1</v>
      </c>
      <c r="V54" s="6">
        <v>1</v>
      </c>
      <c r="W54" s="6">
        <v>0</v>
      </c>
    </row>
    <row r="55" spans="1:23" x14ac:dyDescent="0.25">
      <c r="A55" s="6" t="s">
        <v>70</v>
      </c>
      <c r="B55" s="6">
        <v>1</v>
      </c>
      <c r="C55" s="6">
        <v>1</v>
      </c>
      <c r="D55" s="6">
        <v>1</v>
      </c>
      <c r="E55" s="6">
        <v>1</v>
      </c>
      <c r="F55" s="6">
        <v>1</v>
      </c>
      <c r="G55" s="6">
        <v>1</v>
      </c>
      <c r="H55" s="6">
        <v>4647165</v>
      </c>
      <c r="I55" s="6">
        <v>4647165</v>
      </c>
      <c r="J55" s="6">
        <v>4647165</v>
      </c>
      <c r="K55" s="6">
        <v>4647165</v>
      </c>
      <c r="L55" s="6">
        <v>4647165</v>
      </c>
      <c r="M55" s="6">
        <v>4647165</v>
      </c>
      <c r="N55" s="6">
        <v>1</v>
      </c>
      <c r="O55" s="6">
        <v>4647165</v>
      </c>
      <c r="P55" s="6">
        <v>4647165</v>
      </c>
      <c r="Q55" s="6">
        <v>52.28</v>
      </c>
      <c r="R55" s="6">
        <v>4647165</v>
      </c>
      <c r="S55" s="6">
        <v>4647165</v>
      </c>
      <c r="T55" s="6">
        <v>4647165</v>
      </c>
      <c r="U55" s="6">
        <v>1</v>
      </c>
      <c r="V55" s="6">
        <v>1</v>
      </c>
      <c r="W55" s="6">
        <v>0</v>
      </c>
    </row>
    <row r="56" spans="1:23" x14ac:dyDescent="0.25">
      <c r="A56" s="6" t="s">
        <v>71</v>
      </c>
      <c r="B56" s="6">
        <v>1</v>
      </c>
      <c r="C56" s="6">
        <v>1</v>
      </c>
      <c r="D56" s="6">
        <v>1</v>
      </c>
      <c r="E56" s="6">
        <v>1</v>
      </c>
      <c r="F56" s="6">
        <v>1</v>
      </c>
      <c r="G56" s="6">
        <v>1</v>
      </c>
      <c r="H56" s="6">
        <v>4688456</v>
      </c>
      <c r="I56" s="6">
        <v>4688456</v>
      </c>
      <c r="J56" s="6">
        <v>4688456</v>
      </c>
      <c r="K56" s="6">
        <v>4688456</v>
      </c>
      <c r="L56" s="6">
        <v>4688456</v>
      </c>
      <c r="M56" s="6">
        <v>4688456</v>
      </c>
      <c r="N56" s="6">
        <v>1</v>
      </c>
      <c r="O56" s="6">
        <v>4688456</v>
      </c>
      <c r="P56" s="6">
        <v>4688456</v>
      </c>
      <c r="Q56" s="6">
        <v>52.25</v>
      </c>
      <c r="R56" s="6">
        <v>4688456</v>
      </c>
      <c r="S56" s="6">
        <v>4688456</v>
      </c>
      <c r="T56" s="6">
        <v>4688456</v>
      </c>
      <c r="U56" s="6">
        <v>1</v>
      </c>
      <c r="V56" s="6">
        <v>1</v>
      </c>
      <c r="W56" s="6">
        <v>0</v>
      </c>
    </row>
    <row r="57" spans="1:23" x14ac:dyDescent="0.25">
      <c r="A57" s="6" t="s">
        <v>72</v>
      </c>
      <c r="B57" s="6">
        <v>1</v>
      </c>
      <c r="C57" s="6">
        <v>1</v>
      </c>
      <c r="D57" s="6">
        <v>1</v>
      </c>
      <c r="E57" s="6">
        <v>1</v>
      </c>
      <c r="F57" s="6">
        <v>1</v>
      </c>
      <c r="G57" s="6">
        <v>1</v>
      </c>
      <c r="H57" s="6">
        <v>4688413</v>
      </c>
      <c r="I57" s="6">
        <v>4688413</v>
      </c>
      <c r="J57" s="6">
        <v>4688413</v>
      </c>
      <c r="K57" s="6">
        <v>4688413</v>
      </c>
      <c r="L57" s="6">
        <v>4688413</v>
      </c>
      <c r="M57" s="6">
        <v>4688413</v>
      </c>
      <c r="N57" s="6">
        <v>1</v>
      </c>
      <c r="O57" s="6">
        <v>4688413</v>
      </c>
      <c r="P57" s="6">
        <v>4688413</v>
      </c>
      <c r="Q57" s="6">
        <v>52.25</v>
      </c>
      <c r="R57" s="6">
        <v>4688413</v>
      </c>
      <c r="S57" s="6">
        <v>4688413</v>
      </c>
      <c r="T57" s="6">
        <v>4688413</v>
      </c>
      <c r="U57" s="6">
        <v>1</v>
      </c>
      <c r="V57" s="6">
        <v>1</v>
      </c>
      <c r="W57" s="6">
        <v>0</v>
      </c>
    </row>
    <row r="58" spans="1:23" x14ac:dyDescent="0.25">
      <c r="A58" s="6" t="s">
        <v>73</v>
      </c>
      <c r="B58" s="6">
        <v>1</v>
      </c>
      <c r="C58" s="6">
        <v>1</v>
      </c>
      <c r="D58" s="6">
        <v>1</v>
      </c>
      <c r="E58" s="6">
        <v>1</v>
      </c>
      <c r="F58" s="6">
        <v>1</v>
      </c>
      <c r="G58" s="6">
        <v>1</v>
      </c>
      <c r="H58" s="6">
        <v>4647840</v>
      </c>
      <c r="I58" s="6">
        <v>4647840</v>
      </c>
      <c r="J58" s="6">
        <v>4647840</v>
      </c>
      <c r="K58" s="6">
        <v>4647840</v>
      </c>
      <c r="L58" s="6">
        <v>4647840</v>
      </c>
      <c r="M58" s="6">
        <v>4647840</v>
      </c>
      <c r="N58" s="6">
        <v>1</v>
      </c>
      <c r="O58" s="6">
        <v>4647840</v>
      </c>
      <c r="P58" s="6">
        <v>4647840</v>
      </c>
      <c r="Q58" s="6">
        <v>52.28</v>
      </c>
      <c r="R58" s="6">
        <v>4647840</v>
      </c>
      <c r="S58" s="6">
        <v>4647840</v>
      </c>
      <c r="T58" s="6">
        <v>4647840</v>
      </c>
      <c r="U58" s="6">
        <v>1</v>
      </c>
      <c r="V58" s="6">
        <v>1</v>
      </c>
      <c r="W58" s="6">
        <v>0</v>
      </c>
    </row>
    <row r="59" spans="1:23" x14ac:dyDescent="0.25">
      <c r="A59" s="6" t="s">
        <v>74</v>
      </c>
      <c r="B59" s="6">
        <v>1</v>
      </c>
      <c r="C59" s="6">
        <v>1</v>
      </c>
      <c r="D59" s="6">
        <v>1</v>
      </c>
      <c r="E59" s="6">
        <v>1</v>
      </c>
      <c r="F59" s="6">
        <v>1</v>
      </c>
      <c r="G59" s="6">
        <v>1</v>
      </c>
      <c r="H59" s="6">
        <v>4688452</v>
      </c>
      <c r="I59" s="6">
        <v>4688452</v>
      </c>
      <c r="J59" s="6">
        <v>4688452</v>
      </c>
      <c r="K59" s="6">
        <v>4688452</v>
      </c>
      <c r="L59" s="6">
        <v>4688452</v>
      </c>
      <c r="M59" s="6">
        <v>4688452</v>
      </c>
      <c r="N59" s="6">
        <v>1</v>
      </c>
      <c r="O59" s="6">
        <v>4688452</v>
      </c>
      <c r="P59" s="6">
        <v>4688452</v>
      </c>
      <c r="Q59" s="6">
        <v>52.25</v>
      </c>
      <c r="R59" s="6">
        <v>4688452</v>
      </c>
      <c r="S59" s="6">
        <v>4688452</v>
      </c>
      <c r="T59" s="6">
        <v>4688452</v>
      </c>
      <c r="U59" s="6">
        <v>1</v>
      </c>
      <c r="V59" s="6">
        <v>1</v>
      </c>
      <c r="W59" s="6">
        <v>0</v>
      </c>
    </row>
    <row r="60" spans="1:23" x14ac:dyDescent="0.25">
      <c r="A60" s="6" t="s">
        <v>75</v>
      </c>
      <c r="B60" s="6">
        <v>1</v>
      </c>
      <c r="C60" s="6">
        <v>1</v>
      </c>
      <c r="D60" s="6">
        <v>1</v>
      </c>
      <c r="E60" s="6">
        <v>1</v>
      </c>
      <c r="F60" s="6">
        <v>1</v>
      </c>
      <c r="G60" s="6">
        <v>1</v>
      </c>
      <c r="H60" s="6">
        <v>4688462</v>
      </c>
      <c r="I60" s="6">
        <v>4688462</v>
      </c>
      <c r="J60" s="6">
        <v>4688462</v>
      </c>
      <c r="K60" s="6">
        <v>4688462</v>
      </c>
      <c r="L60" s="6">
        <v>4688462</v>
      </c>
      <c r="M60" s="6">
        <v>4688462</v>
      </c>
      <c r="N60" s="6">
        <v>1</v>
      </c>
      <c r="O60" s="6">
        <v>4688462</v>
      </c>
      <c r="P60" s="6">
        <v>4688462</v>
      </c>
      <c r="Q60" s="6">
        <v>52.25</v>
      </c>
      <c r="R60" s="6">
        <v>4688462</v>
      </c>
      <c r="S60" s="6">
        <v>4688462</v>
      </c>
      <c r="T60" s="6">
        <v>4688462</v>
      </c>
      <c r="U60" s="6">
        <v>1</v>
      </c>
      <c r="V60" s="6">
        <v>1</v>
      </c>
      <c r="W60" s="6">
        <v>0</v>
      </c>
    </row>
    <row r="61" spans="1:23" x14ac:dyDescent="0.25">
      <c r="A61" s="6" t="s">
        <v>76</v>
      </c>
      <c r="B61" s="6">
        <v>1</v>
      </c>
      <c r="C61" s="6">
        <v>1</v>
      </c>
      <c r="D61" s="6">
        <v>1</v>
      </c>
      <c r="E61" s="6">
        <v>1</v>
      </c>
      <c r="F61" s="6">
        <v>1</v>
      </c>
      <c r="G61" s="6">
        <v>1</v>
      </c>
      <c r="H61" s="6">
        <v>4688456</v>
      </c>
      <c r="I61" s="6">
        <v>4688456</v>
      </c>
      <c r="J61" s="6">
        <v>4688456</v>
      </c>
      <c r="K61" s="6">
        <v>4688456</v>
      </c>
      <c r="L61" s="6">
        <v>4688456</v>
      </c>
      <c r="M61" s="6">
        <v>4688456</v>
      </c>
      <c r="N61" s="6">
        <v>1</v>
      </c>
      <c r="O61" s="6">
        <v>4688456</v>
      </c>
      <c r="P61" s="6">
        <v>4688456</v>
      </c>
      <c r="Q61" s="6">
        <v>52.25</v>
      </c>
      <c r="R61" s="6">
        <v>4688456</v>
      </c>
      <c r="S61" s="6">
        <v>4688456</v>
      </c>
      <c r="T61" s="6">
        <v>4688456</v>
      </c>
      <c r="U61" s="6">
        <v>1</v>
      </c>
      <c r="V61" s="6">
        <v>1</v>
      </c>
      <c r="W61" s="6">
        <v>0</v>
      </c>
    </row>
    <row r="62" spans="1:23" x14ac:dyDescent="0.25">
      <c r="A62" s="6" t="s">
        <v>77</v>
      </c>
      <c r="B62" s="6">
        <v>1</v>
      </c>
      <c r="C62" s="6">
        <v>1</v>
      </c>
      <c r="D62" s="6">
        <v>1</v>
      </c>
      <c r="E62" s="6">
        <v>1</v>
      </c>
      <c r="F62" s="6">
        <v>1</v>
      </c>
      <c r="G62" s="6">
        <v>1</v>
      </c>
      <c r="H62" s="6">
        <v>4688460</v>
      </c>
      <c r="I62" s="6">
        <v>4688460</v>
      </c>
      <c r="J62" s="6">
        <v>4688460</v>
      </c>
      <c r="K62" s="6">
        <v>4688460</v>
      </c>
      <c r="L62" s="6">
        <v>4688460</v>
      </c>
      <c r="M62" s="6">
        <v>4688460</v>
      </c>
      <c r="N62" s="6">
        <v>1</v>
      </c>
      <c r="O62" s="6">
        <v>4688460</v>
      </c>
      <c r="P62" s="6">
        <v>4688460</v>
      </c>
      <c r="Q62" s="6">
        <v>52.25</v>
      </c>
      <c r="R62" s="6">
        <v>4688460</v>
      </c>
      <c r="S62" s="6">
        <v>4688460</v>
      </c>
      <c r="T62" s="6">
        <v>4688460</v>
      </c>
      <c r="U62" s="6">
        <v>1</v>
      </c>
      <c r="V62" s="6">
        <v>1</v>
      </c>
      <c r="W62" s="6">
        <v>0</v>
      </c>
    </row>
    <row r="63" spans="1:23" x14ac:dyDescent="0.25">
      <c r="A63" s="6" t="s">
        <v>78</v>
      </c>
      <c r="B63" s="6">
        <v>1</v>
      </c>
      <c r="C63" s="6">
        <v>1</v>
      </c>
      <c r="D63" s="6">
        <v>1</v>
      </c>
      <c r="E63" s="6">
        <v>1</v>
      </c>
      <c r="F63" s="6">
        <v>1</v>
      </c>
      <c r="G63" s="6">
        <v>1</v>
      </c>
      <c r="H63" s="6">
        <v>4688414</v>
      </c>
      <c r="I63" s="6">
        <v>4688414</v>
      </c>
      <c r="J63" s="6">
        <v>4688414</v>
      </c>
      <c r="K63" s="6">
        <v>4688414</v>
      </c>
      <c r="L63" s="6">
        <v>4688414</v>
      </c>
      <c r="M63" s="6">
        <v>4688414</v>
      </c>
      <c r="N63" s="6">
        <v>1</v>
      </c>
      <c r="O63" s="6">
        <v>4688414</v>
      </c>
      <c r="P63" s="6">
        <v>4688414</v>
      </c>
      <c r="Q63" s="6">
        <v>52.25</v>
      </c>
      <c r="R63" s="6">
        <v>4688414</v>
      </c>
      <c r="S63" s="6">
        <v>4688414</v>
      </c>
      <c r="T63" s="6">
        <v>4688414</v>
      </c>
      <c r="U63" s="6">
        <v>1</v>
      </c>
      <c r="V63" s="6">
        <v>1</v>
      </c>
      <c r="W63" s="6">
        <v>0</v>
      </c>
    </row>
    <row r="64" spans="1:23" x14ac:dyDescent="0.25">
      <c r="A64" s="6" t="s">
        <v>79</v>
      </c>
      <c r="B64" s="6">
        <v>1</v>
      </c>
      <c r="C64" s="6">
        <v>1</v>
      </c>
      <c r="D64" s="6">
        <v>1</v>
      </c>
      <c r="E64" s="6">
        <v>1</v>
      </c>
      <c r="F64" s="6">
        <v>1</v>
      </c>
      <c r="G64" s="6">
        <v>1</v>
      </c>
      <c r="H64" s="6">
        <v>4688050</v>
      </c>
      <c r="I64" s="6">
        <v>4688050</v>
      </c>
      <c r="J64" s="6">
        <v>4688050</v>
      </c>
      <c r="K64" s="6">
        <v>4688050</v>
      </c>
      <c r="L64" s="6">
        <v>4688050</v>
      </c>
      <c r="M64" s="6">
        <v>4688050</v>
      </c>
      <c r="N64" s="6">
        <v>1</v>
      </c>
      <c r="O64" s="6">
        <v>4688050</v>
      </c>
      <c r="P64" s="6">
        <v>4688050</v>
      </c>
      <c r="Q64" s="6">
        <v>52.25</v>
      </c>
      <c r="R64" s="6">
        <v>4688050</v>
      </c>
      <c r="S64" s="6">
        <v>4688050</v>
      </c>
      <c r="T64" s="6">
        <v>4688050</v>
      </c>
      <c r="U64" s="6">
        <v>1</v>
      </c>
      <c r="V64" s="6">
        <v>1</v>
      </c>
      <c r="W64" s="6">
        <v>0</v>
      </c>
    </row>
    <row r="65" spans="1:23" x14ac:dyDescent="0.25">
      <c r="A65" s="6" t="s">
        <v>80</v>
      </c>
      <c r="B65" s="6">
        <v>1</v>
      </c>
      <c r="C65" s="6">
        <v>1</v>
      </c>
      <c r="D65" s="6">
        <v>1</v>
      </c>
      <c r="E65" s="6">
        <v>1</v>
      </c>
      <c r="F65" s="6">
        <v>1</v>
      </c>
      <c r="G65" s="6">
        <v>1</v>
      </c>
      <c r="H65" s="6">
        <v>4688440</v>
      </c>
      <c r="I65" s="6">
        <v>4688440</v>
      </c>
      <c r="J65" s="6">
        <v>4688440</v>
      </c>
      <c r="K65" s="6">
        <v>4688440</v>
      </c>
      <c r="L65" s="6">
        <v>4688440</v>
      </c>
      <c r="M65" s="6">
        <v>4688440</v>
      </c>
      <c r="N65" s="6">
        <v>1</v>
      </c>
      <c r="O65" s="6">
        <v>4688440</v>
      </c>
      <c r="P65" s="6">
        <v>4688440</v>
      </c>
      <c r="Q65" s="6">
        <v>52.25</v>
      </c>
      <c r="R65" s="6">
        <v>4688440</v>
      </c>
      <c r="S65" s="6">
        <v>4688440</v>
      </c>
      <c r="T65" s="6">
        <v>4688440</v>
      </c>
      <c r="U65" s="6">
        <v>1</v>
      </c>
      <c r="V65" s="6">
        <v>1</v>
      </c>
      <c r="W65" s="6">
        <v>0</v>
      </c>
    </row>
    <row r="66" spans="1:23" x14ac:dyDescent="0.25">
      <c r="A66" s="6" t="s">
        <v>81</v>
      </c>
      <c r="B66" s="6">
        <v>1</v>
      </c>
      <c r="C66" s="6">
        <v>1</v>
      </c>
      <c r="D66" s="6">
        <v>1</v>
      </c>
      <c r="E66" s="6">
        <v>1</v>
      </c>
      <c r="F66" s="6">
        <v>1</v>
      </c>
      <c r="G66" s="6">
        <v>1</v>
      </c>
      <c r="H66" s="6">
        <v>4688457</v>
      </c>
      <c r="I66" s="6">
        <v>4688457</v>
      </c>
      <c r="J66" s="6">
        <v>4688457</v>
      </c>
      <c r="K66" s="6">
        <v>4688457</v>
      </c>
      <c r="L66" s="6">
        <v>4688457</v>
      </c>
      <c r="M66" s="6">
        <v>4688457</v>
      </c>
      <c r="N66" s="6">
        <v>1</v>
      </c>
      <c r="O66" s="6">
        <v>4688457</v>
      </c>
      <c r="P66" s="6">
        <v>4688457</v>
      </c>
      <c r="Q66" s="6">
        <v>52.25</v>
      </c>
      <c r="R66" s="6">
        <v>4688457</v>
      </c>
      <c r="S66" s="6">
        <v>4688457</v>
      </c>
      <c r="T66" s="6">
        <v>4688457</v>
      </c>
      <c r="U66" s="6">
        <v>1</v>
      </c>
      <c r="V66" s="6">
        <v>1</v>
      </c>
      <c r="W66" s="6">
        <v>0</v>
      </c>
    </row>
    <row r="67" spans="1:23" x14ac:dyDescent="0.25">
      <c r="A67" s="6" t="s">
        <v>82</v>
      </c>
      <c r="B67" s="6">
        <v>1</v>
      </c>
      <c r="C67" s="6">
        <v>1</v>
      </c>
      <c r="D67" s="6">
        <v>1</v>
      </c>
      <c r="E67" s="6">
        <v>1</v>
      </c>
      <c r="F67" s="6">
        <v>1</v>
      </c>
      <c r="G67" s="6">
        <v>1</v>
      </c>
      <c r="H67" s="6">
        <v>4688309</v>
      </c>
      <c r="I67" s="6">
        <v>4688309</v>
      </c>
      <c r="J67" s="6">
        <v>4688309</v>
      </c>
      <c r="K67" s="6">
        <v>4688309</v>
      </c>
      <c r="L67" s="6">
        <v>4688309</v>
      </c>
      <c r="M67" s="6">
        <v>4688309</v>
      </c>
      <c r="N67" s="6">
        <v>1</v>
      </c>
      <c r="O67" s="6">
        <v>4688309</v>
      </c>
      <c r="P67" s="6">
        <v>4688309</v>
      </c>
      <c r="Q67" s="6">
        <v>52.25</v>
      </c>
      <c r="R67" s="6">
        <v>4688309</v>
      </c>
      <c r="S67" s="6">
        <v>4688309</v>
      </c>
      <c r="T67" s="6">
        <v>4688309</v>
      </c>
      <c r="U67" s="6">
        <v>1</v>
      </c>
      <c r="V67" s="6">
        <v>1</v>
      </c>
      <c r="W67" s="6">
        <v>0</v>
      </c>
    </row>
    <row r="68" spans="1:23" x14ac:dyDescent="0.25">
      <c r="A68" s="6" t="s">
        <v>84</v>
      </c>
      <c r="B68" s="6">
        <v>1</v>
      </c>
      <c r="C68" s="6">
        <v>1</v>
      </c>
      <c r="D68" s="6">
        <v>1</v>
      </c>
      <c r="E68" s="6">
        <v>1</v>
      </c>
      <c r="F68" s="6">
        <v>1</v>
      </c>
      <c r="G68" s="6">
        <v>1</v>
      </c>
      <c r="H68" s="6">
        <v>4688460</v>
      </c>
      <c r="I68" s="6">
        <v>4688460</v>
      </c>
      <c r="J68" s="6">
        <v>4688460</v>
      </c>
      <c r="K68" s="6">
        <v>4688460</v>
      </c>
      <c r="L68" s="6">
        <v>4688460</v>
      </c>
      <c r="M68" s="6">
        <v>4688460</v>
      </c>
      <c r="N68" s="6">
        <v>1</v>
      </c>
      <c r="O68" s="6">
        <v>4688460</v>
      </c>
      <c r="P68" s="6">
        <v>4688460</v>
      </c>
      <c r="Q68" s="6">
        <v>52.25</v>
      </c>
      <c r="R68" s="6">
        <v>4688460</v>
      </c>
      <c r="S68" s="6">
        <v>4688460</v>
      </c>
      <c r="T68" s="6">
        <v>4688460</v>
      </c>
      <c r="U68" s="6">
        <v>1</v>
      </c>
      <c r="V68" s="6">
        <v>1</v>
      </c>
      <c r="W68" s="6">
        <v>0</v>
      </c>
    </row>
    <row r="69" spans="1:23" x14ac:dyDescent="0.25">
      <c r="A69" s="6" t="s">
        <v>85</v>
      </c>
      <c r="B69" s="6">
        <v>1</v>
      </c>
      <c r="C69" s="6">
        <v>1</v>
      </c>
      <c r="D69" s="6">
        <v>1</v>
      </c>
      <c r="E69" s="6">
        <v>1</v>
      </c>
      <c r="F69" s="6">
        <v>1</v>
      </c>
      <c r="G69" s="6">
        <v>1</v>
      </c>
      <c r="H69" s="6">
        <v>4688457</v>
      </c>
      <c r="I69" s="6">
        <v>4688457</v>
      </c>
      <c r="J69" s="6">
        <v>4688457</v>
      </c>
      <c r="K69" s="6">
        <v>4688457</v>
      </c>
      <c r="L69" s="6">
        <v>4688457</v>
      </c>
      <c r="M69" s="6">
        <v>4688457</v>
      </c>
      <c r="N69" s="6">
        <v>1</v>
      </c>
      <c r="O69" s="6">
        <v>4688457</v>
      </c>
      <c r="P69" s="6">
        <v>4688457</v>
      </c>
      <c r="Q69" s="6">
        <v>52.25</v>
      </c>
      <c r="R69" s="6">
        <v>4688457</v>
      </c>
      <c r="S69" s="6">
        <v>4688457</v>
      </c>
      <c r="T69" s="6">
        <v>4688457</v>
      </c>
      <c r="U69" s="6">
        <v>1</v>
      </c>
      <c r="V69" s="6">
        <v>1</v>
      </c>
      <c r="W69" s="6">
        <v>0</v>
      </c>
    </row>
    <row r="70" spans="1:23" x14ac:dyDescent="0.25">
      <c r="A70" s="6" t="s">
        <v>86</v>
      </c>
      <c r="B70" s="6">
        <v>1</v>
      </c>
      <c r="C70" s="6">
        <v>1</v>
      </c>
      <c r="D70" s="6">
        <v>1</v>
      </c>
      <c r="E70" s="6">
        <v>1</v>
      </c>
      <c r="F70" s="6">
        <v>1</v>
      </c>
      <c r="G70" s="6">
        <v>1</v>
      </c>
      <c r="H70" s="6">
        <v>4688344</v>
      </c>
      <c r="I70" s="6">
        <v>4688344</v>
      </c>
      <c r="J70" s="6">
        <v>4688344</v>
      </c>
      <c r="K70" s="6">
        <v>4688344</v>
      </c>
      <c r="L70" s="6">
        <v>4688344</v>
      </c>
      <c r="M70" s="6">
        <v>4688344</v>
      </c>
      <c r="N70" s="6">
        <v>1</v>
      </c>
      <c r="O70" s="6">
        <v>4688344</v>
      </c>
      <c r="P70" s="6">
        <v>4688344</v>
      </c>
      <c r="Q70" s="6">
        <v>52.25</v>
      </c>
      <c r="R70" s="6">
        <v>4688344</v>
      </c>
      <c r="S70" s="6">
        <v>4688344</v>
      </c>
      <c r="T70" s="6">
        <v>4688344</v>
      </c>
      <c r="U70" s="6">
        <v>1</v>
      </c>
      <c r="V70" s="6">
        <v>1</v>
      </c>
      <c r="W70" s="6">
        <v>0</v>
      </c>
    </row>
    <row r="71" spans="1:23" x14ac:dyDescent="0.25">
      <c r="A71" s="6" t="s">
        <v>88</v>
      </c>
      <c r="B71" s="6">
        <v>1</v>
      </c>
      <c r="C71" s="6">
        <v>1</v>
      </c>
      <c r="D71" s="6">
        <v>1</v>
      </c>
      <c r="E71" s="6">
        <v>1</v>
      </c>
      <c r="F71" s="6">
        <v>1</v>
      </c>
      <c r="G71" s="6">
        <v>1</v>
      </c>
      <c r="H71" s="6">
        <v>4647880</v>
      </c>
      <c r="I71" s="6">
        <v>4647880</v>
      </c>
      <c r="J71" s="6">
        <v>4647880</v>
      </c>
      <c r="K71" s="6">
        <v>4647880</v>
      </c>
      <c r="L71" s="6">
        <v>4647880</v>
      </c>
      <c r="M71" s="6">
        <v>4647880</v>
      </c>
      <c r="N71" s="6">
        <v>1</v>
      </c>
      <c r="O71" s="6">
        <v>4647880</v>
      </c>
      <c r="P71" s="6">
        <v>4647880</v>
      </c>
      <c r="Q71" s="6">
        <v>52.28</v>
      </c>
      <c r="R71" s="6">
        <v>4647880</v>
      </c>
      <c r="S71" s="6">
        <v>4647880</v>
      </c>
      <c r="T71" s="6">
        <v>4647880</v>
      </c>
      <c r="U71" s="6">
        <v>1</v>
      </c>
      <c r="V71" s="6">
        <v>1</v>
      </c>
      <c r="W71" s="6">
        <v>0</v>
      </c>
    </row>
    <row r="72" spans="1:23" x14ac:dyDescent="0.25">
      <c r="A72" s="6" t="s">
        <v>89</v>
      </c>
      <c r="B72" s="6">
        <v>1</v>
      </c>
      <c r="C72" s="6">
        <v>1</v>
      </c>
      <c r="D72" s="6">
        <v>1</v>
      </c>
      <c r="E72" s="6">
        <v>1</v>
      </c>
      <c r="F72" s="6">
        <v>1</v>
      </c>
      <c r="G72" s="6">
        <v>1</v>
      </c>
      <c r="H72" s="6">
        <v>4688456</v>
      </c>
      <c r="I72" s="6">
        <v>4688456</v>
      </c>
      <c r="J72" s="6">
        <v>4688456</v>
      </c>
      <c r="K72" s="6">
        <v>4688456</v>
      </c>
      <c r="L72" s="6">
        <v>4688456</v>
      </c>
      <c r="M72" s="6">
        <v>4688456</v>
      </c>
      <c r="N72" s="6">
        <v>1</v>
      </c>
      <c r="O72" s="6">
        <v>4688456</v>
      </c>
      <c r="P72" s="6">
        <v>4688456</v>
      </c>
      <c r="Q72" s="6">
        <v>52.25</v>
      </c>
      <c r="R72" s="6">
        <v>4688456</v>
      </c>
      <c r="S72" s="6">
        <v>4688456</v>
      </c>
      <c r="T72" s="6">
        <v>4688456</v>
      </c>
      <c r="U72" s="6">
        <v>1</v>
      </c>
      <c r="V72" s="6">
        <v>1</v>
      </c>
      <c r="W72" s="6">
        <v>0</v>
      </c>
    </row>
    <row r="73" spans="1:23" x14ac:dyDescent="0.25">
      <c r="A73" s="6" t="s">
        <v>91</v>
      </c>
      <c r="B73" s="6">
        <v>1</v>
      </c>
      <c r="C73" s="6">
        <v>1</v>
      </c>
      <c r="D73" s="6">
        <v>1</v>
      </c>
      <c r="E73" s="6">
        <v>1</v>
      </c>
      <c r="F73" s="6">
        <v>1</v>
      </c>
      <c r="G73" s="6">
        <v>1</v>
      </c>
      <c r="H73" s="6">
        <v>4688456</v>
      </c>
      <c r="I73" s="6">
        <v>4688456</v>
      </c>
      <c r="J73" s="6">
        <v>4688456</v>
      </c>
      <c r="K73" s="6">
        <v>4688456</v>
      </c>
      <c r="L73" s="6">
        <v>4688456</v>
      </c>
      <c r="M73" s="6">
        <v>4688456</v>
      </c>
      <c r="N73" s="6">
        <v>1</v>
      </c>
      <c r="O73" s="6">
        <v>4688456</v>
      </c>
      <c r="P73" s="6">
        <v>4688456</v>
      </c>
      <c r="Q73" s="6">
        <v>52.25</v>
      </c>
      <c r="R73" s="6">
        <v>4688456</v>
      </c>
      <c r="S73" s="6">
        <v>4688456</v>
      </c>
      <c r="T73" s="6">
        <v>4688456</v>
      </c>
      <c r="U73" s="6">
        <v>1</v>
      </c>
      <c r="V73" s="6">
        <v>1</v>
      </c>
      <c r="W73" s="6">
        <v>0</v>
      </c>
    </row>
    <row r="74" spans="1:23" x14ac:dyDescent="0.25">
      <c r="A74" s="6" t="s">
        <v>92</v>
      </c>
      <c r="B74" s="6">
        <v>1</v>
      </c>
      <c r="C74" s="6">
        <v>1</v>
      </c>
      <c r="D74" s="6">
        <v>1</v>
      </c>
      <c r="E74" s="6">
        <v>1</v>
      </c>
      <c r="F74" s="6">
        <v>1</v>
      </c>
      <c r="G74" s="6">
        <v>1</v>
      </c>
      <c r="H74" s="6">
        <v>4688236</v>
      </c>
      <c r="I74" s="6">
        <v>4688236</v>
      </c>
      <c r="J74" s="6">
        <v>4688236</v>
      </c>
      <c r="K74" s="6">
        <v>4688236</v>
      </c>
      <c r="L74" s="6">
        <v>4688236</v>
      </c>
      <c r="M74" s="6">
        <v>4688236</v>
      </c>
      <c r="N74" s="6">
        <v>1</v>
      </c>
      <c r="O74" s="6">
        <v>4688236</v>
      </c>
      <c r="P74" s="6">
        <v>4688236</v>
      </c>
      <c r="Q74" s="6">
        <v>52.25</v>
      </c>
      <c r="R74" s="6">
        <v>4688236</v>
      </c>
      <c r="S74" s="6">
        <v>4688236</v>
      </c>
      <c r="T74" s="6">
        <v>4688236</v>
      </c>
      <c r="U74" s="6">
        <v>1</v>
      </c>
      <c r="V74" s="6">
        <v>1</v>
      </c>
      <c r="W74" s="6">
        <v>0</v>
      </c>
    </row>
    <row r="75" spans="1:23" x14ac:dyDescent="0.25">
      <c r="A75" s="6" t="s">
        <v>93</v>
      </c>
      <c r="B75" s="6">
        <v>1</v>
      </c>
      <c r="C75" s="6">
        <v>1</v>
      </c>
      <c r="D75" s="6">
        <v>1</v>
      </c>
      <c r="E75" s="6">
        <v>1</v>
      </c>
      <c r="F75" s="6">
        <v>1</v>
      </c>
      <c r="G75" s="6">
        <v>1</v>
      </c>
      <c r="H75" s="6">
        <v>4732021</v>
      </c>
      <c r="I75" s="6">
        <v>4732021</v>
      </c>
      <c r="J75" s="6">
        <v>4732021</v>
      </c>
      <c r="K75" s="6">
        <v>4732021</v>
      </c>
      <c r="L75" s="6">
        <v>4732021</v>
      </c>
      <c r="M75" s="6">
        <v>4732021</v>
      </c>
      <c r="N75" s="6">
        <v>1</v>
      </c>
      <c r="O75" s="6">
        <v>4732021</v>
      </c>
      <c r="P75" s="6">
        <v>4732021</v>
      </c>
      <c r="Q75" s="6">
        <v>52.23</v>
      </c>
      <c r="R75" s="6">
        <v>4732021</v>
      </c>
      <c r="S75" s="6">
        <v>4732021</v>
      </c>
      <c r="T75" s="6">
        <v>4732021</v>
      </c>
      <c r="U75" s="6">
        <v>1</v>
      </c>
      <c r="V75" s="6">
        <v>1</v>
      </c>
      <c r="W75" s="6">
        <v>0</v>
      </c>
    </row>
    <row r="76" spans="1:23" x14ac:dyDescent="0.25">
      <c r="A76" s="6" t="s">
        <v>94</v>
      </c>
      <c r="B76" s="6">
        <v>1</v>
      </c>
      <c r="C76" s="6">
        <v>1</v>
      </c>
      <c r="D76" s="6">
        <v>1</v>
      </c>
      <c r="E76" s="6">
        <v>1</v>
      </c>
      <c r="F76" s="6">
        <v>1</v>
      </c>
      <c r="G76" s="6">
        <v>1</v>
      </c>
      <c r="H76" s="6">
        <v>4688414</v>
      </c>
      <c r="I76" s="6">
        <v>4688414</v>
      </c>
      <c r="J76" s="6">
        <v>4688414</v>
      </c>
      <c r="K76" s="6">
        <v>4688414</v>
      </c>
      <c r="L76" s="6">
        <v>4688414</v>
      </c>
      <c r="M76" s="6">
        <v>4688414</v>
      </c>
      <c r="N76" s="6">
        <v>1</v>
      </c>
      <c r="O76" s="6">
        <v>4688414</v>
      </c>
      <c r="P76" s="6">
        <v>4688414</v>
      </c>
      <c r="Q76" s="6">
        <v>52.25</v>
      </c>
      <c r="R76" s="6">
        <v>4688414</v>
      </c>
      <c r="S76" s="6">
        <v>4688414</v>
      </c>
      <c r="T76" s="6">
        <v>4688414</v>
      </c>
      <c r="U76" s="6">
        <v>1</v>
      </c>
      <c r="V76" s="6">
        <v>1</v>
      </c>
      <c r="W76" s="6">
        <v>0</v>
      </c>
    </row>
    <row r="77" spans="1:23" x14ac:dyDescent="0.25">
      <c r="A77" s="6" t="s">
        <v>95</v>
      </c>
      <c r="B77" s="6">
        <v>1</v>
      </c>
      <c r="C77" s="6">
        <v>1</v>
      </c>
      <c r="D77" s="6">
        <v>1</v>
      </c>
      <c r="E77" s="6">
        <v>1</v>
      </c>
      <c r="F77" s="6">
        <v>1</v>
      </c>
      <c r="G77" s="6">
        <v>1</v>
      </c>
      <c r="H77" s="6">
        <v>4688553</v>
      </c>
      <c r="I77" s="6">
        <v>4688553</v>
      </c>
      <c r="J77" s="6">
        <v>4688553</v>
      </c>
      <c r="K77" s="6">
        <v>4688553</v>
      </c>
      <c r="L77" s="6">
        <v>4688553</v>
      </c>
      <c r="M77" s="6">
        <v>4688553</v>
      </c>
      <c r="N77" s="6">
        <v>1</v>
      </c>
      <c r="O77" s="6">
        <v>4688553</v>
      </c>
      <c r="P77" s="6">
        <v>4688553</v>
      </c>
      <c r="Q77" s="6">
        <v>52.25</v>
      </c>
      <c r="R77" s="6">
        <v>4688553</v>
      </c>
      <c r="S77" s="6">
        <v>4688553</v>
      </c>
      <c r="T77" s="6">
        <v>4688553</v>
      </c>
      <c r="U77" s="6">
        <v>1</v>
      </c>
      <c r="V77" s="6">
        <v>1</v>
      </c>
      <c r="W77" s="6">
        <v>0</v>
      </c>
    </row>
    <row r="78" spans="1:23" x14ac:dyDescent="0.25">
      <c r="A78" s="6" t="s">
        <v>96</v>
      </c>
      <c r="B78" s="6">
        <v>1</v>
      </c>
      <c r="C78" s="6">
        <v>1</v>
      </c>
      <c r="D78" s="6">
        <v>1</v>
      </c>
      <c r="E78" s="6">
        <v>1</v>
      </c>
      <c r="F78" s="6">
        <v>1</v>
      </c>
      <c r="G78" s="6">
        <v>1</v>
      </c>
      <c r="H78" s="6">
        <v>4688460</v>
      </c>
      <c r="I78" s="6">
        <v>4688460</v>
      </c>
      <c r="J78" s="6">
        <v>4688460</v>
      </c>
      <c r="K78" s="6">
        <v>4688460</v>
      </c>
      <c r="L78" s="6">
        <v>4688460</v>
      </c>
      <c r="M78" s="6">
        <v>4688460</v>
      </c>
      <c r="N78" s="6">
        <v>1</v>
      </c>
      <c r="O78" s="6">
        <v>4688460</v>
      </c>
      <c r="P78" s="6">
        <v>4688460</v>
      </c>
      <c r="Q78" s="6">
        <v>52.25</v>
      </c>
      <c r="R78" s="6">
        <v>4688460</v>
      </c>
      <c r="S78" s="6">
        <v>4688460</v>
      </c>
      <c r="T78" s="6">
        <v>4688460</v>
      </c>
      <c r="U78" s="6">
        <v>1</v>
      </c>
      <c r="V78" s="6">
        <v>1</v>
      </c>
      <c r="W78" s="6">
        <v>0</v>
      </c>
    </row>
    <row r="79" spans="1:23" x14ac:dyDescent="0.25">
      <c r="A79" s="6" t="s">
        <v>97</v>
      </c>
      <c r="B79" s="6">
        <v>1</v>
      </c>
      <c r="C79" s="6">
        <v>1</v>
      </c>
      <c r="D79" s="6">
        <v>1</v>
      </c>
      <c r="E79" s="6">
        <v>1</v>
      </c>
      <c r="F79" s="6">
        <v>1</v>
      </c>
      <c r="G79" s="6">
        <v>1</v>
      </c>
      <c r="H79" s="6">
        <v>4647344</v>
      </c>
      <c r="I79" s="6">
        <v>4647344</v>
      </c>
      <c r="J79" s="6">
        <v>4647344</v>
      </c>
      <c r="K79" s="6">
        <v>4647344</v>
      </c>
      <c r="L79" s="6">
        <v>4647344</v>
      </c>
      <c r="M79" s="6">
        <v>4647344</v>
      </c>
      <c r="N79" s="6">
        <v>1</v>
      </c>
      <c r="O79" s="6">
        <v>4647344</v>
      </c>
      <c r="P79" s="6">
        <v>4647344</v>
      </c>
      <c r="Q79" s="6">
        <v>52.28</v>
      </c>
      <c r="R79" s="6">
        <v>4647344</v>
      </c>
      <c r="S79" s="6">
        <v>4647344</v>
      </c>
      <c r="T79" s="6">
        <v>4647344</v>
      </c>
      <c r="U79" s="6">
        <v>1</v>
      </c>
      <c r="V79" s="6">
        <v>1</v>
      </c>
      <c r="W79" s="6">
        <v>0</v>
      </c>
    </row>
    <row r="80" spans="1:23" x14ac:dyDescent="0.25">
      <c r="A80" s="6" t="s">
        <v>484</v>
      </c>
      <c r="P80" s="6">
        <f>AVERAGE(P2:P79)</f>
        <v>4704476.217948718</v>
      </c>
      <c r="R80" s="6">
        <f>AVERAGE(R2:R79)</f>
        <v>4467358.820512821</v>
      </c>
    </row>
  </sheetData>
  <sortState xmlns:xlrd2="http://schemas.microsoft.com/office/spreadsheetml/2017/richdata2" ref="A2:W80">
    <sortCondition descending="1" ref="B1:B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633E-3A61-4A4E-854A-873F7E5CD27A}">
  <dimension ref="A1:R371"/>
  <sheetViews>
    <sheetView topLeftCell="A340" workbookViewId="0">
      <selection activeCell="G343" sqref="G343"/>
    </sheetView>
  </sheetViews>
  <sheetFormatPr defaultRowHeight="15" x14ac:dyDescent="0.25"/>
  <cols>
    <col min="1" max="2" width="7" customWidth="1"/>
    <col min="3" max="3" width="9.5703125" bestFit="1" customWidth="1"/>
    <col min="4" max="4" width="10.85546875" bestFit="1" customWidth="1"/>
    <col min="5" max="5" width="13.5703125" bestFit="1" customWidth="1"/>
    <col min="6" max="6" width="12.5703125" bestFit="1" customWidth="1"/>
    <col min="7" max="7" width="10.140625" bestFit="1" customWidth="1"/>
    <col min="10" max="10" width="15.42578125" bestFit="1" customWidth="1"/>
    <col min="11" max="15" width="8" bestFit="1" customWidth="1"/>
    <col min="16" max="16" width="15" bestFit="1" customWidth="1"/>
    <col min="17" max="17" width="22.7109375" bestFit="1" customWidth="1"/>
    <col min="22" max="22" width="17.7109375" bestFit="1" customWidth="1"/>
  </cols>
  <sheetData>
    <row r="1" spans="1:17" x14ac:dyDescent="0.25">
      <c r="A1" t="s">
        <v>101</v>
      </c>
      <c r="B1" t="s">
        <v>564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17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</row>
    <row r="2" spans="1:17" x14ac:dyDescent="0.25">
      <c r="A2" s="3" t="s">
        <v>179</v>
      </c>
      <c r="B2" s="3" t="str">
        <f>VLOOKUP(A2,[2]Metadata_isolates!$A$1:$B$370,2,FALSE)</f>
        <v>-</v>
      </c>
      <c r="C2" s="4">
        <v>6471.4</v>
      </c>
      <c r="D2" s="3">
        <v>20.100000000000001</v>
      </c>
      <c r="E2" s="4">
        <v>4379</v>
      </c>
      <c r="F2" s="3">
        <v>24.3</v>
      </c>
      <c r="G2" s="4">
        <v>6064</v>
      </c>
      <c r="H2" s="4">
        <v>9907</v>
      </c>
      <c r="I2" s="4">
        <v>7638</v>
      </c>
      <c r="J2" s="4">
        <v>39242296</v>
      </c>
      <c r="K2" s="3">
        <v>99.4</v>
      </c>
      <c r="L2" s="3">
        <v>96.6</v>
      </c>
      <c r="M2" s="3">
        <v>81.2</v>
      </c>
      <c r="N2" s="3">
        <v>43.1</v>
      </c>
      <c r="O2" s="3">
        <v>6</v>
      </c>
      <c r="P2" s="5">
        <f t="shared" ref="P2:P65" si="0">J2/4700000</f>
        <v>8.3494246808510635</v>
      </c>
      <c r="Q2" t="s">
        <v>563</v>
      </c>
    </row>
    <row r="3" spans="1:17" x14ac:dyDescent="0.25">
      <c r="A3" s="3" t="s">
        <v>418</v>
      </c>
      <c r="B3" s="3">
        <f>VLOOKUP(A3,[2]Metadata_isolates!$A$1:$B$370,2,FALSE)</f>
        <v>377</v>
      </c>
      <c r="C3" s="4">
        <v>3790.2</v>
      </c>
      <c r="D3" s="3">
        <v>20.9</v>
      </c>
      <c r="E3" s="4">
        <v>2782</v>
      </c>
      <c r="F3" s="3">
        <v>24.4</v>
      </c>
      <c r="G3" s="4">
        <v>15299</v>
      </c>
      <c r="H3" s="4">
        <v>5052</v>
      </c>
      <c r="I3" s="4">
        <v>3051.6</v>
      </c>
      <c r="J3" s="4">
        <v>57986783</v>
      </c>
      <c r="K3" s="3">
        <v>99.5</v>
      </c>
      <c r="L3" s="3">
        <v>96.9</v>
      </c>
      <c r="M3" s="3">
        <v>84.2</v>
      </c>
      <c r="N3" s="3">
        <v>43.2</v>
      </c>
      <c r="O3" s="3">
        <v>6.8</v>
      </c>
      <c r="P3" s="5">
        <f t="shared" si="0"/>
        <v>12.337613404255318</v>
      </c>
      <c r="Q3" t="s">
        <v>563</v>
      </c>
    </row>
    <row r="4" spans="1:17" x14ac:dyDescent="0.25">
      <c r="A4" s="3" t="s">
        <v>242</v>
      </c>
      <c r="B4" s="3">
        <f>VLOOKUP(A4,[2]Metadata_isolates!$A$1:$B$370,2,FALSE)</f>
        <v>377</v>
      </c>
      <c r="C4" s="4">
        <v>3791.6</v>
      </c>
      <c r="D4" s="3">
        <v>21.1</v>
      </c>
      <c r="E4" s="4">
        <v>2797</v>
      </c>
      <c r="F4" s="3">
        <v>24.6</v>
      </c>
      <c r="G4" s="4">
        <v>32391</v>
      </c>
      <c r="H4" s="4">
        <v>4939</v>
      </c>
      <c r="I4" s="4">
        <v>3258.6</v>
      </c>
      <c r="J4" s="4">
        <v>122814775</v>
      </c>
      <c r="K4" s="3">
        <v>99.5</v>
      </c>
      <c r="L4" s="3">
        <v>97.3</v>
      </c>
      <c r="M4" s="3">
        <v>85.7</v>
      </c>
      <c r="N4" s="3">
        <v>45.5</v>
      </c>
      <c r="O4" s="3">
        <v>6.8</v>
      </c>
      <c r="P4" s="5">
        <f t="shared" si="0"/>
        <v>26.130803191489363</v>
      </c>
      <c r="Q4" t="s">
        <v>563</v>
      </c>
    </row>
    <row r="5" spans="1:17" x14ac:dyDescent="0.25">
      <c r="A5" s="6" t="s">
        <v>327</v>
      </c>
      <c r="B5" s="6">
        <f>VLOOKUP(A5,[2]Metadata_isolates!$A$1:$B$370,2,FALSE)</f>
        <v>1499</v>
      </c>
      <c r="C5" s="7">
        <v>4915.8</v>
      </c>
      <c r="D5" s="6">
        <v>17.5</v>
      </c>
      <c r="E5" s="7">
        <v>3512</v>
      </c>
      <c r="F5" s="6">
        <v>21.2</v>
      </c>
      <c r="G5" s="7">
        <v>29843</v>
      </c>
      <c r="H5" s="7">
        <v>6973</v>
      </c>
      <c r="I5" s="7">
        <v>5097.6000000000004</v>
      </c>
      <c r="J5" s="7">
        <v>146702056</v>
      </c>
      <c r="K5" s="6">
        <v>96.8</v>
      </c>
      <c r="L5" s="6">
        <v>90.9</v>
      </c>
      <c r="M5" s="6">
        <v>63.9</v>
      </c>
      <c r="N5" s="6">
        <v>9.6</v>
      </c>
      <c r="O5" s="6">
        <v>0</v>
      </c>
      <c r="P5" s="8">
        <f t="shared" si="0"/>
        <v>31.213203404255321</v>
      </c>
    </row>
    <row r="6" spans="1:17" x14ac:dyDescent="0.25">
      <c r="A6" s="6" t="s">
        <v>173</v>
      </c>
      <c r="B6" s="6">
        <f>VLOOKUP(A6,[2]Metadata_isolates!$A$1:$B$370,2,FALSE)</f>
        <v>377</v>
      </c>
      <c r="C6" s="7">
        <v>5232.6000000000004</v>
      </c>
      <c r="D6" s="6">
        <v>20.9</v>
      </c>
      <c r="E6" s="7">
        <v>3122</v>
      </c>
      <c r="F6" s="6">
        <v>24.4</v>
      </c>
      <c r="G6" s="7">
        <v>30142</v>
      </c>
      <c r="H6" s="7">
        <v>8408</v>
      </c>
      <c r="I6" s="7">
        <v>6253.4</v>
      </c>
      <c r="J6" s="7">
        <v>157720044</v>
      </c>
      <c r="K6" s="6">
        <v>99.7</v>
      </c>
      <c r="L6" s="6">
        <v>96.7</v>
      </c>
      <c r="M6" s="6">
        <v>81.7</v>
      </c>
      <c r="N6" s="6">
        <v>44.4</v>
      </c>
      <c r="O6" s="6">
        <v>7.8</v>
      </c>
      <c r="P6" s="8">
        <f t="shared" si="0"/>
        <v>33.557456170212767</v>
      </c>
    </row>
    <row r="7" spans="1:17" x14ac:dyDescent="0.25">
      <c r="A7" s="6" t="s">
        <v>389</v>
      </c>
      <c r="B7" s="6">
        <f>VLOOKUP(A7,[2]Metadata_isolates!$A$1:$B$370,2,FALSE)</f>
        <v>377</v>
      </c>
      <c r="C7" s="7">
        <v>3366.9</v>
      </c>
      <c r="D7" s="6">
        <v>20.8</v>
      </c>
      <c r="E7" s="7">
        <v>2499</v>
      </c>
      <c r="F7" s="6">
        <v>24.3</v>
      </c>
      <c r="G7" s="7">
        <v>47860</v>
      </c>
      <c r="H7" s="7">
        <v>4283</v>
      </c>
      <c r="I7" s="7">
        <v>2900.2</v>
      </c>
      <c r="J7" s="7">
        <v>161139339</v>
      </c>
      <c r="K7" s="6">
        <v>99.4</v>
      </c>
      <c r="L7" s="6">
        <v>96.7</v>
      </c>
      <c r="M7" s="6">
        <v>83.8</v>
      </c>
      <c r="N7" s="6">
        <v>42.6</v>
      </c>
      <c r="O7" s="6">
        <v>7.2</v>
      </c>
      <c r="P7" s="8">
        <f t="shared" si="0"/>
        <v>34.284965744680854</v>
      </c>
    </row>
    <row r="8" spans="1:17" x14ac:dyDescent="0.25">
      <c r="A8" s="6" t="s">
        <v>132</v>
      </c>
      <c r="B8" s="6">
        <f>VLOOKUP(A8,[2]Metadata_isolates!$A$1:$B$370,2,FALSE)</f>
        <v>1499</v>
      </c>
      <c r="C8" s="7">
        <v>3957.1</v>
      </c>
      <c r="D8" s="6">
        <v>20.100000000000001</v>
      </c>
      <c r="E8" s="7">
        <v>2878</v>
      </c>
      <c r="F8" s="6">
        <v>23.9</v>
      </c>
      <c r="G8" s="7">
        <v>41242</v>
      </c>
      <c r="H8" s="7">
        <v>5298</v>
      </c>
      <c r="I8" s="7">
        <v>3384.7</v>
      </c>
      <c r="J8" s="7">
        <v>163199922</v>
      </c>
      <c r="K8" s="6">
        <v>99.4</v>
      </c>
      <c r="L8" s="6">
        <v>95.9</v>
      </c>
      <c r="M8" s="6">
        <v>78.900000000000006</v>
      </c>
      <c r="N8" s="6">
        <v>39.4</v>
      </c>
      <c r="O8" s="6">
        <v>6.5</v>
      </c>
      <c r="P8" s="8">
        <f t="shared" si="0"/>
        <v>34.72338765957447</v>
      </c>
    </row>
    <row r="9" spans="1:17" x14ac:dyDescent="0.25">
      <c r="A9" s="6" t="s">
        <v>165</v>
      </c>
      <c r="B9" s="6">
        <f>VLOOKUP(A9,[2]Metadata_isolates!$A$1:$B$370,2,FALSE)</f>
        <v>377</v>
      </c>
      <c r="C9" s="7">
        <v>4691.8</v>
      </c>
      <c r="D9" s="6">
        <v>20.399999999999999</v>
      </c>
      <c r="E9" s="7">
        <v>3346</v>
      </c>
      <c r="F9" s="6">
        <v>24.1</v>
      </c>
      <c r="G9" s="7">
        <v>35711</v>
      </c>
      <c r="H9" s="7">
        <v>6510</v>
      </c>
      <c r="I9" s="7">
        <v>5102.8999999999996</v>
      </c>
      <c r="J9" s="7">
        <v>167548765</v>
      </c>
      <c r="K9" s="6">
        <v>99.4</v>
      </c>
      <c r="L9" s="6">
        <v>96.1</v>
      </c>
      <c r="M9" s="6">
        <v>80.8</v>
      </c>
      <c r="N9" s="6">
        <v>41.2</v>
      </c>
      <c r="O9" s="6">
        <v>6.2</v>
      </c>
      <c r="P9" s="8">
        <f t="shared" si="0"/>
        <v>35.648673404255319</v>
      </c>
    </row>
    <row r="10" spans="1:17" x14ac:dyDescent="0.25">
      <c r="A10" s="6" t="s">
        <v>124</v>
      </c>
      <c r="B10" s="6">
        <f>VLOOKUP(A10,[2]Metadata_isolates!$A$1:$B$370,2,FALSE)</f>
        <v>377</v>
      </c>
      <c r="C10" s="7">
        <v>4920</v>
      </c>
      <c r="D10" s="6">
        <v>21</v>
      </c>
      <c r="E10" s="7">
        <v>3358.5</v>
      </c>
      <c r="F10" s="6">
        <v>24.4</v>
      </c>
      <c r="G10" s="7">
        <v>36004</v>
      </c>
      <c r="H10" s="7">
        <v>7018</v>
      </c>
      <c r="I10" s="7">
        <v>4783.3</v>
      </c>
      <c r="J10" s="7">
        <v>177139585</v>
      </c>
      <c r="K10" s="6">
        <v>99.7</v>
      </c>
      <c r="L10" s="6">
        <v>97</v>
      </c>
      <c r="M10" s="6">
        <v>82.2</v>
      </c>
      <c r="N10" s="6">
        <v>44</v>
      </c>
      <c r="O10" s="6">
        <v>6.9</v>
      </c>
      <c r="P10" s="8">
        <f t="shared" si="0"/>
        <v>37.689273404255317</v>
      </c>
      <c r="Q10" s="6"/>
    </row>
    <row r="11" spans="1:17" x14ac:dyDescent="0.25">
      <c r="A11" s="6" t="s">
        <v>250</v>
      </c>
      <c r="B11" s="6">
        <f>VLOOKUP(A11,[2]Metadata_isolates!$A$1:$B$370,2,FALSE)</f>
        <v>377</v>
      </c>
      <c r="C11" s="7">
        <v>4451.8999999999996</v>
      </c>
      <c r="D11" s="6">
        <v>17.100000000000001</v>
      </c>
      <c r="E11" s="7">
        <v>2914</v>
      </c>
      <c r="F11" s="6">
        <v>20.8</v>
      </c>
      <c r="G11" s="7">
        <v>40382</v>
      </c>
      <c r="H11" s="7">
        <v>6496</v>
      </c>
      <c r="I11" s="7">
        <v>7849.3</v>
      </c>
      <c r="J11" s="7">
        <v>179775600</v>
      </c>
      <c r="K11" s="6">
        <v>96.8</v>
      </c>
      <c r="L11" s="6">
        <v>90.9</v>
      </c>
      <c r="M11" s="6">
        <v>59.1</v>
      </c>
      <c r="N11" s="6">
        <v>8.1999999999999993</v>
      </c>
      <c r="O11" s="6">
        <v>0</v>
      </c>
      <c r="P11" s="8">
        <f t="shared" si="0"/>
        <v>38.250127659574467</v>
      </c>
    </row>
    <row r="12" spans="1:17" x14ac:dyDescent="0.25">
      <c r="A12" s="6" t="s">
        <v>150</v>
      </c>
      <c r="B12" s="6">
        <f>VLOOKUP(A12,[2]Metadata_isolates!$A$1:$B$370,2,FALSE)</f>
        <v>377</v>
      </c>
      <c r="C12" s="7">
        <v>4054.9</v>
      </c>
      <c r="D12" s="6">
        <v>20.6</v>
      </c>
      <c r="E12" s="7">
        <v>2635</v>
      </c>
      <c r="F12" s="6">
        <v>24.1</v>
      </c>
      <c r="G12" s="7">
        <v>45820</v>
      </c>
      <c r="H12" s="7">
        <v>5859</v>
      </c>
      <c r="I12" s="7">
        <v>4203.5</v>
      </c>
      <c r="J12" s="7">
        <v>185793254</v>
      </c>
      <c r="K12" s="6">
        <v>99.6</v>
      </c>
      <c r="L12" s="6">
        <v>96.7</v>
      </c>
      <c r="M12" s="6">
        <v>80.7</v>
      </c>
      <c r="N12" s="6">
        <v>41.3</v>
      </c>
      <c r="O12" s="6">
        <v>6.9</v>
      </c>
      <c r="P12" s="8">
        <f t="shared" si="0"/>
        <v>39.530479574468082</v>
      </c>
    </row>
    <row r="13" spans="1:17" x14ac:dyDescent="0.25">
      <c r="A13" s="6" t="s">
        <v>260</v>
      </c>
      <c r="B13" s="6">
        <f>VLOOKUP(A13,[2]Metadata_isolates!$A$1:$B$370,2,FALSE)</f>
        <v>377</v>
      </c>
      <c r="C13" s="7">
        <v>3646.5</v>
      </c>
      <c r="D13" s="6">
        <v>21.2</v>
      </c>
      <c r="E13" s="7">
        <v>2713</v>
      </c>
      <c r="F13" s="6">
        <v>24.6</v>
      </c>
      <c r="G13" s="7">
        <v>51604</v>
      </c>
      <c r="H13" s="7">
        <v>4728</v>
      </c>
      <c r="I13" s="7">
        <v>3064.8</v>
      </c>
      <c r="J13" s="7">
        <v>188174947</v>
      </c>
      <c r="K13" s="6">
        <v>99.6</v>
      </c>
      <c r="L13" s="6">
        <v>97.4</v>
      </c>
      <c r="M13" s="6">
        <v>86.6</v>
      </c>
      <c r="N13" s="6">
        <v>45</v>
      </c>
      <c r="O13" s="6">
        <v>6.4</v>
      </c>
      <c r="P13" s="8">
        <f t="shared" si="0"/>
        <v>40.037222765957445</v>
      </c>
    </row>
    <row r="14" spans="1:17" x14ac:dyDescent="0.25">
      <c r="A14" s="6" t="s">
        <v>462</v>
      </c>
      <c r="B14" s="6">
        <f>VLOOKUP(A14,[2]Metadata_isolates!$A$1:$B$370,2,FALSE)</f>
        <v>377</v>
      </c>
      <c r="C14" s="7">
        <v>6516.5</v>
      </c>
      <c r="D14" s="6">
        <v>21.9</v>
      </c>
      <c r="E14" s="7">
        <v>4779</v>
      </c>
      <c r="F14" s="6">
        <v>25</v>
      </c>
      <c r="G14" s="7">
        <v>29155</v>
      </c>
      <c r="H14" s="7">
        <v>8781</v>
      </c>
      <c r="I14" s="7">
        <v>5507.1</v>
      </c>
      <c r="J14" s="7">
        <v>189989987</v>
      </c>
      <c r="K14" s="6">
        <v>99.8</v>
      </c>
      <c r="L14" s="6">
        <v>98</v>
      </c>
      <c r="M14" s="6">
        <v>87.6</v>
      </c>
      <c r="N14" s="6">
        <v>50.1</v>
      </c>
      <c r="O14" s="6">
        <v>7.2</v>
      </c>
      <c r="P14" s="8">
        <f t="shared" si="0"/>
        <v>40.423401489361702</v>
      </c>
    </row>
    <row r="15" spans="1:17" x14ac:dyDescent="0.25">
      <c r="A15" s="6" t="s">
        <v>358</v>
      </c>
      <c r="B15" s="6">
        <f>VLOOKUP(A15,[2]Metadata_isolates!$A$1:$B$370,2,FALSE)</f>
        <v>377</v>
      </c>
      <c r="C15" s="7">
        <v>4322.5</v>
      </c>
      <c r="D15" s="6">
        <v>16.899999999999999</v>
      </c>
      <c r="E15" s="7">
        <v>3106</v>
      </c>
      <c r="F15" s="6">
        <v>20.6</v>
      </c>
      <c r="G15" s="7">
        <v>44773</v>
      </c>
      <c r="H15" s="7">
        <v>5891</v>
      </c>
      <c r="I15" s="7">
        <v>5021.1000000000004</v>
      </c>
      <c r="J15" s="7">
        <v>193532944</v>
      </c>
      <c r="K15" s="6">
        <v>96.2</v>
      </c>
      <c r="L15" s="6">
        <v>89.9</v>
      </c>
      <c r="M15" s="6">
        <v>58</v>
      </c>
      <c r="N15" s="6">
        <v>5.2</v>
      </c>
      <c r="O15" s="6">
        <v>0</v>
      </c>
      <c r="P15" s="8">
        <f t="shared" si="0"/>
        <v>41.177222127659576</v>
      </c>
    </row>
    <row r="16" spans="1:17" x14ac:dyDescent="0.25">
      <c r="A16" s="6" t="s">
        <v>189</v>
      </c>
      <c r="B16" s="6">
        <f>VLOOKUP(A16,[2]Metadata_isolates!$A$1:$B$370,2,FALSE)</f>
        <v>377</v>
      </c>
      <c r="C16" s="7">
        <v>3504.1</v>
      </c>
      <c r="D16" s="6">
        <v>21.3</v>
      </c>
      <c r="E16" s="7">
        <v>2629</v>
      </c>
      <c r="F16" s="6">
        <v>24.7</v>
      </c>
      <c r="G16" s="7">
        <v>57358</v>
      </c>
      <c r="H16" s="7">
        <v>4451</v>
      </c>
      <c r="I16" s="7">
        <v>2848.7</v>
      </c>
      <c r="J16" s="7">
        <v>200985670</v>
      </c>
      <c r="K16" s="6">
        <v>99.7</v>
      </c>
      <c r="L16" s="6">
        <v>97.5</v>
      </c>
      <c r="M16" s="6">
        <v>85.8</v>
      </c>
      <c r="N16" s="6">
        <v>47.1</v>
      </c>
      <c r="O16" s="6">
        <v>7.8</v>
      </c>
      <c r="P16" s="8">
        <f t="shared" si="0"/>
        <v>42.762908510638297</v>
      </c>
    </row>
    <row r="17" spans="1:17" x14ac:dyDescent="0.25">
      <c r="A17" s="6" t="s">
        <v>148</v>
      </c>
      <c r="B17" s="6">
        <f>VLOOKUP(A17,[2]Metadata_isolates!$A$1:$B$370,2,FALSE)</f>
        <v>377</v>
      </c>
      <c r="C17" s="7">
        <v>5927.8</v>
      </c>
      <c r="D17" s="6">
        <v>21</v>
      </c>
      <c r="E17" s="7">
        <v>3919.5</v>
      </c>
      <c r="F17" s="6">
        <v>24.5</v>
      </c>
      <c r="G17" s="7">
        <v>34248</v>
      </c>
      <c r="H17" s="7">
        <v>9114</v>
      </c>
      <c r="I17" s="7">
        <v>6050.3</v>
      </c>
      <c r="J17" s="7">
        <v>203013666</v>
      </c>
      <c r="K17" s="6">
        <v>99.6</v>
      </c>
      <c r="L17" s="6">
        <v>97</v>
      </c>
      <c r="M17" s="6">
        <v>83.4</v>
      </c>
      <c r="N17" s="6">
        <v>45.3</v>
      </c>
      <c r="O17" s="6">
        <v>6.8</v>
      </c>
      <c r="P17" s="8">
        <f t="shared" si="0"/>
        <v>43.194397021276593</v>
      </c>
    </row>
    <row r="18" spans="1:17" x14ac:dyDescent="0.25">
      <c r="A18" s="6" t="s">
        <v>252</v>
      </c>
      <c r="B18" s="6">
        <f>VLOOKUP(A18,[2]Metadata_isolates!$A$1:$B$370,2,FALSE)</f>
        <v>377</v>
      </c>
      <c r="C18" s="7">
        <v>4179.7</v>
      </c>
      <c r="D18" s="6">
        <v>21.5</v>
      </c>
      <c r="E18" s="7">
        <v>3025</v>
      </c>
      <c r="F18" s="6">
        <v>25</v>
      </c>
      <c r="G18" s="7">
        <v>49463</v>
      </c>
      <c r="H18" s="7">
        <v>5620</v>
      </c>
      <c r="I18" s="7">
        <v>4224.3999999999996</v>
      </c>
      <c r="J18" s="7">
        <v>206738902</v>
      </c>
      <c r="K18" s="6">
        <v>99.7</v>
      </c>
      <c r="L18" s="6">
        <v>97.5</v>
      </c>
      <c r="M18" s="6">
        <v>87</v>
      </c>
      <c r="N18" s="6">
        <v>49.8</v>
      </c>
      <c r="O18" s="6">
        <v>7.9</v>
      </c>
      <c r="P18" s="8">
        <f t="shared" si="0"/>
        <v>43.987000425531917</v>
      </c>
    </row>
    <row r="19" spans="1:17" x14ac:dyDescent="0.25">
      <c r="A19" s="6" t="s">
        <v>375</v>
      </c>
      <c r="B19" s="6">
        <f>VLOOKUP(A19,[2]Metadata_isolates!$A$1:$B$370,2,FALSE)</f>
        <v>377</v>
      </c>
      <c r="C19" s="7">
        <v>4137.8999999999996</v>
      </c>
      <c r="D19" s="6">
        <v>16.600000000000001</v>
      </c>
      <c r="E19" s="7">
        <v>2908</v>
      </c>
      <c r="F19" s="6">
        <v>20.6</v>
      </c>
      <c r="G19" s="7">
        <v>51058</v>
      </c>
      <c r="H19" s="7">
        <v>5615</v>
      </c>
      <c r="I19" s="7">
        <v>7666.2</v>
      </c>
      <c r="J19" s="7">
        <v>211272558</v>
      </c>
      <c r="K19" s="6">
        <v>95.5</v>
      </c>
      <c r="L19" s="6">
        <v>88.8</v>
      </c>
      <c r="M19" s="6">
        <v>57.2</v>
      </c>
      <c r="N19" s="6">
        <v>5.0999999999999996</v>
      </c>
      <c r="O19" s="6">
        <v>0</v>
      </c>
      <c r="P19" s="8">
        <f t="shared" si="0"/>
        <v>44.951608085106386</v>
      </c>
    </row>
    <row r="20" spans="1:17" x14ac:dyDescent="0.25">
      <c r="A20" s="6" t="s">
        <v>429</v>
      </c>
      <c r="B20" s="6">
        <f>VLOOKUP(A20,[2]Metadata_isolates!$A$1:$B$370,2,FALSE)</f>
        <v>377</v>
      </c>
      <c r="C20" s="7">
        <v>3716.5</v>
      </c>
      <c r="D20" s="6">
        <v>20.7</v>
      </c>
      <c r="E20" s="7">
        <v>2786</v>
      </c>
      <c r="F20" s="6">
        <v>24.2</v>
      </c>
      <c r="G20" s="7">
        <v>58352</v>
      </c>
      <c r="H20" s="7">
        <v>4866</v>
      </c>
      <c r="I20" s="7">
        <v>4463.3</v>
      </c>
      <c r="J20" s="7">
        <v>216864117</v>
      </c>
      <c r="K20" s="6">
        <v>99.4</v>
      </c>
      <c r="L20" s="6">
        <v>96.5</v>
      </c>
      <c r="M20" s="6">
        <v>84.2</v>
      </c>
      <c r="N20" s="6">
        <v>41.6</v>
      </c>
      <c r="O20" s="6">
        <v>6.3</v>
      </c>
      <c r="P20" s="8">
        <f t="shared" si="0"/>
        <v>46.141301489361702</v>
      </c>
    </row>
    <row r="21" spans="1:17" x14ac:dyDescent="0.25">
      <c r="A21" s="6" t="s">
        <v>368</v>
      </c>
      <c r="B21" s="6">
        <f>VLOOKUP(A21,[2]Metadata_isolates!$A$1:$B$370,2,FALSE)</f>
        <v>377</v>
      </c>
      <c r="C21" s="7">
        <v>5861.2</v>
      </c>
      <c r="D21" s="6">
        <v>20.100000000000001</v>
      </c>
      <c r="E21" s="7">
        <v>4282</v>
      </c>
      <c r="F21" s="6">
        <v>23</v>
      </c>
      <c r="G21" s="7">
        <v>37044</v>
      </c>
      <c r="H21" s="7">
        <v>8097</v>
      </c>
      <c r="I21" s="7">
        <v>5028.8999999999996</v>
      </c>
      <c r="J21" s="7">
        <v>217120476</v>
      </c>
      <c r="K21" s="6">
        <v>99.8</v>
      </c>
      <c r="L21" s="6">
        <v>95.7</v>
      </c>
      <c r="M21" s="6">
        <v>77.400000000000006</v>
      </c>
      <c r="N21" s="6">
        <v>26.9</v>
      </c>
      <c r="O21" s="6">
        <v>1.6</v>
      </c>
      <c r="P21" s="8">
        <f t="shared" si="0"/>
        <v>46.195845957446807</v>
      </c>
      <c r="Q21" s="6"/>
    </row>
    <row r="22" spans="1:17" x14ac:dyDescent="0.25">
      <c r="A22" s="6" t="s">
        <v>118</v>
      </c>
      <c r="B22" s="6">
        <f>VLOOKUP(A22,[2]Metadata_isolates!$A$1:$B$370,2,FALSE)</f>
        <v>1499</v>
      </c>
      <c r="C22" s="7">
        <v>4232.2</v>
      </c>
      <c r="D22" s="6">
        <v>20.5</v>
      </c>
      <c r="E22" s="7">
        <v>2944</v>
      </c>
      <c r="F22" s="6">
        <v>24</v>
      </c>
      <c r="G22" s="7">
        <v>52869</v>
      </c>
      <c r="H22" s="7">
        <v>5840</v>
      </c>
      <c r="I22" s="7">
        <v>3964.4</v>
      </c>
      <c r="J22" s="7">
        <v>223750645</v>
      </c>
      <c r="K22" s="6">
        <v>99.6</v>
      </c>
      <c r="L22" s="6">
        <v>96.5</v>
      </c>
      <c r="M22" s="6">
        <v>79.2</v>
      </c>
      <c r="N22" s="6">
        <v>40.799999999999997</v>
      </c>
      <c r="O22" s="6">
        <v>7.1</v>
      </c>
      <c r="P22" s="8">
        <f t="shared" si="0"/>
        <v>47.606520212765957</v>
      </c>
      <c r="Q22" s="6"/>
    </row>
    <row r="23" spans="1:17" x14ac:dyDescent="0.25">
      <c r="A23" s="6" t="s">
        <v>140</v>
      </c>
      <c r="B23" s="6">
        <f>VLOOKUP(A23,[2]Metadata_isolates!$A$1:$B$370,2,FALSE)</f>
        <v>2640</v>
      </c>
      <c r="C23" s="7">
        <v>6465.4</v>
      </c>
      <c r="D23" s="6">
        <v>20.9</v>
      </c>
      <c r="E23" s="7">
        <v>4300</v>
      </c>
      <c r="F23" s="6">
        <v>24.4</v>
      </c>
      <c r="G23" s="7">
        <v>34973</v>
      </c>
      <c r="H23" s="7">
        <v>9842</v>
      </c>
      <c r="I23" s="7">
        <v>6613.9</v>
      </c>
      <c r="J23" s="7">
        <v>226113973</v>
      </c>
      <c r="K23" s="6">
        <v>99.8</v>
      </c>
      <c r="L23" s="6">
        <v>96.8</v>
      </c>
      <c r="M23" s="6">
        <v>81.3</v>
      </c>
      <c r="N23" s="6">
        <v>44</v>
      </c>
      <c r="O23" s="6">
        <v>6.8</v>
      </c>
      <c r="P23" s="8">
        <f t="shared" si="0"/>
        <v>48.109355957446809</v>
      </c>
      <c r="Q23" s="6"/>
    </row>
    <row r="24" spans="1:17" x14ac:dyDescent="0.25">
      <c r="A24" s="6" t="s">
        <v>470</v>
      </c>
      <c r="B24" s="6">
        <f>VLOOKUP(A24,[2]Metadata_isolates!$A$1:$B$370,2,FALSE)</f>
        <v>377</v>
      </c>
      <c r="C24" s="7">
        <v>6273.2</v>
      </c>
      <c r="D24" s="6">
        <v>22.2</v>
      </c>
      <c r="E24" s="7">
        <v>4517.5</v>
      </c>
      <c r="F24" s="6">
        <v>25.4</v>
      </c>
      <c r="G24" s="7">
        <v>36486</v>
      </c>
      <c r="H24" s="7">
        <v>8510</v>
      </c>
      <c r="I24" s="7">
        <v>5448.4</v>
      </c>
      <c r="J24" s="7">
        <v>228883793</v>
      </c>
      <c r="K24" s="6">
        <v>99.9</v>
      </c>
      <c r="L24" s="6">
        <v>98.3</v>
      </c>
      <c r="M24" s="6">
        <v>89.5</v>
      </c>
      <c r="N24" s="6">
        <v>54</v>
      </c>
      <c r="O24" s="6">
        <v>8.1</v>
      </c>
      <c r="P24" s="8">
        <f t="shared" si="0"/>
        <v>48.698679361702126</v>
      </c>
      <c r="Q24" s="6"/>
    </row>
    <row r="25" spans="1:17" x14ac:dyDescent="0.25">
      <c r="A25" s="6" t="s">
        <v>376</v>
      </c>
      <c r="B25" s="6">
        <f>VLOOKUP(A25,[2]Metadata_isolates!$A$1:$B$370,2,FALSE)</f>
        <v>377</v>
      </c>
      <c r="C25" s="7">
        <v>3910.9</v>
      </c>
      <c r="D25" s="6">
        <v>17</v>
      </c>
      <c r="E25" s="7">
        <v>2772</v>
      </c>
      <c r="F25" s="6">
        <v>20.6</v>
      </c>
      <c r="G25" s="7">
        <v>58826</v>
      </c>
      <c r="H25" s="7">
        <v>5154</v>
      </c>
      <c r="I25" s="7">
        <v>7433.3</v>
      </c>
      <c r="J25" s="7">
        <v>230061551</v>
      </c>
      <c r="K25" s="6">
        <v>96.3</v>
      </c>
      <c r="L25" s="6">
        <v>90.3</v>
      </c>
      <c r="M25" s="6">
        <v>58</v>
      </c>
      <c r="N25" s="6">
        <v>4.3</v>
      </c>
      <c r="O25" s="6">
        <v>0</v>
      </c>
      <c r="P25" s="8">
        <f t="shared" si="0"/>
        <v>48.949266170212766</v>
      </c>
      <c r="Q25" s="6"/>
    </row>
    <row r="26" spans="1:17" x14ac:dyDescent="0.25">
      <c r="A26" s="6" t="s">
        <v>201</v>
      </c>
      <c r="B26" s="6">
        <f>VLOOKUP(A26,[2]Metadata_isolates!$A$1:$B$370,2,FALSE)</f>
        <v>377</v>
      </c>
      <c r="C26" s="7">
        <v>3238</v>
      </c>
      <c r="D26" s="6">
        <v>21.1</v>
      </c>
      <c r="E26" s="7">
        <v>2473</v>
      </c>
      <c r="F26" s="6">
        <v>24.5</v>
      </c>
      <c r="G26" s="7">
        <v>71709</v>
      </c>
      <c r="H26" s="7">
        <v>4054</v>
      </c>
      <c r="I26" s="7">
        <v>2517.1999999999998</v>
      </c>
      <c r="J26" s="7">
        <v>232194868</v>
      </c>
      <c r="K26" s="6">
        <v>99.5</v>
      </c>
      <c r="L26" s="6">
        <v>97.2</v>
      </c>
      <c r="M26" s="6">
        <v>86.2</v>
      </c>
      <c r="N26" s="6">
        <v>43.8</v>
      </c>
      <c r="O26" s="6">
        <v>6.6</v>
      </c>
      <c r="P26" s="8">
        <f t="shared" si="0"/>
        <v>49.403163404255316</v>
      </c>
      <c r="Q26" s="6"/>
    </row>
    <row r="27" spans="1:17" x14ac:dyDescent="0.25">
      <c r="A27" s="6" t="s">
        <v>367</v>
      </c>
      <c r="B27" s="6">
        <f>VLOOKUP(A27,[2]Metadata_isolates!$A$1:$B$370,2,FALSE)</f>
        <v>377</v>
      </c>
      <c r="C27" s="7">
        <v>4092.1</v>
      </c>
      <c r="D27" s="6">
        <v>16.600000000000001</v>
      </c>
      <c r="E27" s="7">
        <v>2930</v>
      </c>
      <c r="F27" s="6">
        <v>20.399999999999999</v>
      </c>
      <c r="G27" s="7">
        <v>57478</v>
      </c>
      <c r="H27" s="7">
        <v>5471</v>
      </c>
      <c r="I27" s="7">
        <v>6310.4</v>
      </c>
      <c r="J27" s="7">
        <v>235204458</v>
      </c>
      <c r="K27" s="6">
        <v>95.7</v>
      </c>
      <c r="L27" s="6">
        <v>89.1</v>
      </c>
      <c r="M27" s="6">
        <v>55.8</v>
      </c>
      <c r="N27" s="6">
        <v>3.7</v>
      </c>
      <c r="O27" s="6">
        <v>0</v>
      </c>
      <c r="P27" s="8">
        <f t="shared" si="0"/>
        <v>50.043501702127656</v>
      </c>
      <c r="Q27" s="6"/>
    </row>
    <row r="28" spans="1:17" x14ac:dyDescent="0.25">
      <c r="A28" t="s">
        <v>328</v>
      </c>
      <c r="B28">
        <f>VLOOKUP(A28,[2]Metadata_isolates!$A$1:$B$370,2,FALSE)</f>
        <v>377</v>
      </c>
      <c r="C28" s="1">
        <v>4321.8</v>
      </c>
      <c r="D28">
        <v>17</v>
      </c>
      <c r="E28" s="1">
        <v>2973</v>
      </c>
      <c r="F28">
        <v>20.9</v>
      </c>
      <c r="G28" s="1">
        <v>55533</v>
      </c>
      <c r="H28" s="1">
        <v>5933</v>
      </c>
      <c r="I28" s="1">
        <v>6775</v>
      </c>
      <c r="J28" s="1">
        <v>240001481</v>
      </c>
      <c r="K28">
        <v>96.1</v>
      </c>
      <c r="L28">
        <v>90</v>
      </c>
      <c r="M28">
        <v>61.1</v>
      </c>
      <c r="N28">
        <v>6.8</v>
      </c>
      <c r="O28">
        <v>0</v>
      </c>
      <c r="P28" s="2">
        <f t="shared" si="0"/>
        <v>51.064144893617019</v>
      </c>
    </row>
    <row r="29" spans="1:17" x14ac:dyDescent="0.25">
      <c r="A29" t="s">
        <v>168</v>
      </c>
      <c r="B29">
        <f>VLOOKUP(A29,[2]Metadata_isolates!$A$1:$B$370,2,FALSE)</f>
        <v>377</v>
      </c>
      <c r="C29" s="1">
        <v>4864.3</v>
      </c>
      <c r="D29">
        <v>20.3</v>
      </c>
      <c r="E29" s="1">
        <v>3481</v>
      </c>
      <c r="F29">
        <v>24.3</v>
      </c>
      <c r="G29" s="1">
        <v>50836</v>
      </c>
      <c r="H29" s="1">
        <v>6730</v>
      </c>
      <c r="I29" s="1">
        <v>6358.3</v>
      </c>
      <c r="J29" s="1">
        <v>247280571</v>
      </c>
      <c r="K29">
        <v>99.3</v>
      </c>
      <c r="L29">
        <v>96.4</v>
      </c>
      <c r="M29">
        <v>81.8</v>
      </c>
      <c r="N29">
        <v>42.5</v>
      </c>
      <c r="O29">
        <v>6.5</v>
      </c>
      <c r="P29" s="2">
        <f t="shared" si="0"/>
        <v>52.612887446808507</v>
      </c>
    </row>
    <row r="30" spans="1:17" x14ac:dyDescent="0.25">
      <c r="A30" t="s">
        <v>361</v>
      </c>
      <c r="B30">
        <f>VLOOKUP(A30,[2]Metadata_isolates!$A$1:$B$370,2,FALSE)</f>
        <v>377</v>
      </c>
      <c r="C30" s="1">
        <v>4267.7</v>
      </c>
      <c r="D30">
        <v>16.899999999999999</v>
      </c>
      <c r="E30" s="1">
        <v>3058</v>
      </c>
      <c r="F30">
        <v>20.8</v>
      </c>
      <c r="G30" s="1">
        <v>58753</v>
      </c>
      <c r="H30" s="1">
        <v>5730</v>
      </c>
      <c r="I30" s="1">
        <v>6457.7</v>
      </c>
      <c r="J30" s="1">
        <v>250738035</v>
      </c>
      <c r="K30">
        <v>96.2</v>
      </c>
      <c r="L30">
        <v>89.7</v>
      </c>
      <c r="M30">
        <v>60.7</v>
      </c>
      <c r="N30">
        <v>5.9</v>
      </c>
      <c r="O30">
        <v>0</v>
      </c>
      <c r="P30" s="2">
        <f t="shared" si="0"/>
        <v>53.348518085106384</v>
      </c>
    </row>
    <row r="31" spans="1:17" x14ac:dyDescent="0.25">
      <c r="A31" t="s">
        <v>151</v>
      </c>
      <c r="B31">
        <f>VLOOKUP(A31,[2]Metadata_isolates!$A$1:$B$370,2,FALSE)</f>
        <v>377</v>
      </c>
      <c r="C31" s="1">
        <v>4509.3999999999996</v>
      </c>
      <c r="D31">
        <v>20.9</v>
      </c>
      <c r="E31" s="1">
        <v>3021</v>
      </c>
      <c r="F31">
        <v>24.4</v>
      </c>
      <c r="G31" s="1">
        <v>56833</v>
      </c>
      <c r="H31" s="1">
        <v>6482</v>
      </c>
      <c r="I31" s="1">
        <v>4667.6000000000004</v>
      </c>
      <c r="J31" s="1">
        <v>256285025</v>
      </c>
      <c r="K31">
        <v>99.6</v>
      </c>
      <c r="L31">
        <v>97</v>
      </c>
      <c r="M31">
        <v>82.7</v>
      </c>
      <c r="N31">
        <v>43.9</v>
      </c>
      <c r="O31">
        <v>7.1</v>
      </c>
      <c r="P31" s="2">
        <f t="shared" si="0"/>
        <v>54.528728723404257</v>
      </c>
    </row>
    <row r="32" spans="1:17" x14ac:dyDescent="0.25">
      <c r="A32" t="s">
        <v>416</v>
      </c>
      <c r="B32">
        <f>VLOOKUP(A32,[2]Metadata_isolates!$A$1:$B$370,2,FALSE)</f>
        <v>377</v>
      </c>
      <c r="C32" s="1">
        <v>3354.7</v>
      </c>
      <c r="D32">
        <v>20.7</v>
      </c>
      <c r="E32" s="1">
        <v>2461</v>
      </c>
      <c r="F32">
        <v>24.2</v>
      </c>
      <c r="G32" s="1">
        <v>77264</v>
      </c>
      <c r="H32" s="1">
        <v>4222</v>
      </c>
      <c r="I32" s="1">
        <v>3232.7</v>
      </c>
      <c r="J32" s="1">
        <v>259199431</v>
      </c>
      <c r="K32">
        <v>99.3</v>
      </c>
      <c r="L32">
        <v>96.7</v>
      </c>
      <c r="M32">
        <v>84.6</v>
      </c>
      <c r="N32">
        <v>40.4</v>
      </c>
      <c r="O32">
        <v>6.4</v>
      </c>
      <c r="P32" s="2">
        <f t="shared" si="0"/>
        <v>55.148815106382976</v>
      </c>
    </row>
    <row r="33" spans="1:18" x14ac:dyDescent="0.25">
      <c r="A33" t="s">
        <v>480</v>
      </c>
      <c r="B33">
        <f>VLOOKUP(A33,[2]Metadata_isolates!$A$1:$B$370,2,FALSE)</f>
        <v>377</v>
      </c>
      <c r="C33" s="1">
        <v>7061.6</v>
      </c>
      <c r="D33">
        <v>19.899999999999999</v>
      </c>
      <c r="E33" s="1">
        <v>4961</v>
      </c>
      <c r="F33">
        <v>22.7</v>
      </c>
      <c r="G33" s="1">
        <v>36789</v>
      </c>
      <c r="H33" s="1">
        <v>10218</v>
      </c>
      <c r="I33" s="1">
        <v>6723.5</v>
      </c>
      <c r="J33" s="1">
        <v>259788197</v>
      </c>
      <c r="K33">
        <v>99.9</v>
      </c>
      <c r="L33">
        <v>95.3</v>
      </c>
      <c r="M33">
        <v>74.599999999999994</v>
      </c>
      <c r="N33">
        <v>25.2</v>
      </c>
      <c r="O33">
        <v>1.5</v>
      </c>
      <c r="P33" s="2">
        <f t="shared" si="0"/>
        <v>55.274084468085107</v>
      </c>
    </row>
    <row r="34" spans="1:18" x14ac:dyDescent="0.25">
      <c r="A34" s="6" t="s">
        <v>127</v>
      </c>
      <c r="B34" s="6">
        <f>VLOOKUP(A34,[2]Metadata_isolates!$A$1:$B$370,2,FALSE)</f>
        <v>1499</v>
      </c>
      <c r="C34" s="7">
        <v>3293.1</v>
      </c>
      <c r="D34" s="6">
        <v>20</v>
      </c>
      <c r="E34" s="7">
        <v>2414</v>
      </c>
      <c r="F34" s="6">
        <v>23.7</v>
      </c>
      <c r="G34" s="7">
        <v>81325</v>
      </c>
      <c r="H34" s="7">
        <v>4152</v>
      </c>
      <c r="I34" s="7">
        <v>3090.5</v>
      </c>
      <c r="J34" s="7">
        <v>267811199</v>
      </c>
      <c r="K34" s="6">
        <v>99.4</v>
      </c>
      <c r="L34" s="6">
        <v>95.5</v>
      </c>
      <c r="M34" s="6">
        <v>77.099999999999994</v>
      </c>
      <c r="N34" s="6">
        <v>38.4</v>
      </c>
      <c r="O34" s="6">
        <v>7.5</v>
      </c>
      <c r="P34" s="8">
        <f t="shared" si="0"/>
        <v>56.981106170212769</v>
      </c>
      <c r="Q34" s="6"/>
      <c r="R34" s="6"/>
    </row>
    <row r="35" spans="1:18" x14ac:dyDescent="0.25">
      <c r="A35" s="6" t="s">
        <v>381</v>
      </c>
      <c r="B35" s="6">
        <f>VLOOKUP(A35,[2]Metadata_isolates!$A$1:$B$370,2,FALSE)</f>
        <v>377</v>
      </c>
      <c r="C35" s="7">
        <v>3683.2</v>
      </c>
      <c r="D35" s="6">
        <v>20.9</v>
      </c>
      <c r="E35" s="7">
        <v>2667</v>
      </c>
      <c r="F35" s="6">
        <v>24.3</v>
      </c>
      <c r="G35" s="7">
        <v>74115</v>
      </c>
      <c r="H35" s="7">
        <v>4839</v>
      </c>
      <c r="I35" s="7">
        <v>3179.7</v>
      </c>
      <c r="J35" s="7">
        <v>272979070</v>
      </c>
      <c r="K35" s="6">
        <v>99.5</v>
      </c>
      <c r="L35" s="6">
        <v>96.9</v>
      </c>
      <c r="M35" s="6">
        <v>84.5</v>
      </c>
      <c r="N35" s="6">
        <v>42.2</v>
      </c>
      <c r="O35" s="6">
        <v>6.8</v>
      </c>
      <c r="P35" s="8">
        <f t="shared" si="0"/>
        <v>58.080653191489361</v>
      </c>
      <c r="Q35" s="6"/>
      <c r="R35" s="6"/>
    </row>
    <row r="36" spans="1:18" x14ac:dyDescent="0.25">
      <c r="A36" s="6" t="s">
        <v>359</v>
      </c>
      <c r="B36" s="6">
        <f>VLOOKUP(A36,[2]Metadata_isolates!$A$1:$B$370,2,FALSE)</f>
        <v>377</v>
      </c>
      <c r="C36" s="7">
        <v>3819.7</v>
      </c>
      <c r="D36" s="6">
        <v>16.7</v>
      </c>
      <c r="E36" s="7">
        <v>2717</v>
      </c>
      <c r="F36" s="6">
        <v>20.399999999999999</v>
      </c>
      <c r="G36" s="7">
        <v>72509</v>
      </c>
      <c r="H36" s="7">
        <v>5017</v>
      </c>
      <c r="I36" s="7">
        <v>5748.5</v>
      </c>
      <c r="J36" s="7">
        <v>276965373</v>
      </c>
      <c r="K36" s="6">
        <v>96</v>
      </c>
      <c r="L36" s="6">
        <v>89.6</v>
      </c>
      <c r="M36" s="6">
        <v>54.6</v>
      </c>
      <c r="N36" s="6">
        <v>4</v>
      </c>
      <c r="O36" s="6">
        <v>0</v>
      </c>
      <c r="P36" s="8">
        <f t="shared" si="0"/>
        <v>58.92880276595745</v>
      </c>
      <c r="Q36" s="6"/>
      <c r="R36" s="6"/>
    </row>
    <row r="37" spans="1:18" x14ac:dyDescent="0.25">
      <c r="A37" s="6" t="s">
        <v>438</v>
      </c>
      <c r="B37" s="6">
        <f>VLOOKUP(A37,[2]Metadata_isolates!$A$1:$B$370,2,FALSE)</f>
        <v>377</v>
      </c>
      <c r="C37" s="7">
        <v>4530.3999999999996</v>
      </c>
      <c r="D37" s="6">
        <v>21.6</v>
      </c>
      <c r="E37" s="7">
        <v>3294</v>
      </c>
      <c r="F37" s="6">
        <v>24.8</v>
      </c>
      <c r="G37" s="7">
        <v>61392</v>
      </c>
      <c r="H37" s="7">
        <v>6192</v>
      </c>
      <c r="I37" s="7">
        <v>4011.4</v>
      </c>
      <c r="J37" s="7">
        <v>278130663</v>
      </c>
      <c r="K37" s="6">
        <v>99.7</v>
      </c>
      <c r="L37" s="6">
        <v>97.7</v>
      </c>
      <c r="M37" s="6">
        <v>87.2</v>
      </c>
      <c r="N37" s="6">
        <v>47.7</v>
      </c>
      <c r="O37" s="6">
        <v>7.3</v>
      </c>
      <c r="P37" s="8">
        <f t="shared" si="0"/>
        <v>59.17673680851064</v>
      </c>
      <c r="Q37" s="6"/>
      <c r="R37" s="6"/>
    </row>
    <row r="38" spans="1:18" x14ac:dyDescent="0.25">
      <c r="A38" s="6" t="s">
        <v>241</v>
      </c>
      <c r="B38" s="6">
        <f>VLOOKUP(A38,[2]Metadata_isolates!$A$1:$B$370,2,FALSE)</f>
        <v>377</v>
      </c>
      <c r="C38" s="7">
        <v>3363.7</v>
      </c>
      <c r="D38" s="6">
        <v>21.1</v>
      </c>
      <c r="E38" s="7">
        <v>2520</v>
      </c>
      <c r="F38" s="6">
        <v>24.4</v>
      </c>
      <c r="G38" s="7">
        <v>83824</v>
      </c>
      <c r="H38" s="7">
        <v>4243</v>
      </c>
      <c r="I38" s="7">
        <v>2746.8</v>
      </c>
      <c r="J38" s="7">
        <v>281960305</v>
      </c>
      <c r="K38" s="6">
        <v>99.6</v>
      </c>
      <c r="L38" s="6">
        <v>97.3</v>
      </c>
      <c r="M38" s="6">
        <v>84.9</v>
      </c>
      <c r="N38" s="6">
        <v>42.8</v>
      </c>
      <c r="O38" s="6">
        <v>6.5</v>
      </c>
      <c r="P38" s="8">
        <f t="shared" si="0"/>
        <v>59.991554255319151</v>
      </c>
      <c r="Q38" s="6"/>
      <c r="R38" s="6"/>
    </row>
    <row r="39" spans="1:18" x14ac:dyDescent="0.25">
      <c r="A39" s="6" t="s">
        <v>442</v>
      </c>
      <c r="B39" s="6">
        <f>VLOOKUP(A39,[2]Metadata_isolates!$A$1:$B$370,2,FALSE)</f>
        <v>377</v>
      </c>
      <c r="C39" s="7">
        <v>4134.8999999999996</v>
      </c>
      <c r="D39" s="6">
        <v>20.7</v>
      </c>
      <c r="E39" s="7">
        <v>3024</v>
      </c>
      <c r="F39" s="6">
        <v>24.2</v>
      </c>
      <c r="G39" s="7">
        <v>68620</v>
      </c>
      <c r="H39" s="7">
        <v>5584</v>
      </c>
      <c r="I39" s="7">
        <v>3449</v>
      </c>
      <c r="J39" s="7">
        <v>283738965</v>
      </c>
      <c r="K39" s="6">
        <v>99.5</v>
      </c>
      <c r="L39" s="6">
        <v>96.7</v>
      </c>
      <c r="M39" s="6">
        <v>83.5</v>
      </c>
      <c r="N39" s="6">
        <v>41.7</v>
      </c>
      <c r="O39" s="6">
        <v>6.3</v>
      </c>
      <c r="P39" s="8">
        <f t="shared" si="0"/>
        <v>60.369992553191487</v>
      </c>
      <c r="Q39" s="6"/>
      <c r="R39" s="6"/>
    </row>
    <row r="40" spans="1:18" x14ac:dyDescent="0.25">
      <c r="A40" s="6" t="s">
        <v>125</v>
      </c>
      <c r="B40" s="6">
        <f>VLOOKUP(A40,[2]Metadata_isolates!$A$1:$B$370,2,FALSE)</f>
        <v>377</v>
      </c>
      <c r="C40" s="7">
        <v>4941.3999999999996</v>
      </c>
      <c r="D40" s="6">
        <v>20.7</v>
      </c>
      <c r="E40" s="7">
        <v>3362</v>
      </c>
      <c r="F40" s="6">
        <v>24.3</v>
      </c>
      <c r="G40" s="7">
        <v>58054</v>
      </c>
      <c r="H40" s="7">
        <v>7162</v>
      </c>
      <c r="I40" s="7">
        <v>4934.8999999999996</v>
      </c>
      <c r="J40" s="7">
        <v>286870907</v>
      </c>
      <c r="K40" s="6">
        <v>99.6</v>
      </c>
      <c r="L40" s="6">
        <v>96.6</v>
      </c>
      <c r="M40" s="6">
        <v>81</v>
      </c>
      <c r="N40" s="6">
        <v>43.4</v>
      </c>
      <c r="O40" s="6">
        <v>7.2</v>
      </c>
      <c r="P40" s="8">
        <f t="shared" si="0"/>
        <v>61.036363191489365</v>
      </c>
      <c r="Q40" s="6"/>
      <c r="R40" s="6"/>
    </row>
    <row r="41" spans="1:18" x14ac:dyDescent="0.25">
      <c r="A41" s="6" t="s">
        <v>116</v>
      </c>
      <c r="B41" s="6">
        <f>VLOOKUP(A41,[2]Metadata_isolates!$A$1:$B$370,2,FALSE)</f>
        <v>1499</v>
      </c>
      <c r="C41" s="7">
        <v>4114.2</v>
      </c>
      <c r="D41" s="6">
        <v>21</v>
      </c>
      <c r="E41" s="7">
        <v>2824</v>
      </c>
      <c r="F41" s="6">
        <v>24.4</v>
      </c>
      <c r="G41" s="7">
        <v>69989</v>
      </c>
      <c r="H41" s="7">
        <v>5726</v>
      </c>
      <c r="I41" s="7">
        <v>3866.4</v>
      </c>
      <c r="J41" s="7">
        <v>287945259</v>
      </c>
      <c r="K41" s="6">
        <v>99.7</v>
      </c>
      <c r="L41" s="6">
        <v>97</v>
      </c>
      <c r="M41" s="6">
        <v>82.4</v>
      </c>
      <c r="N41" s="6">
        <v>44.7</v>
      </c>
      <c r="O41" s="6">
        <v>8</v>
      </c>
      <c r="P41" s="8">
        <f t="shared" si="0"/>
        <v>61.264948723404252</v>
      </c>
      <c r="Q41" s="6"/>
      <c r="R41" s="6"/>
    </row>
    <row r="42" spans="1:18" x14ac:dyDescent="0.25">
      <c r="A42" s="6" t="s">
        <v>428</v>
      </c>
      <c r="B42" s="6">
        <f>VLOOKUP(A42,[2]Metadata_isolates!$A$1:$B$370,2,FALSE)</f>
        <v>377</v>
      </c>
      <c r="C42" s="7">
        <v>3673.8</v>
      </c>
      <c r="D42" s="6">
        <v>21</v>
      </c>
      <c r="E42" s="7">
        <v>2724</v>
      </c>
      <c r="F42" s="6">
        <v>24.5</v>
      </c>
      <c r="G42" s="7">
        <v>78546</v>
      </c>
      <c r="H42" s="7">
        <v>4761</v>
      </c>
      <c r="I42" s="7">
        <v>3052.8</v>
      </c>
      <c r="J42" s="7">
        <v>288565342</v>
      </c>
      <c r="K42" s="6">
        <v>99.5</v>
      </c>
      <c r="L42" s="6">
        <v>96.9</v>
      </c>
      <c r="M42" s="6">
        <v>85.1</v>
      </c>
      <c r="N42" s="6">
        <v>44.4</v>
      </c>
      <c r="O42" s="6">
        <v>7.2</v>
      </c>
      <c r="P42" s="8">
        <f t="shared" si="0"/>
        <v>61.396881276595742</v>
      </c>
      <c r="Q42" s="6"/>
      <c r="R42" s="6"/>
    </row>
    <row r="43" spans="1:18" x14ac:dyDescent="0.25">
      <c r="A43" s="6" t="s">
        <v>434</v>
      </c>
      <c r="B43" s="6">
        <f>VLOOKUP(A43,[2]Metadata_isolates!$A$1:$B$370,2,FALSE)</f>
        <v>377</v>
      </c>
      <c r="C43" s="7">
        <v>4070.3</v>
      </c>
      <c r="D43" s="6">
        <v>20.9</v>
      </c>
      <c r="E43" s="7">
        <v>2996</v>
      </c>
      <c r="F43" s="6">
        <v>24.4</v>
      </c>
      <c r="G43" s="7">
        <v>72106</v>
      </c>
      <c r="H43" s="7">
        <v>5454</v>
      </c>
      <c r="I43" s="7">
        <v>3486.7</v>
      </c>
      <c r="J43" s="7">
        <v>293494902</v>
      </c>
      <c r="K43" s="6">
        <v>99.5</v>
      </c>
      <c r="L43" s="6">
        <v>97</v>
      </c>
      <c r="M43" s="6">
        <v>84.4</v>
      </c>
      <c r="N43" s="6">
        <v>43.1</v>
      </c>
      <c r="O43" s="6">
        <v>6.5</v>
      </c>
      <c r="P43" s="8">
        <f t="shared" si="0"/>
        <v>62.445723829787234</v>
      </c>
      <c r="Q43" s="6"/>
      <c r="R43" s="6"/>
    </row>
    <row r="44" spans="1:18" x14ac:dyDescent="0.25">
      <c r="A44" s="6" t="s">
        <v>158</v>
      </c>
      <c r="B44" s="6">
        <f>VLOOKUP(A44,[2]Metadata_isolates!$A$1:$B$370,2,FALSE)</f>
        <v>377</v>
      </c>
      <c r="C44" s="7">
        <v>5511.7</v>
      </c>
      <c r="D44" s="6">
        <v>20.8</v>
      </c>
      <c r="E44" s="7">
        <v>3767</v>
      </c>
      <c r="F44" s="6">
        <v>24.2</v>
      </c>
      <c r="G44" s="7">
        <v>53623</v>
      </c>
      <c r="H44" s="7">
        <v>8112</v>
      </c>
      <c r="I44" s="7">
        <v>5440.4</v>
      </c>
      <c r="J44" s="7">
        <v>295556317</v>
      </c>
      <c r="K44" s="6">
        <v>99.7</v>
      </c>
      <c r="L44" s="6">
        <v>96.9</v>
      </c>
      <c r="M44" s="6">
        <v>81.5</v>
      </c>
      <c r="N44" s="6">
        <v>42.1</v>
      </c>
      <c r="O44" s="6">
        <v>6.1</v>
      </c>
      <c r="P44" s="8">
        <f t="shared" si="0"/>
        <v>62.88432276595745</v>
      </c>
      <c r="Q44" s="6"/>
      <c r="R44" s="6"/>
    </row>
    <row r="45" spans="1:18" x14ac:dyDescent="0.25">
      <c r="A45" s="6" t="s">
        <v>339</v>
      </c>
      <c r="B45" s="6">
        <f>VLOOKUP(A45,[2]Metadata_isolates!$A$1:$B$370,2,FALSE)</f>
        <v>377</v>
      </c>
      <c r="C45" s="7">
        <v>4178.8999999999996</v>
      </c>
      <c r="D45" s="6">
        <v>17.3</v>
      </c>
      <c r="E45" s="7">
        <v>2989.5</v>
      </c>
      <c r="F45" s="6">
        <v>20.8</v>
      </c>
      <c r="G45" s="7">
        <v>70840</v>
      </c>
      <c r="H45" s="7">
        <v>5637</v>
      </c>
      <c r="I45" s="7">
        <v>6645.9</v>
      </c>
      <c r="J45" s="7">
        <v>296036403</v>
      </c>
      <c r="K45" s="6">
        <v>96.9</v>
      </c>
      <c r="L45" s="6">
        <v>91.1</v>
      </c>
      <c r="M45" s="6">
        <v>60</v>
      </c>
      <c r="N45" s="6">
        <v>6</v>
      </c>
      <c r="O45" s="6">
        <v>0</v>
      </c>
      <c r="P45" s="8">
        <f t="shared" si="0"/>
        <v>62.986468723404258</v>
      </c>
      <c r="Q45" s="6"/>
      <c r="R45" s="6"/>
    </row>
    <row r="46" spans="1:18" x14ac:dyDescent="0.25">
      <c r="A46" s="6" t="s">
        <v>311</v>
      </c>
      <c r="B46" s="6">
        <f>VLOOKUP(A46,[2]Metadata_isolates!$A$1:$B$370,2,FALSE)</f>
        <v>377</v>
      </c>
      <c r="C46" s="7">
        <v>5112.7</v>
      </c>
      <c r="D46" s="6">
        <v>17.5</v>
      </c>
      <c r="E46" s="7">
        <v>3558</v>
      </c>
      <c r="F46" s="6">
        <v>21.3</v>
      </c>
      <c r="G46" s="7">
        <v>58041</v>
      </c>
      <c r="H46" s="7">
        <v>7262</v>
      </c>
      <c r="I46" s="7">
        <v>10456.200000000001</v>
      </c>
      <c r="J46" s="7">
        <v>296744389</v>
      </c>
      <c r="K46" s="6">
        <v>96.9</v>
      </c>
      <c r="L46" s="6">
        <v>91.3</v>
      </c>
      <c r="M46" s="6">
        <v>64.2</v>
      </c>
      <c r="N46" s="6">
        <v>10</v>
      </c>
      <c r="O46" s="6">
        <v>0</v>
      </c>
      <c r="P46" s="8">
        <f t="shared" si="0"/>
        <v>63.13710404255319</v>
      </c>
      <c r="Q46" s="6"/>
      <c r="R46" s="6"/>
    </row>
    <row r="47" spans="1:18" x14ac:dyDescent="0.25">
      <c r="A47" s="6" t="s">
        <v>382</v>
      </c>
      <c r="B47" s="6">
        <f>VLOOKUP(A47,[2]Metadata_isolates!$A$1:$B$370,2,FALSE)</f>
        <v>377</v>
      </c>
      <c r="C47" s="7">
        <v>3356.1</v>
      </c>
      <c r="D47" s="6">
        <v>20.3</v>
      </c>
      <c r="E47" s="7">
        <v>2539</v>
      </c>
      <c r="F47" s="6">
        <v>23.7</v>
      </c>
      <c r="G47" s="7">
        <v>89719</v>
      </c>
      <c r="H47" s="7">
        <v>4266</v>
      </c>
      <c r="I47" s="7">
        <v>2605.5</v>
      </c>
      <c r="J47" s="7">
        <v>301102454</v>
      </c>
      <c r="K47" s="6">
        <v>99.3</v>
      </c>
      <c r="L47" s="6">
        <v>96.2</v>
      </c>
      <c r="M47" s="6">
        <v>80.8</v>
      </c>
      <c r="N47" s="6">
        <v>36.700000000000003</v>
      </c>
      <c r="O47" s="6">
        <v>5.6</v>
      </c>
      <c r="P47" s="8">
        <f t="shared" si="0"/>
        <v>64.064351914893621</v>
      </c>
      <c r="Q47" s="6"/>
      <c r="R47" s="6"/>
    </row>
    <row r="48" spans="1:18" x14ac:dyDescent="0.25">
      <c r="A48" s="6" t="s">
        <v>224</v>
      </c>
      <c r="B48" s="6">
        <f>VLOOKUP(A48,[2]Metadata_isolates!$A$1:$B$370,2,FALSE)</f>
        <v>377</v>
      </c>
      <c r="C48" s="7">
        <v>3902.7</v>
      </c>
      <c r="D48" s="6">
        <v>21.7</v>
      </c>
      <c r="E48" s="7">
        <v>2860</v>
      </c>
      <c r="F48" s="6">
        <v>25.1</v>
      </c>
      <c r="G48" s="7">
        <v>78278</v>
      </c>
      <c r="H48" s="7">
        <v>5140</v>
      </c>
      <c r="I48" s="7">
        <v>4722.2</v>
      </c>
      <c r="J48" s="7">
        <v>305499393</v>
      </c>
      <c r="K48" s="6">
        <v>99.7</v>
      </c>
      <c r="L48" s="6">
        <v>97.7</v>
      </c>
      <c r="M48" s="6">
        <v>88.5</v>
      </c>
      <c r="N48" s="6">
        <v>50.7</v>
      </c>
      <c r="O48" s="6">
        <v>8.1999999999999993</v>
      </c>
      <c r="P48" s="8">
        <f t="shared" si="0"/>
        <v>64.999870851063832</v>
      </c>
      <c r="Q48" s="6"/>
      <c r="R48" s="6"/>
    </row>
    <row r="49" spans="1:18" x14ac:dyDescent="0.25">
      <c r="A49" s="6" t="s">
        <v>266</v>
      </c>
      <c r="B49" s="6">
        <f>VLOOKUP(A49,[2]Metadata_isolates!$A$1:$B$370,2,FALSE)</f>
        <v>377</v>
      </c>
      <c r="C49" s="7">
        <v>4030.8</v>
      </c>
      <c r="D49" s="6">
        <v>21</v>
      </c>
      <c r="E49" s="7">
        <v>3001</v>
      </c>
      <c r="F49" s="6">
        <v>24.7</v>
      </c>
      <c r="G49" s="7">
        <v>76076</v>
      </c>
      <c r="H49" s="7">
        <v>5356</v>
      </c>
      <c r="I49" s="7">
        <v>3837.2</v>
      </c>
      <c r="J49" s="7">
        <v>306648793</v>
      </c>
      <c r="K49" s="6">
        <v>99.5</v>
      </c>
      <c r="L49" s="6">
        <v>97.1</v>
      </c>
      <c r="M49" s="6">
        <v>86</v>
      </c>
      <c r="N49" s="6">
        <v>46.3</v>
      </c>
      <c r="O49" s="6">
        <v>6.7</v>
      </c>
      <c r="P49" s="8">
        <f t="shared" si="0"/>
        <v>65.244424042553192</v>
      </c>
      <c r="Q49" s="6"/>
      <c r="R49" s="6"/>
    </row>
    <row r="50" spans="1:18" x14ac:dyDescent="0.25">
      <c r="A50" s="6" t="s">
        <v>394</v>
      </c>
      <c r="B50" s="6">
        <f>VLOOKUP(A50,[2]Metadata_isolates!$A$1:$B$370,2,FALSE)</f>
        <v>377</v>
      </c>
      <c r="C50" s="7">
        <v>3485.2</v>
      </c>
      <c r="D50" s="6">
        <v>20.8</v>
      </c>
      <c r="E50" s="7">
        <v>2591</v>
      </c>
      <c r="F50" s="6">
        <v>24.3</v>
      </c>
      <c r="G50" s="7">
        <v>89147</v>
      </c>
      <c r="H50" s="7">
        <v>4503</v>
      </c>
      <c r="I50" s="7">
        <v>2867.7</v>
      </c>
      <c r="J50" s="7">
        <v>310694906</v>
      </c>
      <c r="K50" s="6">
        <v>99.4</v>
      </c>
      <c r="L50" s="6">
        <v>96.7</v>
      </c>
      <c r="M50" s="6">
        <v>84.2</v>
      </c>
      <c r="N50" s="6">
        <v>42.4</v>
      </c>
      <c r="O50" s="6">
        <v>6.7</v>
      </c>
      <c r="P50" s="8">
        <f t="shared" si="0"/>
        <v>66.105299148936169</v>
      </c>
      <c r="Q50" s="6"/>
      <c r="R50" s="6"/>
    </row>
    <row r="51" spans="1:18" x14ac:dyDescent="0.25">
      <c r="A51" s="6" t="s">
        <v>258</v>
      </c>
      <c r="B51" s="6">
        <f>VLOOKUP(A51,[2]Metadata_isolates!$A$1:$B$370,2,FALSE)</f>
        <v>377</v>
      </c>
      <c r="C51" s="7">
        <v>3332.8</v>
      </c>
      <c r="D51" s="6">
        <v>20.9</v>
      </c>
      <c r="E51" s="7">
        <v>2447</v>
      </c>
      <c r="F51" s="6">
        <v>24.1</v>
      </c>
      <c r="G51" s="7">
        <v>93456</v>
      </c>
      <c r="H51" s="7">
        <v>4189</v>
      </c>
      <c r="I51" s="7">
        <v>2893.9</v>
      </c>
      <c r="J51" s="7">
        <v>311472860</v>
      </c>
      <c r="K51" s="6">
        <v>99.6</v>
      </c>
      <c r="L51" s="6">
        <v>97.3</v>
      </c>
      <c r="M51" s="6">
        <v>82.5</v>
      </c>
      <c r="N51" s="6">
        <v>40.700000000000003</v>
      </c>
      <c r="O51" s="6">
        <v>6.6</v>
      </c>
      <c r="P51" s="8">
        <f t="shared" si="0"/>
        <v>66.27082127659574</v>
      </c>
      <c r="Q51" s="6"/>
      <c r="R51" s="6"/>
    </row>
    <row r="52" spans="1:18" x14ac:dyDescent="0.25">
      <c r="A52" s="6" t="s">
        <v>225</v>
      </c>
      <c r="B52" s="6">
        <f>VLOOKUP(A52,[2]Metadata_isolates!$A$1:$B$370,2,FALSE)</f>
        <v>377</v>
      </c>
      <c r="C52" s="7">
        <v>3578.9</v>
      </c>
      <c r="D52" s="6">
        <v>21.3</v>
      </c>
      <c r="E52" s="7">
        <v>2680</v>
      </c>
      <c r="F52" s="6">
        <v>24.6</v>
      </c>
      <c r="G52" s="7">
        <v>87811</v>
      </c>
      <c r="H52" s="7">
        <v>4597</v>
      </c>
      <c r="I52" s="7">
        <v>3124</v>
      </c>
      <c r="J52" s="7">
        <v>314264964</v>
      </c>
      <c r="K52" s="6">
        <v>99.6</v>
      </c>
      <c r="L52" s="6">
        <v>97.4</v>
      </c>
      <c r="M52" s="6">
        <v>85.8</v>
      </c>
      <c r="N52" s="6">
        <v>46</v>
      </c>
      <c r="O52" s="6">
        <v>7.3</v>
      </c>
      <c r="P52" s="8">
        <f t="shared" si="0"/>
        <v>66.864885957446802</v>
      </c>
      <c r="Q52" s="6"/>
      <c r="R52" s="6"/>
    </row>
    <row r="53" spans="1:18" x14ac:dyDescent="0.25">
      <c r="A53" s="6" t="s">
        <v>247</v>
      </c>
      <c r="B53" s="6">
        <f>VLOOKUP(A53,[2]Metadata_isolates!$A$1:$B$370,2,FALSE)</f>
        <v>377</v>
      </c>
      <c r="C53" s="7">
        <v>3364.2</v>
      </c>
      <c r="D53" s="6">
        <v>21.4</v>
      </c>
      <c r="E53" s="7">
        <v>2535</v>
      </c>
      <c r="F53" s="6">
        <v>24.5</v>
      </c>
      <c r="G53" s="7">
        <v>93982</v>
      </c>
      <c r="H53" s="7">
        <v>4241</v>
      </c>
      <c r="I53" s="7">
        <v>2711</v>
      </c>
      <c r="J53" s="7">
        <v>316172331</v>
      </c>
      <c r="K53" s="6">
        <v>99.6</v>
      </c>
      <c r="L53" s="6">
        <v>97.6</v>
      </c>
      <c r="M53" s="6">
        <v>87.1</v>
      </c>
      <c r="N53" s="6">
        <v>44.2</v>
      </c>
      <c r="O53" s="6">
        <v>6.6</v>
      </c>
      <c r="P53" s="8">
        <f t="shared" si="0"/>
        <v>67.270708723404255</v>
      </c>
      <c r="Q53" s="6"/>
      <c r="R53" s="6"/>
    </row>
    <row r="54" spans="1:18" x14ac:dyDescent="0.25">
      <c r="A54" s="6" t="s">
        <v>415</v>
      </c>
      <c r="B54" s="6">
        <f>VLOOKUP(A54,[2]Metadata_isolates!$A$1:$B$370,2,FALSE)</f>
        <v>377</v>
      </c>
      <c r="C54" s="7">
        <v>3264.8</v>
      </c>
      <c r="D54" s="6">
        <v>20.9</v>
      </c>
      <c r="E54" s="7">
        <v>2464</v>
      </c>
      <c r="F54" s="6">
        <v>24.3</v>
      </c>
      <c r="G54" s="7">
        <v>97658</v>
      </c>
      <c r="H54" s="7">
        <v>4091</v>
      </c>
      <c r="I54" s="7">
        <v>2839.1</v>
      </c>
      <c r="J54" s="7">
        <v>318838435</v>
      </c>
      <c r="K54" s="6">
        <v>99.5</v>
      </c>
      <c r="L54" s="6">
        <v>96.9</v>
      </c>
      <c r="M54" s="6">
        <v>84.6</v>
      </c>
      <c r="N54" s="6">
        <v>41.9</v>
      </c>
      <c r="O54" s="6">
        <v>7</v>
      </c>
      <c r="P54" s="8">
        <f t="shared" si="0"/>
        <v>67.837964893617027</v>
      </c>
      <c r="Q54" s="6"/>
      <c r="R54" s="6"/>
    </row>
    <row r="55" spans="1:18" x14ac:dyDescent="0.25">
      <c r="A55" s="6" t="s">
        <v>348</v>
      </c>
      <c r="B55" s="6">
        <f>VLOOKUP(A55,[2]Metadata_isolates!$A$1:$B$370,2,FALSE)</f>
        <v>377</v>
      </c>
      <c r="C55" s="7">
        <v>3885.3</v>
      </c>
      <c r="D55" s="6">
        <v>16.399999999999999</v>
      </c>
      <c r="E55" s="7">
        <v>2828</v>
      </c>
      <c r="F55" s="6">
        <v>20.399999999999999</v>
      </c>
      <c r="G55" s="7">
        <v>82881</v>
      </c>
      <c r="H55" s="7">
        <v>5080</v>
      </c>
      <c r="I55" s="7">
        <v>7138</v>
      </c>
      <c r="J55" s="7">
        <v>322013519</v>
      </c>
      <c r="K55" s="6">
        <v>95.3</v>
      </c>
      <c r="L55" s="6">
        <v>88.4</v>
      </c>
      <c r="M55" s="6">
        <v>55.2</v>
      </c>
      <c r="N55" s="6">
        <v>3.7</v>
      </c>
      <c r="O55" s="6">
        <v>0</v>
      </c>
      <c r="P55" s="8">
        <f t="shared" si="0"/>
        <v>68.51351468085106</v>
      </c>
      <c r="Q55" s="6"/>
      <c r="R55" s="6"/>
    </row>
    <row r="56" spans="1:18" x14ac:dyDescent="0.25">
      <c r="A56" s="6" t="s">
        <v>126</v>
      </c>
      <c r="B56" s="6">
        <f>VLOOKUP(A56,[2]Metadata_isolates!$A$1:$B$370,2,FALSE)</f>
        <v>1499</v>
      </c>
      <c r="C56" s="7">
        <v>3577</v>
      </c>
      <c r="D56" s="6">
        <v>20.5</v>
      </c>
      <c r="E56" s="7">
        <v>2588</v>
      </c>
      <c r="F56" s="6">
        <v>24.1</v>
      </c>
      <c r="G56" s="7">
        <v>93260</v>
      </c>
      <c r="H56" s="7">
        <v>4725</v>
      </c>
      <c r="I56" s="7">
        <v>3312.6</v>
      </c>
      <c r="J56" s="7">
        <v>333595282</v>
      </c>
      <c r="K56" s="6">
        <v>99.5</v>
      </c>
      <c r="L56" s="6">
        <v>96.3</v>
      </c>
      <c r="M56" s="6">
        <v>80.3</v>
      </c>
      <c r="N56" s="6">
        <v>41.7</v>
      </c>
      <c r="O56" s="6">
        <v>7.7</v>
      </c>
      <c r="P56" s="8">
        <f t="shared" si="0"/>
        <v>70.977719574468082</v>
      </c>
      <c r="Q56" s="6"/>
      <c r="R56" s="6"/>
    </row>
    <row r="57" spans="1:18" x14ac:dyDescent="0.25">
      <c r="A57" s="6" t="s">
        <v>214</v>
      </c>
      <c r="B57" s="6">
        <f>VLOOKUP(A57,[2]Metadata_isolates!$A$1:$B$370,2,FALSE)</f>
        <v>377</v>
      </c>
      <c r="C57" s="7">
        <v>3786.8</v>
      </c>
      <c r="D57" s="6">
        <v>21.7</v>
      </c>
      <c r="E57" s="7">
        <v>2712</v>
      </c>
      <c r="F57" s="6">
        <v>25</v>
      </c>
      <c r="G57" s="7">
        <v>89642</v>
      </c>
      <c r="H57" s="7">
        <v>5004</v>
      </c>
      <c r="I57" s="7">
        <v>3369.5</v>
      </c>
      <c r="J57" s="7">
        <v>339452343</v>
      </c>
      <c r="K57" s="6">
        <v>99.7</v>
      </c>
      <c r="L57" s="6">
        <v>97.9</v>
      </c>
      <c r="M57" s="6">
        <v>87.5</v>
      </c>
      <c r="N57" s="6">
        <v>49.4</v>
      </c>
      <c r="O57" s="6">
        <v>8</v>
      </c>
      <c r="P57" s="8">
        <f t="shared" si="0"/>
        <v>72.223902765957448</v>
      </c>
      <c r="Q57" s="6"/>
      <c r="R57" s="6"/>
    </row>
    <row r="58" spans="1:18" x14ac:dyDescent="0.25">
      <c r="A58" s="6" t="s">
        <v>377</v>
      </c>
      <c r="B58" s="6">
        <f>VLOOKUP(A58,[2]Metadata_isolates!$A$1:$B$370,2,FALSE)</f>
        <v>377</v>
      </c>
      <c r="C58" s="7">
        <v>3676.3</v>
      </c>
      <c r="D58" s="6">
        <v>16.899999999999999</v>
      </c>
      <c r="E58" s="7">
        <v>2721</v>
      </c>
      <c r="F58" s="6">
        <v>20.5</v>
      </c>
      <c r="G58" s="7">
        <v>92847</v>
      </c>
      <c r="H58" s="7">
        <v>4714</v>
      </c>
      <c r="I58" s="7">
        <v>5970.5</v>
      </c>
      <c r="J58" s="7">
        <v>341337948</v>
      </c>
      <c r="K58" s="6">
        <v>96.2</v>
      </c>
      <c r="L58" s="6">
        <v>89.9</v>
      </c>
      <c r="M58" s="6">
        <v>56.1</v>
      </c>
      <c r="N58" s="6">
        <v>3.5</v>
      </c>
      <c r="O58" s="6">
        <v>0</v>
      </c>
      <c r="P58" s="8">
        <f t="shared" si="0"/>
        <v>72.62509531914894</v>
      </c>
      <c r="Q58" s="6"/>
      <c r="R58" s="6"/>
    </row>
    <row r="59" spans="1:18" x14ac:dyDescent="0.25">
      <c r="A59" s="6" t="s">
        <v>397</v>
      </c>
      <c r="B59" s="6">
        <f>VLOOKUP(A59,[2]Metadata_isolates!$A$1:$B$370,2,FALSE)</f>
        <v>377</v>
      </c>
      <c r="C59" s="7">
        <v>4966.5</v>
      </c>
      <c r="D59" s="6">
        <v>21.6</v>
      </c>
      <c r="E59" s="7">
        <v>3628</v>
      </c>
      <c r="F59" s="6">
        <v>24.9</v>
      </c>
      <c r="G59" s="7">
        <v>69756</v>
      </c>
      <c r="H59" s="7">
        <v>6750</v>
      </c>
      <c r="I59" s="7">
        <v>4227.6000000000004</v>
      </c>
      <c r="J59" s="7">
        <v>346442308</v>
      </c>
      <c r="K59" s="6">
        <v>99.8</v>
      </c>
      <c r="L59" s="6">
        <v>97.7</v>
      </c>
      <c r="M59" s="6">
        <v>86.4</v>
      </c>
      <c r="N59" s="6">
        <v>49</v>
      </c>
      <c r="O59" s="6">
        <v>8.5</v>
      </c>
      <c r="P59" s="8">
        <f t="shared" si="0"/>
        <v>73.711129361702135</v>
      </c>
      <c r="Q59" s="6"/>
      <c r="R59" s="6"/>
    </row>
    <row r="60" spans="1:18" x14ac:dyDescent="0.25">
      <c r="A60" s="6" t="s">
        <v>182</v>
      </c>
      <c r="B60" s="6">
        <f>VLOOKUP(A60,[2]Metadata_isolates!$A$1:$B$370,2,FALSE)</f>
        <v>377</v>
      </c>
      <c r="C60" s="7">
        <v>4933.5</v>
      </c>
      <c r="D60" s="6">
        <v>20.3</v>
      </c>
      <c r="E60" s="7">
        <v>3557.5</v>
      </c>
      <c r="F60" s="6">
        <v>23.9</v>
      </c>
      <c r="G60" s="7">
        <v>71174</v>
      </c>
      <c r="H60" s="7">
        <v>6886</v>
      </c>
      <c r="I60" s="7">
        <v>4514.1000000000004</v>
      </c>
      <c r="J60" s="7">
        <v>351140162</v>
      </c>
      <c r="K60" s="6">
        <v>99.5</v>
      </c>
      <c r="L60" s="6">
        <v>96</v>
      </c>
      <c r="M60" s="6">
        <v>78.3</v>
      </c>
      <c r="N60" s="6">
        <v>39.5</v>
      </c>
      <c r="O60" s="6">
        <v>6.2</v>
      </c>
      <c r="P60" s="8">
        <f t="shared" si="0"/>
        <v>74.71067276595744</v>
      </c>
      <c r="Q60" s="6"/>
      <c r="R60" s="6"/>
    </row>
    <row r="61" spans="1:18" x14ac:dyDescent="0.25">
      <c r="A61" s="6" t="s">
        <v>133</v>
      </c>
      <c r="B61" s="6">
        <f>VLOOKUP(A61,[2]Metadata_isolates!$A$1:$B$370,2,FALSE)</f>
        <v>377</v>
      </c>
      <c r="C61" s="7">
        <v>3749.6</v>
      </c>
      <c r="D61" s="6">
        <v>20.7</v>
      </c>
      <c r="E61" s="7">
        <v>2560</v>
      </c>
      <c r="F61" s="6">
        <v>24.3</v>
      </c>
      <c r="G61" s="7">
        <v>94125</v>
      </c>
      <c r="H61" s="7">
        <v>5035</v>
      </c>
      <c r="I61" s="7">
        <v>3705</v>
      </c>
      <c r="J61" s="7">
        <v>352934238</v>
      </c>
      <c r="K61" s="6">
        <v>99.7</v>
      </c>
      <c r="L61" s="6">
        <v>96.6</v>
      </c>
      <c r="M61" s="6">
        <v>80.5</v>
      </c>
      <c r="N61" s="6">
        <v>43.4</v>
      </c>
      <c r="O61" s="6">
        <v>8.6</v>
      </c>
      <c r="P61" s="8">
        <f t="shared" si="0"/>
        <v>75.092391063829794</v>
      </c>
      <c r="Q61" s="6"/>
      <c r="R61" s="6"/>
    </row>
    <row r="62" spans="1:18" x14ac:dyDescent="0.25">
      <c r="A62" s="6" t="s">
        <v>340</v>
      </c>
      <c r="B62" s="6">
        <f>VLOOKUP(A62,[2]Metadata_isolates!$A$1:$B$370,2,FALSE)</f>
        <v>377</v>
      </c>
      <c r="C62" s="7">
        <v>3658.3</v>
      </c>
      <c r="D62" s="6">
        <v>16.399999999999999</v>
      </c>
      <c r="E62" s="7">
        <v>2657</v>
      </c>
      <c r="F62" s="6">
        <v>20.2</v>
      </c>
      <c r="G62" s="7">
        <v>97579</v>
      </c>
      <c r="H62" s="7">
        <v>4747</v>
      </c>
      <c r="I62" s="7">
        <v>5954.5</v>
      </c>
      <c r="J62" s="7">
        <v>356968406</v>
      </c>
      <c r="K62" s="6">
        <v>95.7</v>
      </c>
      <c r="L62" s="6">
        <v>88.4</v>
      </c>
      <c r="M62" s="6">
        <v>52.5</v>
      </c>
      <c r="N62" s="6">
        <v>2.4</v>
      </c>
      <c r="O62" s="6">
        <v>0</v>
      </c>
      <c r="P62" s="8">
        <f t="shared" si="0"/>
        <v>75.950724680851067</v>
      </c>
      <c r="Q62" s="6"/>
      <c r="R62" s="6"/>
    </row>
    <row r="63" spans="1:18" x14ac:dyDescent="0.25">
      <c r="A63" s="6" t="s">
        <v>369</v>
      </c>
      <c r="B63" s="6">
        <f>VLOOKUP(A63,[2]Metadata_isolates!$A$1:$B$370,2,FALSE)</f>
        <v>377</v>
      </c>
      <c r="C63" s="7">
        <v>4386.2</v>
      </c>
      <c r="D63" s="6">
        <v>17</v>
      </c>
      <c r="E63" s="7">
        <v>3090</v>
      </c>
      <c r="F63" s="6">
        <v>20.8</v>
      </c>
      <c r="G63" s="7">
        <v>81556</v>
      </c>
      <c r="H63" s="7">
        <v>5965</v>
      </c>
      <c r="I63" s="7">
        <v>8211.7999999999993</v>
      </c>
      <c r="J63" s="7">
        <v>357719992</v>
      </c>
      <c r="K63" s="6">
        <v>96.4</v>
      </c>
      <c r="L63" s="6">
        <v>90.4</v>
      </c>
      <c r="M63" s="6">
        <v>60.2</v>
      </c>
      <c r="N63" s="6">
        <v>6.4</v>
      </c>
      <c r="O63" s="6">
        <v>0</v>
      </c>
      <c r="P63" s="8">
        <f t="shared" si="0"/>
        <v>76.11063659574468</v>
      </c>
      <c r="Q63" s="6"/>
      <c r="R63" s="6"/>
    </row>
    <row r="64" spans="1:18" x14ac:dyDescent="0.25">
      <c r="A64" s="6" t="s">
        <v>157</v>
      </c>
      <c r="B64" s="6">
        <f>VLOOKUP(A64,[2]Metadata_isolates!$A$1:$B$370,2,FALSE)</f>
        <v>377</v>
      </c>
      <c r="C64" s="7">
        <v>5351</v>
      </c>
      <c r="D64" s="6">
        <v>20.7</v>
      </c>
      <c r="E64" s="7">
        <v>3637</v>
      </c>
      <c r="F64" s="6">
        <v>24.2</v>
      </c>
      <c r="G64" s="7">
        <v>67128</v>
      </c>
      <c r="H64" s="7">
        <v>7876</v>
      </c>
      <c r="I64" s="7">
        <v>5334.1</v>
      </c>
      <c r="J64" s="7">
        <v>359201014</v>
      </c>
      <c r="K64" s="6">
        <v>99.7</v>
      </c>
      <c r="L64" s="6">
        <v>96.7</v>
      </c>
      <c r="M64" s="6">
        <v>80.900000000000006</v>
      </c>
      <c r="N64" s="6">
        <v>42.7</v>
      </c>
      <c r="O64" s="6">
        <v>6.7</v>
      </c>
      <c r="P64" s="8">
        <f t="shared" si="0"/>
        <v>76.425747659574469</v>
      </c>
      <c r="Q64" s="6"/>
      <c r="R64" s="6"/>
    </row>
    <row r="65" spans="1:18" x14ac:dyDescent="0.25">
      <c r="A65" s="6" t="s">
        <v>391</v>
      </c>
      <c r="B65" s="6">
        <f>VLOOKUP(A65,[2]Metadata_isolates!$A$1:$B$370,2,FALSE)</f>
        <v>377</v>
      </c>
      <c r="C65" s="7">
        <v>3819.3</v>
      </c>
      <c r="D65" s="6">
        <v>21</v>
      </c>
      <c r="E65" s="7">
        <v>2774</v>
      </c>
      <c r="F65" s="6">
        <v>24.4</v>
      </c>
      <c r="G65" s="7">
        <v>95099</v>
      </c>
      <c r="H65" s="7">
        <v>5055</v>
      </c>
      <c r="I65" s="7">
        <v>3264.4</v>
      </c>
      <c r="J65" s="7">
        <v>363211649</v>
      </c>
      <c r="K65" s="6">
        <v>99.5</v>
      </c>
      <c r="L65" s="6">
        <v>97</v>
      </c>
      <c r="M65" s="6">
        <v>84.4</v>
      </c>
      <c r="N65" s="6">
        <v>43.3</v>
      </c>
      <c r="O65" s="6">
        <v>7.1</v>
      </c>
      <c r="P65" s="8">
        <f t="shared" si="0"/>
        <v>77.279074255319145</v>
      </c>
      <c r="Q65" s="6"/>
      <c r="R65" s="6"/>
    </row>
    <row r="66" spans="1:18" x14ac:dyDescent="0.25">
      <c r="A66" s="6" t="s">
        <v>347</v>
      </c>
      <c r="B66" s="6">
        <f>VLOOKUP(A66,[2]Metadata_isolates!$A$1:$B$370,2,FALSE)</f>
        <v>377</v>
      </c>
      <c r="C66" s="7">
        <v>5437.1</v>
      </c>
      <c r="D66" s="6">
        <v>20</v>
      </c>
      <c r="E66" s="7">
        <v>3955.5</v>
      </c>
      <c r="F66" s="6">
        <v>22.9</v>
      </c>
      <c r="G66" s="7">
        <v>67010</v>
      </c>
      <c r="H66" s="7">
        <v>7424</v>
      </c>
      <c r="I66" s="7">
        <v>4571.7</v>
      </c>
      <c r="J66" s="7">
        <v>364340368</v>
      </c>
      <c r="K66" s="6">
        <v>99.8</v>
      </c>
      <c r="L66" s="6">
        <v>95.4</v>
      </c>
      <c r="M66" s="6">
        <v>76.3</v>
      </c>
      <c r="N66" s="6">
        <v>25.5</v>
      </c>
      <c r="O66" s="6">
        <v>1.7</v>
      </c>
      <c r="P66" s="8">
        <f t="shared" ref="P66:P128" si="1">J66/4700000</f>
        <v>77.519227234042546</v>
      </c>
      <c r="Q66" s="6"/>
      <c r="R66" s="6"/>
    </row>
    <row r="67" spans="1:18" x14ac:dyDescent="0.25">
      <c r="A67" s="6" t="s">
        <v>464</v>
      </c>
      <c r="B67" s="6">
        <f>VLOOKUP(A67,[2]Metadata_isolates!$A$1:$B$370,2,FALSE)</f>
        <v>377</v>
      </c>
      <c r="C67" s="7">
        <v>5557.6</v>
      </c>
      <c r="D67" s="6">
        <v>21.7</v>
      </c>
      <c r="E67" s="7">
        <v>3974</v>
      </c>
      <c r="F67" s="6">
        <v>24.9</v>
      </c>
      <c r="G67" s="7">
        <v>65904</v>
      </c>
      <c r="H67" s="7">
        <v>7783</v>
      </c>
      <c r="I67" s="7">
        <v>5005.1000000000004</v>
      </c>
      <c r="J67" s="7">
        <v>366268986</v>
      </c>
      <c r="K67" s="6">
        <v>99.8</v>
      </c>
      <c r="L67" s="6">
        <v>97.8</v>
      </c>
      <c r="M67" s="6">
        <v>86.3</v>
      </c>
      <c r="N67" s="6">
        <v>49</v>
      </c>
      <c r="O67" s="6">
        <v>8.1</v>
      </c>
      <c r="P67" s="8">
        <f t="shared" si="1"/>
        <v>77.929571489361706</v>
      </c>
      <c r="Q67" s="6"/>
      <c r="R67" s="6"/>
    </row>
    <row r="68" spans="1:18" x14ac:dyDescent="0.25">
      <c r="A68" s="6" t="s">
        <v>478</v>
      </c>
      <c r="B68" s="6">
        <f>VLOOKUP(A68,[2]Metadata_isolates!$A$1:$B$370,2,FALSE)</f>
        <v>377</v>
      </c>
      <c r="C68" s="7">
        <v>7076.6</v>
      </c>
      <c r="D68" s="6">
        <v>20.100000000000001</v>
      </c>
      <c r="E68" s="7">
        <v>4971.5</v>
      </c>
      <c r="F68" s="6">
        <v>23.1</v>
      </c>
      <c r="G68" s="7">
        <v>51812</v>
      </c>
      <c r="H68" s="7">
        <v>10106</v>
      </c>
      <c r="I68" s="7">
        <v>6383</v>
      </c>
      <c r="J68" s="7">
        <v>366652029</v>
      </c>
      <c r="K68" s="6">
        <v>99.8</v>
      </c>
      <c r="L68" s="6">
        <v>95.6</v>
      </c>
      <c r="M68" s="6">
        <v>77.2</v>
      </c>
      <c r="N68" s="6">
        <v>28.5</v>
      </c>
      <c r="O68" s="6">
        <v>1.9</v>
      </c>
      <c r="P68" s="8">
        <f t="shared" si="1"/>
        <v>78.011070000000004</v>
      </c>
      <c r="Q68" s="6"/>
      <c r="R68" s="6"/>
    </row>
    <row r="69" spans="1:18" x14ac:dyDescent="0.25">
      <c r="A69" s="6" t="s">
        <v>174</v>
      </c>
      <c r="B69" s="6">
        <f>VLOOKUP(A69,[2]Metadata_isolates!$A$1:$B$370,2,FALSE)</f>
        <v>377</v>
      </c>
      <c r="C69" s="7">
        <v>4186.6000000000004</v>
      </c>
      <c r="D69" s="6">
        <v>20.8</v>
      </c>
      <c r="E69" s="7">
        <v>3006</v>
      </c>
      <c r="F69" s="6">
        <v>24.4</v>
      </c>
      <c r="G69" s="7">
        <v>87806</v>
      </c>
      <c r="H69" s="7">
        <v>5709</v>
      </c>
      <c r="I69" s="7">
        <v>4353.6000000000004</v>
      </c>
      <c r="J69" s="7">
        <v>367606597</v>
      </c>
      <c r="K69" s="6">
        <v>99.6</v>
      </c>
      <c r="L69" s="6">
        <v>96.8</v>
      </c>
      <c r="M69" s="6">
        <v>82.5</v>
      </c>
      <c r="N69" s="6">
        <v>43.8</v>
      </c>
      <c r="O69" s="6">
        <v>7.3</v>
      </c>
      <c r="P69" s="8">
        <f t="shared" si="1"/>
        <v>78.214169574468087</v>
      </c>
      <c r="Q69" s="6"/>
      <c r="R69" s="6"/>
    </row>
    <row r="70" spans="1:18" x14ac:dyDescent="0.25">
      <c r="A70" s="6" t="s">
        <v>284</v>
      </c>
      <c r="B70" s="6">
        <f>VLOOKUP(A70,[2]Metadata_isolates!$A$1:$B$370,2,FALSE)</f>
        <v>377</v>
      </c>
      <c r="C70" s="7">
        <v>3632.6</v>
      </c>
      <c r="D70" s="6">
        <v>21.6</v>
      </c>
      <c r="E70" s="7">
        <v>2731</v>
      </c>
      <c r="F70" s="6">
        <v>24.9</v>
      </c>
      <c r="G70" s="7">
        <v>102184</v>
      </c>
      <c r="H70" s="7">
        <v>4645</v>
      </c>
      <c r="I70" s="7">
        <v>3037.6</v>
      </c>
      <c r="J70" s="7">
        <v>371190170</v>
      </c>
      <c r="K70" s="6">
        <v>99.7</v>
      </c>
      <c r="L70" s="6">
        <v>97.8</v>
      </c>
      <c r="M70" s="6">
        <v>87.2</v>
      </c>
      <c r="N70" s="6">
        <v>48.4</v>
      </c>
      <c r="O70" s="6">
        <v>7.9</v>
      </c>
      <c r="P70" s="8">
        <f t="shared" si="1"/>
        <v>78.976631914893616</v>
      </c>
      <c r="Q70" s="6"/>
      <c r="R70" s="6"/>
    </row>
    <row r="71" spans="1:18" x14ac:dyDescent="0.25">
      <c r="A71" s="6" t="s">
        <v>373</v>
      </c>
      <c r="B71" s="6">
        <f>VLOOKUP(A71,[2]Metadata_isolates!$A$1:$B$370,2,FALSE)</f>
        <v>377</v>
      </c>
      <c r="C71" s="7">
        <v>4713.2</v>
      </c>
      <c r="D71" s="6">
        <v>17.2</v>
      </c>
      <c r="E71" s="7">
        <v>3336</v>
      </c>
      <c r="F71" s="6">
        <v>21</v>
      </c>
      <c r="G71" s="7">
        <v>79039</v>
      </c>
      <c r="H71" s="7">
        <v>6495</v>
      </c>
      <c r="I71" s="7">
        <v>5654.6</v>
      </c>
      <c r="J71" s="7">
        <v>372524940</v>
      </c>
      <c r="K71" s="6">
        <v>96.6</v>
      </c>
      <c r="L71" s="6">
        <v>90.6</v>
      </c>
      <c r="M71" s="6">
        <v>61.8</v>
      </c>
      <c r="N71" s="6">
        <v>7.3</v>
      </c>
      <c r="O71" s="6">
        <v>0</v>
      </c>
      <c r="P71" s="8">
        <f t="shared" si="1"/>
        <v>79.260625531914897</v>
      </c>
      <c r="Q71" s="6"/>
      <c r="R71" s="6"/>
    </row>
    <row r="72" spans="1:18" x14ac:dyDescent="0.25">
      <c r="A72" s="6" t="s">
        <v>269</v>
      </c>
      <c r="B72" s="6">
        <f>VLOOKUP(A72,[2]Metadata_isolates!$A$1:$B$370,2,FALSE)</f>
        <v>377</v>
      </c>
      <c r="C72" s="7">
        <v>3599.9</v>
      </c>
      <c r="D72" s="6">
        <v>21.3</v>
      </c>
      <c r="E72" s="7">
        <v>2677</v>
      </c>
      <c r="F72" s="6">
        <v>24.5</v>
      </c>
      <c r="G72" s="7">
        <v>103788</v>
      </c>
      <c r="H72" s="7">
        <v>4626</v>
      </c>
      <c r="I72" s="7">
        <v>3533.5</v>
      </c>
      <c r="J72" s="7">
        <v>373627814</v>
      </c>
      <c r="K72" s="6">
        <v>99.7</v>
      </c>
      <c r="L72" s="6">
        <v>97.6</v>
      </c>
      <c r="M72" s="6">
        <v>85.9</v>
      </c>
      <c r="N72" s="6">
        <v>43.8</v>
      </c>
      <c r="O72" s="6">
        <v>6.4</v>
      </c>
      <c r="P72" s="8">
        <f t="shared" si="1"/>
        <v>79.495279574468086</v>
      </c>
      <c r="Q72" s="6"/>
      <c r="R72" s="6"/>
    </row>
    <row r="73" spans="1:18" x14ac:dyDescent="0.25">
      <c r="A73" s="6" t="s">
        <v>458</v>
      </c>
      <c r="B73" s="6">
        <f>VLOOKUP(A73,[2]Metadata_isolates!$A$1:$B$370,2,FALSE)</f>
        <v>377</v>
      </c>
      <c r="C73" s="7">
        <v>5530.7</v>
      </c>
      <c r="D73" s="6">
        <v>21.6</v>
      </c>
      <c r="E73" s="7">
        <v>4104</v>
      </c>
      <c r="F73" s="6">
        <v>24.9</v>
      </c>
      <c r="G73" s="7">
        <v>67826</v>
      </c>
      <c r="H73" s="7">
        <v>7480</v>
      </c>
      <c r="I73" s="7">
        <v>4596.3999999999996</v>
      </c>
      <c r="J73" s="7">
        <v>375124507</v>
      </c>
      <c r="K73" s="6">
        <v>99.8</v>
      </c>
      <c r="L73" s="6">
        <v>97.7</v>
      </c>
      <c r="M73" s="6">
        <v>86.5</v>
      </c>
      <c r="N73" s="6">
        <v>48.6</v>
      </c>
      <c r="O73" s="6">
        <v>7.6</v>
      </c>
      <c r="P73" s="8">
        <f t="shared" si="1"/>
        <v>79.813724893617021</v>
      </c>
      <c r="Q73" s="6"/>
      <c r="R73" s="6"/>
    </row>
    <row r="74" spans="1:18" x14ac:dyDescent="0.25">
      <c r="A74" s="6" t="s">
        <v>255</v>
      </c>
      <c r="B74" s="6">
        <f>VLOOKUP(A74,[2]Metadata_isolates!$A$1:$B$370,2,FALSE)</f>
        <v>377</v>
      </c>
      <c r="C74" s="7">
        <v>3159.7</v>
      </c>
      <c r="D74" s="6">
        <v>20.8</v>
      </c>
      <c r="E74" s="7">
        <v>2322</v>
      </c>
      <c r="F74" s="6">
        <v>24.1</v>
      </c>
      <c r="G74" s="7">
        <v>118996</v>
      </c>
      <c r="H74" s="7">
        <v>3911</v>
      </c>
      <c r="I74" s="7">
        <v>2745.6</v>
      </c>
      <c r="J74" s="7">
        <v>375989891</v>
      </c>
      <c r="K74" s="6">
        <v>99.6</v>
      </c>
      <c r="L74" s="6">
        <v>97.2</v>
      </c>
      <c r="M74" s="6">
        <v>82.7</v>
      </c>
      <c r="N74" s="6">
        <v>39.799999999999997</v>
      </c>
      <c r="O74" s="6">
        <v>6.3</v>
      </c>
      <c r="P74" s="8">
        <f t="shared" si="1"/>
        <v>79.997849148936169</v>
      </c>
      <c r="Q74" s="6"/>
      <c r="R74" s="6"/>
    </row>
    <row r="75" spans="1:18" x14ac:dyDescent="0.25">
      <c r="A75" s="6" t="s">
        <v>319</v>
      </c>
      <c r="B75" s="6">
        <f>VLOOKUP(A75,[2]Metadata_isolates!$A$1:$B$370,2,FALSE)</f>
        <v>377</v>
      </c>
      <c r="C75" s="7">
        <v>5350</v>
      </c>
      <c r="D75" s="6">
        <v>18.100000000000001</v>
      </c>
      <c r="E75" s="7">
        <v>3876</v>
      </c>
      <c r="F75" s="6">
        <v>21.4</v>
      </c>
      <c r="G75" s="7">
        <v>70702</v>
      </c>
      <c r="H75" s="7">
        <v>7554</v>
      </c>
      <c r="I75" s="7">
        <v>7616.4</v>
      </c>
      <c r="J75" s="7">
        <v>378252498</v>
      </c>
      <c r="K75" s="6">
        <v>97.8</v>
      </c>
      <c r="L75" s="6">
        <v>92.5</v>
      </c>
      <c r="M75" s="6">
        <v>67</v>
      </c>
      <c r="N75" s="6">
        <v>11</v>
      </c>
      <c r="O75" s="6">
        <v>0</v>
      </c>
      <c r="P75" s="8">
        <f t="shared" si="1"/>
        <v>80.479254893617025</v>
      </c>
      <c r="Q75" s="6"/>
      <c r="R75" s="6"/>
    </row>
    <row r="76" spans="1:18" x14ac:dyDescent="0.25">
      <c r="A76" s="6" t="s">
        <v>421</v>
      </c>
      <c r="B76" s="6">
        <f>VLOOKUP(A76,[2]Metadata_isolates!$A$1:$B$370,2,FALSE)</f>
        <v>377</v>
      </c>
      <c r="C76" s="7">
        <v>4049</v>
      </c>
      <c r="D76" s="6">
        <v>20.8</v>
      </c>
      <c r="E76" s="7">
        <v>2930</v>
      </c>
      <c r="F76" s="6">
        <v>24.2</v>
      </c>
      <c r="G76" s="7">
        <v>94233</v>
      </c>
      <c r="H76" s="7">
        <v>5444</v>
      </c>
      <c r="I76" s="7">
        <v>3495.2</v>
      </c>
      <c r="J76" s="7">
        <v>381549989</v>
      </c>
      <c r="K76" s="6">
        <v>99.5</v>
      </c>
      <c r="L76" s="6">
        <v>96.9</v>
      </c>
      <c r="M76" s="6">
        <v>83.6</v>
      </c>
      <c r="N76" s="6">
        <v>41.8</v>
      </c>
      <c r="O76" s="6">
        <v>6.5</v>
      </c>
      <c r="P76" s="8">
        <f t="shared" si="1"/>
        <v>81.180848723404253</v>
      </c>
      <c r="Q76" s="6"/>
      <c r="R76" s="6"/>
    </row>
    <row r="77" spans="1:18" x14ac:dyDescent="0.25">
      <c r="A77" s="6" t="s">
        <v>251</v>
      </c>
      <c r="B77" s="6">
        <f>VLOOKUP(A77,[2]Metadata_isolates!$A$1:$B$370,2,FALSE)</f>
        <v>377</v>
      </c>
      <c r="C77" s="7">
        <v>4243.6000000000004</v>
      </c>
      <c r="D77" s="6">
        <v>21.2</v>
      </c>
      <c r="E77" s="7">
        <v>2943</v>
      </c>
      <c r="F77" s="6">
        <v>24.6</v>
      </c>
      <c r="G77" s="7">
        <v>90001</v>
      </c>
      <c r="H77" s="7">
        <v>5763</v>
      </c>
      <c r="I77" s="7">
        <v>4296.8999999999996</v>
      </c>
      <c r="J77" s="7">
        <v>381926417</v>
      </c>
      <c r="K77" s="6">
        <v>99.5</v>
      </c>
      <c r="L77" s="6">
        <v>97.2</v>
      </c>
      <c r="M77" s="6">
        <v>86.5</v>
      </c>
      <c r="N77" s="6">
        <v>45.5</v>
      </c>
      <c r="O77" s="6">
        <v>6.2</v>
      </c>
      <c r="P77" s="8">
        <f t="shared" si="1"/>
        <v>81.260939787234037</v>
      </c>
      <c r="Q77" s="6"/>
      <c r="R77" s="6"/>
    </row>
    <row r="78" spans="1:18" x14ac:dyDescent="0.25">
      <c r="A78" s="6" t="s">
        <v>413</v>
      </c>
      <c r="B78" s="6">
        <f>VLOOKUP(A78,[2]Metadata_isolates!$A$1:$B$370,2,FALSE)</f>
        <v>2640</v>
      </c>
      <c r="C78" s="7">
        <v>5394.5</v>
      </c>
      <c r="D78" s="6">
        <v>22.1</v>
      </c>
      <c r="E78" s="7">
        <v>3976</v>
      </c>
      <c r="F78" s="6">
        <v>25.3</v>
      </c>
      <c r="G78" s="7">
        <v>71340</v>
      </c>
      <c r="H78" s="7">
        <v>7294</v>
      </c>
      <c r="I78" s="7">
        <v>4546.1000000000004</v>
      </c>
      <c r="J78" s="7">
        <v>384840132</v>
      </c>
      <c r="K78" s="6">
        <v>99.8</v>
      </c>
      <c r="L78" s="6">
        <v>98</v>
      </c>
      <c r="M78" s="6">
        <v>89.1</v>
      </c>
      <c r="N78" s="6">
        <v>53.8</v>
      </c>
      <c r="O78" s="6">
        <v>9.1</v>
      </c>
      <c r="P78" s="8">
        <f t="shared" si="1"/>
        <v>81.880879148936174</v>
      </c>
      <c r="Q78" s="6"/>
      <c r="R78" s="6"/>
    </row>
    <row r="79" spans="1:18" x14ac:dyDescent="0.25">
      <c r="A79" s="6" t="s">
        <v>130</v>
      </c>
      <c r="B79" s="6">
        <f>VLOOKUP(A79,[2]Metadata_isolates!$A$1:$B$370,2,FALSE)</f>
        <v>8346</v>
      </c>
      <c r="C79" s="7">
        <v>4919.5</v>
      </c>
      <c r="D79" s="6">
        <v>20.100000000000001</v>
      </c>
      <c r="E79" s="7">
        <v>3518</v>
      </c>
      <c r="F79" s="6">
        <v>23.7</v>
      </c>
      <c r="G79" s="7">
        <v>78389</v>
      </c>
      <c r="H79" s="7">
        <v>7004</v>
      </c>
      <c r="I79" s="7">
        <v>4361.3999999999996</v>
      </c>
      <c r="J79" s="7">
        <v>385634098</v>
      </c>
      <c r="K79" s="6">
        <v>99.5</v>
      </c>
      <c r="L79" s="6">
        <v>95.8</v>
      </c>
      <c r="M79" s="6">
        <v>77.400000000000006</v>
      </c>
      <c r="N79" s="6">
        <v>37.9</v>
      </c>
      <c r="O79" s="6">
        <v>5.9</v>
      </c>
      <c r="P79" s="8">
        <f t="shared" si="1"/>
        <v>82.049808085106378</v>
      </c>
      <c r="Q79" s="6"/>
      <c r="R79" s="6"/>
    </row>
    <row r="80" spans="1:18" x14ac:dyDescent="0.25">
      <c r="A80" s="6" t="s">
        <v>283</v>
      </c>
      <c r="B80" s="6">
        <f>VLOOKUP(A80,[2]Metadata_isolates!$A$1:$B$370,2,FALSE)</f>
        <v>377</v>
      </c>
      <c r="C80" s="7">
        <v>3426.8</v>
      </c>
      <c r="D80" s="6">
        <v>21.5</v>
      </c>
      <c r="E80" s="7">
        <v>2600</v>
      </c>
      <c r="F80" s="6">
        <v>24.9</v>
      </c>
      <c r="G80" s="7">
        <v>113215</v>
      </c>
      <c r="H80" s="7">
        <v>4350</v>
      </c>
      <c r="I80" s="7">
        <v>3345.1</v>
      </c>
      <c r="J80" s="7">
        <v>387960009</v>
      </c>
      <c r="K80" s="6">
        <v>99.6</v>
      </c>
      <c r="L80" s="6">
        <v>97.5</v>
      </c>
      <c r="M80" s="6">
        <v>88.3</v>
      </c>
      <c r="N80" s="6">
        <v>48.6</v>
      </c>
      <c r="O80" s="6">
        <v>7.8</v>
      </c>
      <c r="P80" s="8">
        <f t="shared" si="1"/>
        <v>82.544682765957447</v>
      </c>
      <c r="Q80" s="6"/>
      <c r="R80" s="6"/>
    </row>
    <row r="81" spans="1:18" x14ac:dyDescent="0.25">
      <c r="A81" s="6" t="s">
        <v>236</v>
      </c>
      <c r="B81" s="6">
        <f>VLOOKUP(A81,[2]Metadata_isolates!$A$1:$B$370,2,FALSE)</f>
        <v>377</v>
      </c>
      <c r="C81" s="7">
        <v>3979.6</v>
      </c>
      <c r="D81" s="6">
        <v>21.3</v>
      </c>
      <c r="E81" s="7">
        <v>2871</v>
      </c>
      <c r="F81" s="6">
        <v>24.6</v>
      </c>
      <c r="G81" s="7">
        <v>97927</v>
      </c>
      <c r="H81" s="7">
        <v>5271</v>
      </c>
      <c r="I81" s="7">
        <v>3624.9</v>
      </c>
      <c r="J81" s="7">
        <v>389706463</v>
      </c>
      <c r="K81" s="6">
        <v>99.6</v>
      </c>
      <c r="L81" s="6">
        <v>97.4</v>
      </c>
      <c r="M81" s="6">
        <v>86.9</v>
      </c>
      <c r="N81" s="6">
        <v>45.4</v>
      </c>
      <c r="O81" s="6">
        <v>6.4</v>
      </c>
      <c r="P81" s="8">
        <f t="shared" si="1"/>
        <v>82.916268723404258</v>
      </c>
      <c r="Q81" s="6"/>
      <c r="R81" s="6"/>
    </row>
    <row r="82" spans="1:18" x14ac:dyDescent="0.25">
      <c r="A82" s="6" t="s">
        <v>455</v>
      </c>
      <c r="B82" s="6">
        <f>VLOOKUP(A82,[2]Metadata_isolates!$A$1:$B$370,2,FALSE)</f>
        <v>377</v>
      </c>
      <c r="C82" s="7">
        <v>5289.8</v>
      </c>
      <c r="D82" s="6">
        <v>21.6</v>
      </c>
      <c r="E82" s="7">
        <v>3846</v>
      </c>
      <c r="F82" s="6">
        <v>25</v>
      </c>
      <c r="G82" s="7">
        <v>73792</v>
      </c>
      <c r="H82" s="7">
        <v>7342</v>
      </c>
      <c r="I82" s="7">
        <v>4741</v>
      </c>
      <c r="J82" s="7">
        <v>390347695</v>
      </c>
      <c r="K82" s="6">
        <v>99.8</v>
      </c>
      <c r="L82" s="6">
        <v>97.7</v>
      </c>
      <c r="M82" s="6">
        <v>86.5</v>
      </c>
      <c r="N82" s="6">
        <v>49.7</v>
      </c>
      <c r="O82" s="6">
        <v>8.5</v>
      </c>
      <c r="P82" s="8">
        <f t="shared" si="1"/>
        <v>83.052701063829787</v>
      </c>
      <c r="Q82" s="6"/>
      <c r="R82" s="6"/>
    </row>
    <row r="83" spans="1:18" x14ac:dyDescent="0.25">
      <c r="A83" s="6" t="s">
        <v>370</v>
      </c>
      <c r="B83" s="6">
        <f>VLOOKUP(A83,[2]Metadata_isolates!$A$1:$B$370,2,FALSE)</f>
        <v>377</v>
      </c>
      <c r="C83" s="7">
        <v>3898.1</v>
      </c>
      <c r="D83" s="6">
        <v>16.8</v>
      </c>
      <c r="E83" s="7">
        <v>2824</v>
      </c>
      <c r="F83" s="6">
        <v>20.6</v>
      </c>
      <c r="G83" s="7">
        <v>101354</v>
      </c>
      <c r="H83" s="7">
        <v>5117</v>
      </c>
      <c r="I83" s="7">
        <v>6583.9</v>
      </c>
      <c r="J83" s="7">
        <v>395084157</v>
      </c>
      <c r="K83" s="6">
        <v>96.1</v>
      </c>
      <c r="L83" s="6">
        <v>89.8</v>
      </c>
      <c r="M83" s="6">
        <v>57.4</v>
      </c>
      <c r="N83" s="6">
        <v>4.7</v>
      </c>
      <c r="O83" s="6">
        <v>0</v>
      </c>
      <c r="P83" s="8">
        <f t="shared" si="1"/>
        <v>84.060458936170207</v>
      </c>
      <c r="Q83" s="6"/>
      <c r="R83" s="6"/>
    </row>
    <row r="84" spans="1:18" x14ac:dyDescent="0.25">
      <c r="A84" s="6" t="s">
        <v>190</v>
      </c>
      <c r="B84" s="6">
        <f>VLOOKUP(A84,[2]Metadata_isolates!$A$1:$B$370,2,FALSE)</f>
        <v>377</v>
      </c>
      <c r="C84" s="7">
        <v>3486.3</v>
      </c>
      <c r="D84" s="6">
        <v>21.7</v>
      </c>
      <c r="E84" s="7">
        <v>2541</v>
      </c>
      <c r="F84" s="6">
        <v>25.1</v>
      </c>
      <c r="G84" s="7">
        <v>114109</v>
      </c>
      <c r="H84" s="7">
        <v>4478</v>
      </c>
      <c r="I84" s="7">
        <v>3228.6</v>
      </c>
      <c r="J84" s="7">
        <v>397821561</v>
      </c>
      <c r="K84" s="6">
        <v>99.7</v>
      </c>
      <c r="L84" s="6">
        <v>97.7</v>
      </c>
      <c r="M84" s="6">
        <v>87.9</v>
      </c>
      <c r="N84" s="6">
        <v>50.6</v>
      </c>
      <c r="O84" s="6">
        <v>8.6</v>
      </c>
      <c r="P84" s="8">
        <f t="shared" si="1"/>
        <v>84.642885319148931</v>
      </c>
      <c r="Q84" s="6"/>
      <c r="R84" s="6"/>
    </row>
    <row r="85" spans="1:18" x14ac:dyDescent="0.25">
      <c r="A85" s="6" t="s">
        <v>149</v>
      </c>
      <c r="B85" s="6">
        <f>VLOOKUP(A85,[2]Metadata_isolates!$A$1:$B$370,2,FALSE)</f>
        <v>377</v>
      </c>
      <c r="C85" s="7">
        <v>5250.9</v>
      </c>
      <c r="D85" s="6">
        <v>20.8</v>
      </c>
      <c r="E85" s="7">
        <v>3620</v>
      </c>
      <c r="F85" s="6">
        <v>24.4</v>
      </c>
      <c r="G85" s="7">
        <v>75928</v>
      </c>
      <c r="H85" s="7">
        <v>7570</v>
      </c>
      <c r="I85" s="7">
        <v>5204.3999999999996</v>
      </c>
      <c r="J85" s="7">
        <v>398690449</v>
      </c>
      <c r="K85" s="6">
        <v>99.7</v>
      </c>
      <c r="L85" s="6">
        <v>96.8</v>
      </c>
      <c r="M85" s="6">
        <v>81.5</v>
      </c>
      <c r="N85" s="6">
        <v>44.4</v>
      </c>
      <c r="O85" s="6">
        <v>7.7</v>
      </c>
      <c r="P85" s="8">
        <f t="shared" si="1"/>
        <v>84.82775510638298</v>
      </c>
      <c r="Q85" s="6"/>
      <c r="R85" s="6"/>
    </row>
    <row r="86" spans="1:18" x14ac:dyDescent="0.25">
      <c r="A86" s="6" t="s">
        <v>155</v>
      </c>
      <c r="B86" s="6">
        <f>VLOOKUP(A86,[2]Metadata_isolates!$A$1:$B$370,2,FALSE)</f>
        <v>377</v>
      </c>
      <c r="C86" s="7">
        <v>4864.3999999999996</v>
      </c>
      <c r="D86" s="6">
        <v>20.5</v>
      </c>
      <c r="E86" s="7">
        <v>3294</v>
      </c>
      <c r="F86" s="6">
        <v>23.9</v>
      </c>
      <c r="G86" s="7">
        <v>82564</v>
      </c>
      <c r="H86" s="7">
        <v>7033</v>
      </c>
      <c r="I86" s="7">
        <v>4792</v>
      </c>
      <c r="J86" s="7">
        <v>401627072</v>
      </c>
      <c r="K86" s="6">
        <v>99.7</v>
      </c>
      <c r="L86" s="6">
        <v>96.5</v>
      </c>
      <c r="M86" s="6">
        <v>79.900000000000006</v>
      </c>
      <c r="N86" s="6">
        <v>38.9</v>
      </c>
      <c r="O86" s="6">
        <v>5.4</v>
      </c>
      <c r="P86" s="8">
        <f t="shared" si="1"/>
        <v>85.452568510638301</v>
      </c>
      <c r="Q86" s="6"/>
      <c r="R86" s="6"/>
    </row>
    <row r="87" spans="1:18" x14ac:dyDescent="0.25">
      <c r="A87" s="6" t="s">
        <v>183</v>
      </c>
      <c r="B87" s="6">
        <f>VLOOKUP(A87,[2]Metadata_isolates!$A$1:$B$370,2,FALSE)</f>
        <v>377</v>
      </c>
      <c r="C87" s="7">
        <v>5964.9</v>
      </c>
      <c r="D87" s="6">
        <v>21.2</v>
      </c>
      <c r="E87" s="7">
        <v>4177</v>
      </c>
      <c r="F87" s="6">
        <v>24.6</v>
      </c>
      <c r="G87" s="7">
        <v>68023</v>
      </c>
      <c r="H87" s="7">
        <v>8590</v>
      </c>
      <c r="I87" s="7">
        <v>5584.4</v>
      </c>
      <c r="J87" s="7">
        <v>405748792</v>
      </c>
      <c r="K87" s="6">
        <v>99.8</v>
      </c>
      <c r="L87" s="6">
        <v>97.3</v>
      </c>
      <c r="M87" s="6">
        <v>83.3</v>
      </c>
      <c r="N87" s="6">
        <v>46.1</v>
      </c>
      <c r="O87" s="6">
        <v>7.3</v>
      </c>
      <c r="P87" s="8">
        <f t="shared" si="1"/>
        <v>86.32953021276596</v>
      </c>
      <c r="Q87" s="6"/>
      <c r="R87" s="6"/>
    </row>
    <row r="88" spans="1:18" x14ac:dyDescent="0.25">
      <c r="A88" s="6" t="s">
        <v>238</v>
      </c>
      <c r="B88" s="6">
        <f>VLOOKUP(A88,[2]Metadata_isolates!$A$1:$B$370,2,FALSE)</f>
        <v>377</v>
      </c>
      <c r="C88" s="7">
        <v>3879.6</v>
      </c>
      <c r="D88" s="6">
        <v>21.5</v>
      </c>
      <c r="E88" s="7">
        <v>2869</v>
      </c>
      <c r="F88" s="6">
        <v>24.7</v>
      </c>
      <c r="G88" s="7">
        <v>105816</v>
      </c>
      <c r="H88" s="7">
        <v>5087</v>
      </c>
      <c r="I88" s="7">
        <v>4455.5</v>
      </c>
      <c r="J88" s="7">
        <v>410519793</v>
      </c>
      <c r="K88" s="6">
        <v>99.7</v>
      </c>
      <c r="L88" s="6">
        <v>97.6</v>
      </c>
      <c r="M88" s="6">
        <v>87.5</v>
      </c>
      <c r="N88" s="6">
        <v>46.6</v>
      </c>
      <c r="O88" s="6">
        <v>6.5</v>
      </c>
      <c r="P88" s="8">
        <f t="shared" si="1"/>
        <v>87.344636808510643</v>
      </c>
      <c r="Q88" s="6"/>
      <c r="R88" s="6"/>
    </row>
    <row r="89" spans="1:18" x14ac:dyDescent="0.25">
      <c r="A89" s="6" t="s">
        <v>275</v>
      </c>
      <c r="B89" s="6">
        <f>VLOOKUP(A89,[2]Metadata_isolates!$A$1:$B$370,2,FALSE)</f>
        <v>377</v>
      </c>
      <c r="C89" s="7">
        <v>3902.2</v>
      </c>
      <c r="D89" s="6">
        <v>21.5</v>
      </c>
      <c r="E89" s="7">
        <v>2901</v>
      </c>
      <c r="F89" s="6">
        <v>24.9</v>
      </c>
      <c r="G89" s="7">
        <v>105960</v>
      </c>
      <c r="H89" s="7">
        <v>5126</v>
      </c>
      <c r="I89" s="7">
        <v>3176</v>
      </c>
      <c r="J89" s="7">
        <v>413482274</v>
      </c>
      <c r="K89" s="6">
        <v>99.7</v>
      </c>
      <c r="L89" s="6">
        <v>97.6</v>
      </c>
      <c r="M89" s="6">
        <v>86.7</v>
      </c>
      <c r="N89" s="6">
        <v>48.4</v>
      </c>
      <c r="O89" s="6">
        <v>7.7</v>
      </c>
      <c r="P89" s="8">
        <f t="shared" si="1"/>
        <v>87.974951914893623</v>
      </c>
      <c r="Q89" s="6"/>
      <c r="R89" s="6"/>
    </row>
    <row r="90" spans="1:18" x14ac:dyDescent="0.25">
      <c r="A90" s="6" t="s">
        <v>259</v>
      </c>
      <c r="B90" s="6">
        <f>VLOOKUP(A90,[2]Metadata_isolates!$A$1:$B$370,2,FALSE)</f>
        <v>377</v>
      </c>
      <c r="C90" s="7">
        <v>3601.1</v>
      </c>
      <c r="D90" s="6">
        <v>21.6</v>
      </c>
      <c r="E90" s="7">
        <v>2719</v>
      </c>
      <c r="F90" s="6">
        <v>24.9</v>
      </c>
      <c r="G90" s="7">
        <v>114829</v>
      </c>
      <c r="H90" s="7">
        <v>4618</v>
      </c>
      <c r="I90" s="7">
        <v>2848.4</v>
      </c>
      <c r="J90" s="7">
        <v>413515570</v>
      </c>
      <c r="K90" s="6">
        <v>99.7</v>
      </c>
      <c r="L90" s="6">
        <v>97.5</v>
      </c>
      <c r="M90" s="6">
        <v>87.5</v>
      </c>
      <c r="N90" s="6">
        <v>48.5</v>
      </c>
      <c r="O90" s="6">
        <v>7.8</v>
      </c>
      <c r="P90" s="8">
        <f t="shared" si="1"/>
        <v>87.982036170212766</v>
      </c>
      <c r="Q90" s="6"/>
      <c r="R90" s="6"/>
    </row>
    <row r="91" spans="1:18" x14ac:dyDescent="0.25">
      <c r="A91" s="6" t="s">
        <v>184</v>
      </c>
      <c r="B91" s="6">
        <f>VLOOKUP(A91,[2]Metadata_isolates!$A$1:$B$370,2,FALSE)</f>
        <v>377</v>
      </c>
      <c r="C91" s="7">
        <v>5277.8</v>
      </c>
      <c r="D91" s="6">
        <v>20.9</v>
      </c>
      <c r="E91" s="7">
        <v>3494</v>
      </c>
      <c r="F91" s="6">
        <v>24.5</v>
      </c>
      <c r="G91" s="7">
        <v>78383</v>
      </c>
      <c r="H91" s="7">
        <v>7908</v>
      </c>
      <c r="I91" s="7">
        <v>5409</v>
      </c>
      <c r="J91" s="7">
        <v>413686624</v>
      </c>
      <c r="K91" s="6">
        <v>99.7</v>
      </c>
      <c r="L91" s="6">
        <v>96.9</v>
      </c>
      <c r="M91" s="6">
        <v>82.4</v>
      </c>
      <c r="N91" s="6">
        <v>45</v>
      </c>
      <c r="O91" s="6">
        <v>7.4</v>
      </c>
      <c r="P91" s="8">
        <f t="shared" si="1"/>
        <v>88.018430638297872</v>
      </c>
      <c r="Q91" s="6"/>
      <c r="R91" s="6"/>
    </row>
    <row r="92" spans="1:18" x14ac:dyDescent="0.25">
      <c r="A92" s="6" t="s">
        <v>352</v>
      </c>
      <c r="B92" s="6">
        <f>VLOOKUP(A92,[2]Metadata_isolates!$A$1:$B$370,2,FALSE)</f>
        <v>377</v>
      </c>
      <c r="C92" s="7">
        <v>6379.3</v>
      </c>
      <c r="D92" s="6">
        <v>20.100000000000001</v>
      </c>
      <c r="E92" s="7">
        <v>4592</v>
      </c>
      <c r="F92" s="6">
        <v>23</v>
      </c>
      <c r="G92" s="7">
        <v>64915</v>
      </c>
      <c r="H92" s="7">
        <v>8828</v>
      </c>
      <c r="I92" s="7">
        <v>5543.7</v>
      </c>
      <c r="J92" s="7">
        <v>414111646</v>
      </c>
      <c r="K92" s="6">
        <v>99.8</v>
      </c>
      <c r="L92" s="6">
        <v>95.6</v>
      </c>
      <c r="M92" s="6">
        <v>76.900000000000006</v>
      </c>
      <c r="N92" s="6">
        <v>27</v>
      </c>
      <c r="O92" s="6">
        <v>1.7</v>
      </c>
      <c r="P92" s="8">
        <f t="shared" si="1"/>
        <v>88.108860851063824</v>
      </c>
      <c r="Q92" s="6"/>
      <c r="R92" s="6"/>
    </row>
    <row r="93" spans="1:18" x14ac:dyDescent="0.25">
      <c r="A93" s="6" t="s">
        <v>228</v>
      </c>
      <c r="B93" s="6">
        <f>VLOOKUP(A93,[2]Metadata_isolates!$A$1:$B$370,2,FALSE)</f>
        <v>377</v>
      </c>
      <c r="C93" s="7">
        <v>4061.7</v>
      </c>
      <c r="D93" s="6">
        <v>21.5</v>
      </c>
      <c r="E93" s="7">
        <v>2986</v>
      </c>
      <c r="F93" s="6">
        <v>24.9</v>
      </c>
      <c r="G93" s="7">
        <v>102156</v>
      </c>
      <c r="H93" s="7">
        <v>5418</v>
      </c>
      <c r="I93" s="7">
        <v>3554.1</v>
      </c>
      <c r="J93" s="7">
        <v>414931239</v>
      </c>
      <c r="K93" s="6">
        <v>99.6</v>
      </c>
      <c r="L93" s="6">
        <v>97.5</v>
      </c>
      <c r="M93" s="6">
        <v>86.5</v>
      </c>
      <c r="N93" s="6">
        <v>49</v>
      </c>
      <c r="O93" s="6">
        <v>8.1</v>
      </c>
      <c r="P93" s="8">
        <f t="shared" si="1"/>
        <v>88.283242340425531</v>
      </c>
      <c r="Q93" s="6"/>
      <c r="R93" s="6"/>
    </row>
    <row r="94" spans="1:18" x14ac:dyDescent="0.25">
      <c r="A94" s="6" t="s">
        <v>223</v>
      </c>
      <c r="B94" s="6">
        <f>VLOOKUP(A94,[2]Metadata_isolates!$A$1:$B$370,2,FALSE)</f>
        <v>377</v>
      </c>
      <c r="C94" s="7">
        <v>3844.6</v>
      </c>
      <c r="D94" s="6">
        <v>21.9</v>
      </c>
      <c r="E94" s="7">
        <v>2860</v>
      </c>
      <c r="F94" s="6">
        <v>25.2</v>
      </c>
      <c r="G94" s="7">
        <v>108082</v>
      </c>
      <c r="H94" s="7">
        <v>5028</v>
      </c>
      <c r="I94" s="7">
        <v>3287.3</v>
      </c>
      <c r="J94" s="7">
        <v>415527027</v>
      </c>
      <c r="K94" s="6">
        <v>99.7</v>
      </c>
      <c r="L94" s="6">
        <v>97.9</v>
      </c>
      <c r="M94" s="6">
        <v>89.2</v>
      </c>
      <c r="N94" s="6">
        <v>52.3</v>
      </c>
      <c r="O94" s="6">
        <v>8.5</v>
      </c>
      <c r="P94" s="8">
        <f t="shared" si="1"/>
        <v>88.410005744680845</v>
      </c>
      <c r="Q94" s="6"/>
      <c r="R94" s="6"/>
    </row>
    <row r="95" spans="1:18" x14ac:dyDescent="0.25">
      <c r="A95" s="6" t="s">
        <v>227</v>
      </c>
      <c r="B95" s="6">
        <f>VLOOKUP(A95,[2]Metadata_isolates!$A$1:$B$370,2,FALSE)</f>
        <v>377</v>
      </c>
      <c r="C95" s="7">
        <v>3976.8</v>
      </c>
      <c r="D95" s="6">
        <v>21.4</v>
      </c>
      <c r="E95" s="7">
        <v>2938</v>
      </c>
      <c r="F95" s="6">
        <v>24.7</v>
      </c>
      <c r="G95" s="7">
        <v>104553</v>
      </c>
      <c r="H95" s="7">
        <v>5256</v>
      </c>
      <c r="I95" s="7">
        <v>3334.6</v>
      </c>
      <c r="J95" s="7">
        <v>415785447</v>
      </c>
      <c r="K95" s="6">
        <v>99.7</v>
      </c>
      <c r="L95" s="6">
        <v>97.6</v>
      </c>
      <c r="M95" s="6">
        <v>85.8</v>
      </c>
      <c r="N95" s="6">
        <v>47.2</v>
      </c>
      <c r="O95" s="6">
        <v>7.4</v>
      </c>
      <c r="P95" s="8">
        <f t="shared" si="1"/>
        <v>88.464988723404261</v>
      </c>
      <c r="Q95" s="6"/>
      <c r="R95" s="6"/>
    </row>
    <row r="96" spans="1:18" x14ac:dyDescent="0.25">
      <c r="A96" s="6" t="s">
        <v>226</v>
      </c>
      <c r="B96" s="6">
        <f>VLOOKUP(A96,[2]Metadata_isolates!$A$1:$B$370,2,FALSE)</f>
        <v>377</v>
      </c>
      <c r="C96" s="7">
        <v>3570.2</v>
      </c>
      <c r="D96" s="6">
        <v>21.5</v>
      </c>
      <c r="E96" s="7">
        <v>2689</v>
      </c>
      <c r="F96" s="6">
        <v>24.8</v>
      </c>
      <c r="G96" s="7">
        <v>116788</v>
      </c>
      <c r="H96" s="7">
        <v>4571</v>
      </c>
      <c r="I96" s="7">
        <v>2866.5</v>
      </c>
      <c r="J96" s="7">
        <v>416953469</v>
      </c>
      <c r="K96" s="6">
        <v>99.7</v>
      </c>
      <c r="L96" s="6">
        <v>97.7</v>
      </c>
      <c r="M96" s="6">
        <v>86.7</v>
      </c>
      <c r="N96" s="6">
        <v>47.9</v>
      </c>
      <c r="O96" s="6">
        <v>7.9</v>
      </c>
      <c r="P96" s="8">
        <f t="shared" si="1"/>
        <v>88.713504042553197</v>
      </c>
      <c r="Q96" s="6"/>
      <c r="R96" s="6"/>
    </row>
    <row r="97" spans="1:18" x14ac:dyDescent="0.25">
      <c r="A97" s="6" t="s">
        <v>196</v>
      </c>
      <c r="B97" s="6">
        <f>VLOOKUP(A97,[2]Metadata_isolates!$A$1:$B$370,2,FALSE)</f>
        <v>377</v>
      </c>
      <c r="C97" s="7">
        <v>3746.2</v>
      </c>
      <c r="D97" s="6">
        <v>21.7</v>
      </c>
      <c r="E97" s="7">
        <v>2735</v>
      </c>
      <c r="F97" s="6">
        <v>25</v>
      </c>
      <c r="G97" s="7">
        <v>111590</v>
      </c>
      <c r="H97" s="7">
        <v>4897</v>
      </c>
      <c r="I97" s="7">
        <v>3430.1</v>
      </c>
      <c r="J97" s="7">
        <v>418038025</v>
      </c>
      <c r="K97" s="6">
        <v>99.7</v>
      </c>
      <c r="L97" s="6">
        <v>97.8</v>
      </c>
      <c r="M97" s="6">
        <v>87.8</v>
      </c>
      <c r="N97" s="6">
        <v>49.5</v>
      </c>
      <c r="O97" s="6">
        <v>8</v>
      </c>
      <c r="P97" s="8">
        <f t="shared" si="1"/>
        <v>88.944260638297877</v>
      </c>
      <c r="Q97" s="6"/>
      <c r="R97" s="6"/>
    </row>
    <row r="98" spans="1:18" x14ac:dyDescent="0.25">
      <c r="A98" s="6" t="s">
        <v>233</v>
      </c>
      <c r="B98" s="6">
        <f>VLOOKUP(A98,[2]Metadata_isolates!$A$1:$B$370,2,FALSE)</f>
        <v>1499</v>
      </c>
      <c r="C98" s="7">
        <v>4471.3</v>
      </c>
      <c r="D98" s="6">
        <v>21.7</v>
      </c>
      <c r="E98" s="7">
        <v>3208</v>
      </c>
      <c r="F98" s="6">
        <v>25</v>
      </c>
      <c r="G98" s="7">
        <v>93665</v>
      </c>
      <c r="H98" s="7">
        <v>6108</v>
      </c>
      <c r="I98" s="7">
        <v>4055</v>
      </c>
      <c r="J98" s="7">
        <v>418801245</v>
      </c>
      <c r="K98" s="6">
        <v>99.8</v>
      </c>
      <c r="L98" s="6">
        <v>97.7</v>
      </c>
      <c r="M98" s="6">
        <v>87.2</v>
      </c>
      <c r="N98" s="6">
        <v>50.1</v>
      </c>
      <c r="O98" s="6">
        <v>7.6</v>
      </c>
      <c r="P98" s="8">
        <f t="shared" si="1"/>
        <v>89.106647872340432</v>
      </c>
      <c r="Q98" s="6"/>
      <c r="R98" s="6"/>
    </row>
    <row r="99" spans="1:18" x14ac:dyDescent="0.25">
      <c r="A99" s="6" t="s">
        <v>343</v>
      </c>
      <c r="B99" s="6">
        <f>VLOOKUP(A99,[2]Metadata_isolates!$A$1:$B$370,2,FALSE)</f>
        <v>377</v>
      </c>
      <c r="C99" s="7">
        <v>4777.3</v>
      </c>
      <c r="D99" s="6">
        <v>17.7</v>
      </c>
      <c r="E99" s="7">
        <v>3445</v>
      </c>
      <c r="F99" s="6">
        <v>21.1</v>
      </c>
      <c r="G99" s="7">
        <v>88560</v>
      </c>
      <c r="H99" s="7">
        <v>6571</v>
      </c>
      <c r="I99" s="7">
        <v>6510.1</v>
      </c>
      <c r="J99" s="7">
        <v>423073510</v>
      </c>
      <c r="K99" s="6">
        <v>97.2</v>
      </c>
      <c r="L99" s="6">
        <v>91.6</v>
      </c>
      <c r="M99" s="6">
        <v>63.1</v>
      </c>
      <c r="N99" s="6">
        <v>8.1</v>
      </c>
      <c r="O99" s="6">
        <v>0</v>
      </c>
      <c r="P99" s="8">
        <f t="shared" si="1"/>
        <v>90.015640425531913</v>
      </c>
      <c r="Q99" s="6"/>
      <c r="R99" s="6"/>
    </row>
    <row r="100" spans="1:18" x14ac:dyDescent="0.25">
      <c r="A100" s="6" t="s">
        <v>338</v>
      </c>
      <c r="B100" s="6">
        <f>VLOOKUP(A100,[2]Metadata_isolates!$A$1:$B$370,2,FALSE)</f>
        <v>377</v>
      </c>
      <c r="C100" s="7">
        <v>4474</v>
      </c>
      <c r="D100" s="6">
        <v>17.100000000000001</v>
      </c>
      <c r="E100" s="7">
        <v>3181</v>
      </c>
      <c r="F100" s="6">
        <v>20.9</v>
      </c>
      <c r="G100" s="7">
        <v>94997</v>
      </c>
      <c r="H100" s="7">
        <v>6132</v>
      </c>
      <c r="I100" s="7">
        <v>5913.8</v>
      </c>
      <c r="J100" s="7">
        <v>425017092</v>
      </c>
      <c r="K100" s="6">
        <v>96.1</v>
      </c>
      <c r="L100" s="6">
        <v>90</v>
      </c>
      <c r="M100" s="6">
        <v>61.5</v>
      </c>
      <c r="N100" s="6">
        <v>7.5</v>
      </c>
      <c r="O100" s="6">
        <v>0</v>
      </c>
      <c r="P100" s="8">
        <f t="shared" si="1"/>
        <v>90.429168510638291</v>
      </c>
      <c r="Q100" s="6"/>
      <c r="R100" s="6"/>
    </row>
    <row r="101" spans="1:18" x14ac:dyDescent="0.25">
      <c r="A101" s="6" t="s">
        <v>181</v>
      </c>
      <c r="B101" s="6">
        <f>VLOOKUP(A101,[2]Metadata_isolates!$A$1:$B$370,2,FALSE)</f>
        <v>377</v>
      </c>
      <c r="C101" s="7">
        <v>5392.7</v>
      </c>
      <c r="D101" s="6">
        <v>20.8</v>
      </c>
      <c r="E101" s="7">
        <v>3677.5</v>
      </c>
      <c r="F101" s="6">
        <v>24.4</v>
      </c>
      <c r="G101" s="7">
        <v>79010</v>
      </c>
      <c r="H101" s="7">
        <v>7913</v>
      </c>
      <c r="I101" s="7">
        <v>5498.9</v>
      </c>
      <c r="J101" s="7">
        <v>426077150</v>
      </c>
      <c r="K101" s="6">
        <v>99.7</v>
      </c>
      <c r="L101" s="6">
        <v>96.7</v>
      </c>
      <c r="M101" s="6">
        <v>81.3</v>
      </c>
      <c r="N101" s="6">
        <v>43.8</v>
      </c>
      <c r="O101" s="6">
        <v>7.1</v>
      </c>
      <c r="P101" s="8">
        <f t="shared" si="1"/>
        <v>90.654712765957441</v>
      </c>
      <c r="Q101" s="6"/>
      <c r="R101" s="6"/>
    </row>
    <row r="102" spans="1:18" x14ac:dyDescent="0.25">
      <c r="A102" s="6" t="s">
        <v>129</v>
      </c>
      <c r="B102" s="6">
        <f>VLOOKUP(A102,[2]Metadata_isolates!$A$1:$B$370,2,FALSE)</f>
        <v>1499</v>
      </c>
      <c r="C102" s="7">
        <v>5005.7</v>
      </c>
      <c r="D102" s="6">
        <v>20.8</v>
      </c>
      <c r="E102" s="7">
        <v>3487</v>
      </c>
      <c r="F102" s="6">
        <v>24.4</v>
      </c>
      <c r="G102" s="7">
        <v>85384</v>
      </c>
      <c r="H102" s="7">
        <v>7212</v>
      </c>
      <c r="I102" s="7">
        <v>4667.1000000000004</v>
      </c>
      <c r="J102" s="7">
        <v>427406596</v>
      </c>
      <c r="K102" s="6">
        <v>99.6</v>
      </c>
      <c r="L102" s="6">
        <v>96.8</v>
      </c>
      <c r="M102" s="6">
        <v>82.1</v>
      </c>
      <c r="N102" s="6">
        <v>44.1</v>
      </c>
      <c r="O102" s="6">
        <v>7.2</v>
      </c>
      <c r="P102" s="8">
        <f t="shared" si="1"/>
        <v>90.937573617021272</v>
      </c>
      <c r="Q102" s="6"/>
      <c r="R102" s="6"/>
    </row>
    <row r="103" spans="1:18" x14ac:dyDescent="0.25">
      <c r="A103" s="6" t="s">
        <v>346</v>
      </c>
      <c r="B103" s="6">
        <f>VLOOKUP(A103,[2]Metadata_isolates!$A$1:$B$370,2,FALSE)</f>
        <v>377</v>
      </c>
      <c r="C103" s="7">
        <v>5468.8</v>
      </c>
      <c r="D103" s="6">
        <v>20.100000000000001</v>
      </c>
      <c r="E103" s="7">
        <v>3998</v>
      </c>
      <c r="F103" s="6">
        <v>23.1</v>
      </c>
      <c r="G103" s="7">
        <v>79294</v>
      </c>
      <c r="H103" s="7">
        <v>7400</v>
      </c>
      <c r="I103" s="7">
        <v>4560.2</v>
      </c>
      <c r="J103" s="7">
        <v>433645872</v>
      </c>
      <c r="K103" s="6">
        <v>99.8</v>
      </c>
      <c r="L103" s="6">
        <v>95.6</v>
      </c>
      <c r="M103" s="6">
        <v>77.7</v>
      </c>
      <c r="N103" s="6">
        <v>26.6</v>
      </c>
      <c r="O103" s="6">
        <v>1.8</v>
      </c>
      <c r="P103" s="8">
        <f t="shared" si="1"/>
        <v>92.265079148936167</v>
      </c>
      <c r="Q103" s="6"/>
      <c r="R103" s="6"/>
    </row>
    <row r="104" spans="1:18" x14ac:dyDescent="0.25">
      <c r="A104" s="6" t="s">
        <v>142</v>
      </c>
      <c r="B104" s="6">
        <f>VLOOKUP(A104,[2]Metadata_isolates!$A$1:$B$370,2,FALSE)</f>
        <v>1499</v>
      </c>
      <c r="C104" s="7">
        <v>4740.8</v>
      </c>
      <c r="D104" s="6">
        <v>20.9</v>
      </c>
      <c r="E104" s="7">
        <v>3233</v>
      </c>
      <c r="F104" s="6">
        <v>24.4</v>
      </c>
      <c r="G104" s="7">
        <v>91823</v>
      </c>
      <c r="H104" s="7">
        <v>6717</v>
      </c>
      <c r="I104" s="7">
        <v>4704.5</v>
      </c>
      <c r="J104" s="7">
        <v>435311451</v>
      </c>
      <c r="K104" s="6">
        <v>99.7</v>
      </c>
      <c r="L104" s="6">
        <v>96.8</v>
      </c>
      <c r="M104" s="6">
        <v>81.900000000000006</v>
      </c>
      <c r="N104" s="6">
        <v>44.2</v>
      </c>
      <c r="O104" s="6">
        <v>7.7</v>
      </c>
      <c r="P104" s="8">
        <f t="shared" si="1"/>
        <v>92.619457659574465</v>
      </c>
      <c r="Q104" s="6"/>
      <c r="R104" s="6"/>
    </row>
    <row r="105" spans="1:18" x14ac:dyDescent="0.25">
      <c r="A105" s="6" t="s">
        <v>349</v>
      </c>
      <c r="B105" s="6">
        <f>VLOOKUP(A105,[2]Metadata_isolates!$A$1:$B$370,2,FALSE)</f>
        <v>377</v>
      </c>
      <c r="C105" s="7">
        <v>4263.8</v>
      </c>
      <c r="D105" s="6">
        <v>16.899999999999999</v>
      </c>
      <c r="E105" s="7">
        <v>3008</v>
      </c>
      <c r="F105" s="6">
        <v>20.9</v>
      </c>
      <c r="G105" s="7">
        <v>102758</v>
      </c>
      <c r="H105" s="7">
        <v>5761</v>
      </c>
      <c r="I105" s="7">
        <v>7285.3</v>
      </c>
      <c r="J105" s="7">
        <v>438140466</v>
      </c>
      <c r="K105" s="6">
        <v>95.9</v>
      </c>
      <c r="L105" s="6">
        <v>89.6</v>
      </c>
      <c r="M105" s="6">
        <v>61.4</v>
      </c>
      <c r="N105" s="6">
        <v>7.2</v>
      </c>
      <c r="O105" s="6">
        <v>0</v>
      </c>
      <c r="P105" s="8">
        <f t="shared" si="1"/>
        <v>93.221375744680856</v>
      </c>
      <c r="Q105" s="6"/>
      <c r="R105" s="6"/>
    </row>
    <row r="106" spans="1:18" x14ac:dyDescent="0.25">
      <c r="A106" s="6" t="s">
        <v>330</v>
      </c>
      <c r="B106" s="6">
        <f>VLOOKUP(A106,[2]Metadata_isolates!$A$1:$B$370,2,FALSE)</f>
        <v>377</v>
      </c>
      <c r="C106" s="7">
        <v>6258.5</v>
      </c>
      <c r="D106" s="6">
        <v>20.2</v>
      </c>
      <c r="E106" s="7">
        <v>4534</v>
      </c>
      <c r="F106" s="6">
        <v>23.1</v>
      </c>
      <c r="G106" s="7">
        <v>70117</v>
      </c>
      <c r="H106" s="7">
        <v>8556</v>
      </c>
      <c r="I106" s="7">
        <v>5733.7</v>
      </c>
      <c r="J106" s="7">
        <v>438827421</v>
      </c>
      <c r="K106" s="6">
        <v>99.8</v>
      </c>
      <c r="L106" s="6">
        <v>95.9</v>
      </c>
      <c r="M106" s="6">
        <v>78.099999999999994</v>
      </c>
      <c r="N106" s="6">
        <v>28</v>
      </c>
      <c r="O106" s="6">
        <v>1.8</v>
      </c>
      <c r="P106" s="8">
        <f t="shared" si="1"/>
        <v>93.367536382978727</v>
      </c>
      <c r="Q106" s="6"/>
      <c r="R106" s="6"/>
    </row>
    <row r="107" spans="1:18" x14ac:dyDescent="0.25">
      <c r="A107" s="6" t="s">
        <v>422</v>
      </c>
      <c r="B107" s="6">
        <f>VLOOKUP(A107,[2]Metadata_isolates!$A$1:$B$370,2,FALSE)</f>
        <v>377</v>
      </c>
      <c r="C107" s="7">
        <v>3506.5</v>
      </c>
      <c r="D107" s="6">
        <v>20.7</v>
      </c>
      <c r="E107" s="7">
        <v>2646</v>
      </c>
      <c r="F107" s="6">
        <v>24</v>
      </c>
      <c r="G107" s="7">
        <v>125395</v>
      </c>
      <c r="H107" s="7">
        <v>4497</v>
      </c>
      <c r="I107" s="7">
        <v>2872.6</v>
      </c>
      <c r="J107" s="7">
        <v>439694547</v>
      </c>
      <c r="K107" s="6">
        <v>99.5</v>
      </c>
      <c r="L107" s="6">
        <v>96.9</v>
      </c>
      <c r="M107" s="6">
        <v>83.3</v>
      </c>
      <c r="N107" s="6">
        <v>39.5</v>
      </c>
      <c r="O107" s="6">
        <v>6.1</v>
      </c>
      <c r="P107" s="8">
        <f t="shared" si="1"/>
        <v>93.552031276595741</v>
      </c>
      <c r="Q107" s="6"/>
      <c r="R107" s="6"/>
    </row>
    <row r="108" spans="1:18" x14ac:dyDescent="0.25">
      <c r="A108" s="6" t="s">
        <v>380</v>
      </c>
      <c r="B108" s="6">
        <f>VLOOKUP(A108,[2]Metadata_isolates!$A$1:$B$370,2,FALSE)</f>
        <v>377</v>
      </c>
      <c r="C108" s="7">
        <v>3193.5</v>
      </c>
      <c r="D108" s="6">
        <v>20.7</v>
      </c>
      <c r="E108" s="7">
        <v>2424</v>
      </c>
      <c r="F108" s="6">
        <v>24</v>
      </c>
      <c r="G108" s="7">
        <v>138072</v>
      </c>
      <c r="H108" s="7">
        <v>3984</v>
      </c>
      <c r="I108" s="7">
        <v>2486.4</v>
      </c>
      <c r="J108" s="7">
        <v>440933759</v>
      </c>
      <c r="K108" s="6">
        <v>99.4</v>
      </c>
      <c r="L108" s="6">
        <v>96.6</v>
      </c>
      <c r="M108" s="6">
        <v>83.6</v>
      </c>
      <c r="N108" s="6">
        <v>39.299999999999997</v>
      </c>
      <c r="O108" s="6">
        <v>6.3</v>
      </c>
      <c r="P108" s="8">
        <f t="shared" si="1"/>
        <v>93.815693404255313</v>
      </c>
      <c r="Q108" s="6"/>
      <c r="R108" s="6"/>
    </row>
    <row r="109" spans="1:18" x14ac:dyDescent="0.25">
      <c r="A109" s="6" t="s">
        <v>277</v>
      </c>
      <c r="B109" s="6">
        <f>VLOOKUP(A109,[2]Metadata_isolates!$A$1:$B$370,2,FALSE)</f>
        <v>377</v>
      </c>
      <c r="C109" s="7">
        <v>4315.3999999999996</v>
      </c>
      <c r="D109" s="6">
        <v>21.8</v>
      </c>
      <c r="E109" s="7">
        <v>3163</v>
      </c>
      <c r="F109" s="6">
        <v>25</v>
      </c>
      <c r="G109" s="7">
        <v>102950</v>
      </c>
      <c r="H109" s="7">
        <v>5826</v>
      </c>
      <c r="I109" s="7">
        <v>4053.6</v>
      </c>
      <c r="J109" s="7">
        <v>444271397</v>
      </c>
      <c r="K109" s="6">
        <v>99.8</v>
      </c>
      <c r="L109" s="6">
        <v>97.9</v>
      </c>
      <c r="M109" s="6">
        <v>87.1</v>
      </c>
      <c r="N109" s="6">
        <v>49.5</v>
      </c>
      <c r="O109" s="6">
        <v>7.6</v>
      </c>
      <c r="P109" s="8">
        <f t="shared" si="1"/>
        <v>94.525829148936168</v>
      </c>
      <c r="Q109" s="6"/>
      <c r="R109" s="6"/>
    </row>
    <row r="110" spans="1:18" x14ac:dyDescent="0.25">
      <c r="A110" s="6" t="s">
        <v>466</v>
      </c>
      <c r="B110" s="6">
        <f>VLOOKUP(A110,[2]Metadata_isolates!$A$1:$B$370,2,FALSE)</f>
        <v>377</v>
      </c>
      <c r="C110" s="7">
        <v>5639.7</v>
      </c>
      <c r="D110" s="6">
        <v>21.9</v>
      </c>
      <c r="E110" s="7">
        <v>4056</v>
      </c>
      <c r="F110" s="6">
        <v>25</v>
      </c>
      <c r="G110" s="7">
        <v>78982</v>
      </c>
      <c r="H110" s="7">
        <v>7793</v>
      </c>
      <c r="I110" s="7">
        <v>4958.6000000000004</v>
      </c>
      <c r="J110" s="7">
        <v>445434356</v>
      </c>
      <c r="K110" s="6">
        <v>99.8</v>
      </c>
      <c r="L110" s="6">
        <v>98</v>
      </c>
      <c r="M110" s="6">
        <v>87.4</v>
      </c>
      <c r="N110" s="6">
        <v>50.1</v>
      </c>
      <c r="O110" s="6">
        <v>8</v>
      </c>
      <c r="P110" s="8">
        <f t="shared" si="1"/>
        <v>94.773267234042549</v>
      </c>
      <c r="Q110" s="6"/>
      <c r="R110" s="6"/>
    </row>
    <row r="111" spans="1:18" x14ac:dyDescent="0.25">
      <c r="A111" s="6" t="s">
        <v>222</v>
      </c>
      <c r="B111" s="6">
        <f>VLOOKUP(A111,[2]Metadata_isolates!$A$1:$B$370,2,FALSE)</f>
        <v>377</v>
      </c>
      <c r="C111" s="7">
        <v>3442.5</v>
      </c>
      <c r="D111" s="6">
        <v>21.6</v>
      </c>
      <c r="E111" s="7">
        <v>2534</v>
      </c>
      <c r="F111" s="6">
        <v>24.9</v>
      </c>
      <c r="G111" s="7">
        <v>130509</v>
      </c>
      <c r="H111" s="7">
        <v>4432</v>
      </c>
      <c r="I111" s="7">
        <v>2838.2</v>
      </c>
      <c r="J111" s="7">
        <v>449273277</v>
      </c>
      <c r="K111" s="6">
        <v>99.7</v>
      </c>
      <c r="L111" s="6">
        <v>97.8</v>
      </c>
      <c r="M111" s="6">
        <v>87.5</v>
      </c>
      <c r="N111" s="6">
        <v>48.8</v>
      </c>
      <c r="O111" s="6">
        <v>8.3000000000000007</v>
      </c>
      <c r="P111" s="8">
        <f t="shared" si="1"/>
        <v>95.590058936170209</v>
      </c>
      <c r="Q111" s="6"/>
      <c r="R111" s="6"/>
    </row>
    <row r="112" spans="1:18" x14ac:dyDescent="0.25">
      <c r="A112" s="6" t="s">
        <v>128</v>
      </c>
      <c r="B112" s="6">
        <f>VLOOKUP(A112,[2]Metadata_isolates!$A$1:$B$370,2,FALSE)</f>
        <v>1499</v>
      </c>
      <c r="C112" s="7">
        <v>4111.3999999999996</v>
      </c>
      <c r="D112" s="6">
        <v>20.5</v>
      </c>
      <c r="E112" s="7">
        <v>3002</v>
      </c>
      <c r="F112" s="6">
        <v>24.2</v>
      </c>
      <c r="G112" s="7">
        <v>109558</v>
      </c>
      <c r="H112" s="7">
        <v>5548</v>
      </c>
      <c r="I112" s="7">
        <v>4080</v>
      </c>
      <c r="J112" s="7">
        <v>450432022</v>
      </c>
      <c r="K112" s="6">
        <v>99.5</v>
      </c>
      <c r="L112" s="6">
        <v>96.3</v>
      </c>
      <c r="M112" s="6">
        <v>80.7</v>
      </c>
      <c r="N112" s="6">
        <v>41.8</v>
      </c>
      <c r="O112" s="6">
        <v>7</v>
      </c>
      <c r="P112" s="8">
        <f t="shared" si="1"/>
        <v>95.836600425531913</v>
      </c>
      <c r="Q112" s="6"/>
      <c r="R112" s="6"/>
    </row>
    <row r="113" spans="1:18" x14ac:dyDescent="0.25">
      <c r="A113" s="6" t="s">
        <v>445</v>
      </c>
      <c r="B113" s="6">
        <f>VLOOKUP(A113,[2]Metadata_isolates!$A$1:$B$370,2,FALSE)</f>
        <v>377</v>
      </c>
      <c r="C113" s="7">
        <v>3820.6</v>
      </c>
      <c r="D113" s="6">
        <v>20.7</v>
      </c>
      <c r="E113" s="7">
        <v>2826</v>
      </c>
      <c r="F113" s="6">
        <v>24</v>
      </c>
      <c r="G113" s="7">
        <v>117899</v>
      </c>
      <c r="H113" s="7">
        <v>5016</v>
      </c>
      <c r="I113" s="7">
        <v>3354.2</v>
      </c>
      <c r="J113" s="7">
        <v>450441287</v>
      </c>
      <c r="K113" s="6">
        <v>99.5</v>
      </c>
      <c r="L113" s="6">
        <v>96.7</v>
      </c>
      <c r="M113" s="6">
        <v>82.1</v>
      </c>
      <c r="N113" s="6">
        <v>40</v>
      </c>
      <c r="O113" s="6">
        <v>6.3</v>
      </c>
      <c r="P113" s="8">
        <f t="shared" si="1"/>
        <v>95.838571702127666</v>
      </c>
      <c r="Q113" s="6"/>
      <c r="R113" s="6"/>
    </row>
    <row r="114" spans="1:18" x14ac:dyDescent="0.25">
      <c r="A114" s="6" t="s">
        <v>271</v>
      </c>
      <c r="B114" s="6">
        <f>VLOOKUP(A114,[2]Metadata_isolates!$A$1:$B$370,2,FALSE)</f>
        <v>377</v>
      </c>
      <c r="C114" s="7">
        <v>4473.8999999999996</v>
      </c>
      <c r="D114" s="6">
        <v>21.7</v>
      </c>
      <c r="E114" s="7">
        <v>3303</v>
      </c>
      <c r="F114" s="6">
        <v>24.8</v>
      </c>
      <c r="G114" s="7">
        <v>100831</v>
      </c>
      <c r="H114" s="7">
        <v>5957</v>
      </c>
      <c r="I114" s="7">
        <v>4753.2</v>
      </c>
      <c r="J114" s="7">
        <v>451104842</v>
      </c>
      <c r="K114" s="6">
        <v>99.8</v>
      </c>
      <c r="L114" s="6">
        <v>97.8</v>
      </c>
      <c r="M114" s="6">
        <v>87.2</v>
      </c>
      <c r="N114" s="6">
        <v>47.4</v>
      </c>
      <c r="O114" s="6">
        <v>6.4</v>
      </c>
      <c r="P114" s="8">
        <f t="shared" si="1"/>
        <v>95.979753617021274</v>
      </c>
      <c r="Q114" s="6"/>
      <c r="R114" s="6"/>
    </row>
    <row r="115" spans="1:18" x14ac:dyDescent="0.25">
      <c r="A115" s="6" t="s">
        <v>444</v>
      </c>
      <c r="B115" s="6">
        <f>VLOOKUP(A115,[2]Metadata_isolates!$A$1:$B$370,2,FALSE)</f>
        <v>377</v>
      </c>
      <c r="C115" s="7">
        <v>4099.3999999999996</v>
      </c>
      <c r="D115" s="6">
        <v>21.1</v>
      </c>
      <c r="E115" s="7">
        <v>3020</v>
      </c>
      <c r="F115" s="6">
        <v>24.4</v>
      </c>
      <c r="G115" s="7">
        <v>110113</v>
      </c>
      <c r="H115" s="7">
        <v>5463</v>
      </c>
      <c r="I115" s="7">
        <v>3512.6</v>
      </c>
      <c r="J115" s="7">
        <v>451397992</v>
      </c>
      <c r="K115" s="6">
        <v>99.6</v>
      </c>
      <c r="L115" s="6">
        <v>97.2</v>
      </c>
      <c r="M115" s="6">
        <v>84.9</v>
      </c>
      <c r="N115" s="6">
        <v>43.1</v>
      </c>
      <c r="O115" s="6">
        <v>6.4</v>
      </c>
      <c r="P115" s="8">
        <f t="shared" si="1"/>
        <v>96.042125957446814</v>
      </c>
      <c r="Q115" s="6"/>
      <c r="R115" s="6"/>
    </row>
    <row r="116" spans="1:18" x14ac:dyDescent="0.25">
      <c r="A116" s="6" t="s">
        <v>316</v>
      </c>
      <c r="B116" s="6">
        <f>VLOOKUP(A116,[2]Metadata_isolates!$A$1:$B$370,2,FALSE)</f>
        <v>377</v>
      </c>
      <c r="C116" s="7">
        <v>3776.5</v>
      </c>
      <c r="D116" s="6">
        <v>17.5</v>
      </c>
      <c r="E116" s="7">
        <v>2759</v>
      </c>
      <c r="F116" s="6">
        <v>20.8</v>
      </c>
      <c r="G116" s="7">
        <v>120083</v>
      </c>
      <c r="H116" s="7">
        <v>4925</v>
      </c>
      <c r="I116" s="7">
        <v>5327.8</v>
      </c>
      <c r="J116" s="7">
        <v>453490547</v>
      </c>
      <c r="K116" s="6">
        <v>97.1</v>
      </c>
      <c r="L116" s="6">
        <v>91.7</v>
      </c>
      <c r="M116" s="6">
        <v>60.7</v>
      </c>
      <c r="N116" s="6">
        <v>6</v>
      </c>
      <c r="O116" s="6">
        <v>0</v>
      </c>
      <c r="P116" s="8">
        <f t="shared" si="1"/>
        <v>96.487350425531915</v>
      </c>
      <c r="Q116" s="6"/>
      <c r="R116" s="6"/>
    </row>
    <row r="117" spans="1:18" x14ac:dyDescent="0.25">
      <c r="A117" s="6" t="s">
        <v>372</v>
      </c>
      <c r="B117" s="6">
        <f>VLOOKUP(A117,[2]Metadata_isolates!$A$1:$B$370,2,FALSE)</f>
        <v>377</v>
      </c>
      <c r="C117" s="7">
        <v>4031.9</v>
      </c>
      <c r="D117" s="6">
        <v>17.100000000000001</v>
      </c>
      <c r="E117" s="7">
        <v>2871</v>
      </c>
      <c r="F117" s="6">
        <v>20.7</v>
      </c>
      <c r="G117" s="7">
        <v>112739</v>
      </c>
      <c r="H117" s="7">
        <v>5354</v>
      </c>
      <c r="I117" s="7">
        <v>6036</v>
      </c>
      <c r="J117" s="7">
        <v>454553485</v>
      </c>
      <c r="K117" s="6">
        <v>96.7</v>
      </c>
      <c r="L117" s="6">
        <v>90.8</v>
      </c>
      <c r="M117" s="6">
        <v>59.7</v>
      </c>
      <c r="N117" s="6">
        <v>5.5</v>
      </c>
      <c r="O117" s="6">
        <v>0</v>
      </c>
      <c r="P117" s="8">
        <f t="shared" si="1"/>
        <v>96.713507446808507</v>
      </c>
      <c r="Q117" s="6"/>
      <c r="R117" s="6"/>
    </row>
    <row r="118" spans="1:18" x14ac:dyDescent="0.25">
      <c r="A118" s="6" t="s">
        <v>293</v>
      </c>
      <c r="B118" s="6">
        <f>VLOOKUP(A118,[2]Metadata_isolates!$A$1:$B$370,2,FALSE)</f>
        <v>377</v>
      </c>
      <c r="C118" s="7">
        <v>3491.1</v>
      </c>
      <c r="D118" s="6">
        <v>16.5</v>
      </c>
      <c r="E118" s="7">
        <v>2551</v>
      </c>
      <c r="F118" s="6">
        <v>20.2</v>
      </c>
      <c r="G118" s="7">
        <v>130870</v>
      </c>
      <c r="H118" s="7">
        <v>4452</v>
      </c>
      <c r="I118" s="7">
        <v>5852.8</v>
      </c>
      <c r="J118" s="7">
        <v>456875498</v>
      </c>
      <c r="K118" s="6">
        <v>95.7</v>
      </c>
      <c r="L118" s="6">
        <v>88.9</v>
      </c>
      <c r="M118" s="6">
        <v>53.4</v>
      </c>
      <c r="N118" s="6">
        <v>2.7</v>
      </c>
      <c r="O118" s="6">
        <v>0</v>
      </c>
      <c r="P118" s="8">
        <f t="shared" si="1"/>
        <v>97.207552765957445</v>
      </c>
      <c r="Q118" s="6"/>
      <c r="R118" s="6"/>
    </row>
    <row r="119" spans="1:18" x14ac:dyDescent="0.25">
      <c r="A119" s="6" t="s">
        <v>447</v>
      </c>
      <c r="B119" s="6">
        <f>VLOOKUP(A119,[2]Metadata_isolates!$A$1:$B$370,2,FALSE)</f>
        <v>377</v>
      </c>
      <c r="C119" s="7">
        <v>6440.2</v>
      </c>
      <c r="D119" s="6">
        <v>22.2</v>
      </c>
      <c r="E119" s="7">
        <v>4657</v>
      </c>
      <c r="F119" s="6">
        <v>25.3</v>
      </c>
      <c r="G119" s="7">
        <v>70992</v>
      </c>
      <c r="H119" s="7">
        <v>8861</v>
      </c>
      <c r="I119" s="7">
        <v>5581.8</v>
      </c>
      <c r="J119" s="7">
        <v>457200715</v>
      </c>
      <c r="K119" s="6">
        <v>99.8</v>
      </c>
      <c r="L119" s="6">
        <v>98.2</v>
      </c>
      <c r="M119" s="6">
        <v>89.2</v>
      </c>
      <c r="N119" s="6">
        <v>52.9</v>
      </c>
      <c r="O119" s="6">
        <v>8.1</v>
      </c>
      <c r="P119" s="8">
        <f t="shared" si="1"/>
        <v>97.276747872340422</v>
      </c>
      <c r="Q119" s="6"/>
      <c r="R119" s="6"/>
    </row>
    <row r="120" spans="1:18" x14ac:dyDescent="0.25">
      <c r="A120" s="6" t="s">
        <v>206</v>
      </c>
      <c r="B120" s="6">
        <f>VLOOKUP(A120,[2]Metadata_isolates!$A$1:$B$370,2,FALSE)</f>
        <v>377</v>
      </c>
      <c r="C120" s="7">
        <v>3946.1</v>
      </c>
      <c r="D120" s="6">
        <v>21.5</v>
      </c>
      <c r="E120" s="7">
        <v>2887</v>
      </c>
      <c r="F120" s="6">
        <v>25</v>
      </c>
      <c r="G120" s="7">
        <v>115893</v>
      </c>
      <c r="H120" s="7">
        <v>5222</v>
      </c>
      <c r="I120" s="7">
        <v>4317.7</v>
      </c>
      <c r="J120" s="7">
        <v>457326322</v>
      </c>
      <c r="K120" s="6">
        <v>99.7</v>
      </c>
      <c r="L120" s="6">
        <v>97.5</v>
      </c>
      <c r="M120" s="6">
        <v>86.4</v>
      </c>
      <c r="N120" s="6">
        <v>49.8</v>
      </c>
      <c r="O120" s="6">
        <v>8.5</v>
      </c>
      <c r="P120" s="8">
        <f t="shared" si="1"/>
        <v>97.303472765957451</v>
      </c>
      <c r="Q120" s="6"/>
      <c r="R120" s="6"/>
    </row>
    <row r="121" spans="1:18" x14ac:dyDescent="0.25">
      <c r="A121" s="6" t="s">
        <v>282</v>
      </c>
      <c r="B121" s="6">
        <f>VLOOKUP(A121,[2]Metadata_isolates!$A$1:$B$370,2,FALSE)</f>
        <v>377</v>
      </c>
      <c r="C121" s="7">
        <v>3702.2</v>
      </c>
      <c r="D121" s="6">
        <v>21.6</v>
      </c>
      <c r="E121" s="7">
        <v>2747</v>
      </c>
      <c r="F121" s="6">
        <v>24.9</v>
      </c>
      <c r="G121" s="7">
        <v>123871</v>
      </c>
      <c r="H121" s="7">
        <v>4818</v>
      </c>
      <c r="I121" s="7">
        <v>3151.4</v>
      </c>
      <c r="J121" s="7">
        <v>458598282</v>
      </c>
      <c r="K121" s="6">
        <v>99.6</v>
      </c>
      <c r="L121" s="6">
        <v>97.6</v>
      </c>
      <c r="M121" s="6">
        <v>87.9</v>
      </c>
      <c r="N121" s="6">
        <v>49.3</v>
      </c>
      <c r="O121" s="6">
        <v>7.8</v>
      </c>
      <c r="P121" s="8">
        <f t="shared" si="1"/>
        <v>97.574102553191494</v>
      </c>
      <c r="Q121" s="6"/>
      <c r="R121" s="6"/>
    </row>
    <row r="122" spans="1:18" x14ac:dyDescent="0.25">
      <c r="A122" s="6" t="s">
        <v>229</v>
      </c>
      <c r="B122" s="6">
        <f>VLOOKUP(A122,[2]Metadata_isolates!$A$1:$B$370,2,FALSE)</f>
        <v>377</v>
      </c>
      <c r="C122" s="7">
        <v>3834.9</v>
      </c>
      <c r="D122" s="6">
        <v>21.8</v>
      </c>
      <c r="E122" s="7">
        <v>2766</v>
      </c>
      <c r="F122" s="6">
        <v>25.1</v>
      </c>
      <c r="G122" s="7">
        <v>119645</v>
      </c>
      <c r="H122" s="7">
        <v>5050</v>
      </c>
      <c r="I122" s="7">
        <v>3354.1</v>
      </c>
      <c r="J122" s="7">
        <v>458823320</v>
      </c>
      <c r="K122" s="6">
        <v>99.7</v>
      </c>
      <c r="L122" s="6">
        <v>97.9</v>
      </c>
      <c r="M122" s="6">
        <v>87.6</v>
      </c>
      <c r="N122" s="6">
        <v>51.1</v>
      </c>
      <c r="O122" s="6">
        <v>8.8000000000000007</v>
      </c>
      <c r="P122" s="8">
        <f t="shared" si="1"/>
        <v>97.621982978723409</v>
      </c>
      <c r="Q122" s="6"/>
      <c r="R122" s="6"/>
    </row>
    <row r="123" spans="1:18" x14ac:dyDescent="0.25">
      <c r="A123" s="6" t="s">
        <v>392</v>
      </c>
      <c r="B123" s="6">
        <f>VLOOKUP(A123,[2]Metadata_isolates!$A$1:$B$370,2,FALSE)</f>
        <v>377</v>
      </c>
      <c r="C123" s="7">
        <v>3302.5</v>
      </c>
      <c r="D123" s="6">
        <v>20.6</v>
      </c>
      <c r="E123" s="7">
        <v>2436</v>
      </c>
      <c r="F123" s="6">
        <v>24</v>
      </c>
      <c r="G123" s="7">
        <v>139109</v>
      </c>
      <c r="H123" s="7">
        <v>4185</v>
      </c>
      <c r="I123" s="7">
        <v>2752.6</v>
      </c>
      <c r="J123" s="7">
        <v>459406099</v>
      </c>
      <c r="K123" s="6">
        <v>99.5</v>
      </c>
      <c r="L123" s="6">
        <v>96.8</v>
      </c>
      <c r="M123" s="6">
        <v>80.900000000000006</v>
      </c>
      <c r="N123" s="6">
        <v>40.5</v>
      </c>
      <c r="O123" s="6">
        <v>7.3</v>
      </c>
      <c r="P123" s="8">
        <f t="shared" si="1"/>
        <v>97.745978510638295</v>
      </c>
      <c r="Q123" s="6"/>
      <c r="R123" s="6"/>
    </row>
    <row r="124" spans="1:18" x14ac:dyDescent="0.25">
      <c r="A124" s="6" t="s">
        <v>431</v>
      </c>
      <c r="B124" s="6">
        <f>VLOOKUP(A124,[2]Metadata_isolates!$A$1:$B$370,2,FALSE)</f>
        <v>377</v>
      </c>
      <c r="C124" s="7">
        <v>4078.8</v>
      </c>
      <c r="D124" s="6">
        <v>21.1</v>
      </c>
      <c r="E124" s="7">
        <v>2944</v>
      </c>
      <c r="F124" s="6">
        <v>24.5</v>
      </c>
      <c r="G124" s="7">
        <v>112984</v>
      </c>
      <c r="H124" s="7">
        <v>5495</v>
      </c>
      <c r="I124" s="7">
        <v>3574.2</v>
      </c>
      <c r="J124" s="7">
        <v>460840579</v>
      </c>
      <c r="K124" s="6">
        <v>99.6</v>
      </c>
      <c r="L124" s="6">
        <v>97.1</v>
      </c>
      <c r="M124" s="6">
        <v>85.2</v>
      </c>
      <c r="N124" s="6">
        <v>44.8</v>
      </c>
      <c r="O124" s="6">
        <v>7</v>
      </c>
      <c r="P124" s="8">
        <f t="shared" si="1"/>
        <v>98.05118702127659</v>
      </c>
      <c r="Q124" s="6"/>
      <c r="R124" s="6"/>
    </row>
    <row r="125" spans="1:18" x14ac:dyDescent="0.25">
      <c r="A125" s="6" t="s">
        <v>115</v>
      </c>
      <c r="B125" s="6">
        <f>VLOOKUP(A125,[2]Metadata_isolates!$A$1:$B$370,2,FALSE)</f>
        <v>1499</v>
      </c>
      <c r="C125" s="7">
        <v>5806.1</v>
      </c>
      <c r="D125" s="6">
        <v>20.100000000000001</v>
      </c>
      <c r="E125" s="7">
        <v>4230</v>
      </c>
      <c r="F125" s="6">
        <v>23.1</v>
      </c>
      <c r="G125" s="7">
        <v>79779</v>
      </c>
      <c r="H125" s="7">
        <v>7873</v>
      </c>
      <c r="I125" s="7">
        <v>4902.2</v>
      </c>
      <c r="J125" s="7">
        <v>463208438</v>
      </c>
      <c r="K125" s="6">
        <v>99.7</v>
      </c>
      <c r="L125" s="6">
        <v>95.7</v>
      </c>
      <c r="M125" s="6">
        <v>78</v>
      </c>
      <c r="N125" s="6">
        <v>27.5</v>
      </c>
      <c r="O125" s="6">
        <v>1.7</v>
      </c>
      <c r="P125" s="8">
        <f t="shared" si="1"/>
        <v>98.554986808510634</v>
      </c>
      <c r="Q125" s="6"/>
      <c r="R125" s="6"/>
    </row>
    <row r="126" spans="1:18" x14ac:dyDescent="0.25">
      <c r="A126" s="6" t="s">
        <v>388</v>
      </c>
      <c r="B126" s="6">
        <f>VLOOKUP(A126,[2]Metadata_isolates!$A$1:$B$370,2,FALSE)</f>
        <v>377</v>
      </c>
      <c r="C126" s="7">
        <v>3841.5</v>
      </c>
      <c r="D126" s="6">
        <v>21.2</v>
      </c>
      <c r="E126" s="7">
        <v>2816</v>
      </c>
      <c r="F126" s="6">
        <v>24.6</v>
      </c>
      <c r="G126" s="7">
        <v>123605</v>
      </c>
      <c r="H126" s="7">
        <v>5064</v>
      </c>
      <c r="I126" s="7">
        <v>3240.7</v>
      </c>
      <c r="J126" s="7">
        <v>474829181</v>
      </c>
      <c r="K126" s="6">
        <v>99.6</v>
      </c>
      <c r="L126" s="6">
        <v>97.2</v>
      </c>
      <c r="M126" s="6">
        <v>85.4</v>
      </c>
      <c r="N126" s="6">
        <v>45.4</v>
      </c>
      <c r="O126" s="6">
        <v>7.7</v>
      </c>
      <c r="P126" s="8">
        <f t="shared" si="1"/>
        <v>101.02748531914894</v>
      </c>
      <c r="Q126" s="6"/>
      <c r="R126" s="6"/>
    </row>
    <row r="127" spans="1:18" x14ac:dyDescent="0.25">
      <c r="A127" s="6" t="s">
        <v>479</v>
      </c>
      <c r="B127" s="6">
        <f>VLOOKUP(A127,[2]Metadata_isolates!$A$1:$B$370,2,FALSE)</f>
        <v>377</v>
      </c>
      <c r="C127" s="7">
        <v>7407.5</v>
      </c>
      <c r="D127" s="6">
        <v>20.3</v>
      </c>
      <c r="E127" s="7">
        <v>5371.5</v>
      </c>
      <c r="F127" s="6">
        <v>23.3</v>
      </c>
      <c r="G127" s="7">
        <v>64120</v>
      </c>
      <c r="H127" s="7">
        <v>10255</v>
      </c>
      <c r="I127" s="7">
        <v>6330.2</v>
      </c>
      <c r="J127" s="7">
        <v>474966376</v>
      </c>
      <c r="K127" s="6">
        <v>99.8</v>
      </c>
      <c r="L127" s="6">
        <v>96.2</v>
      </c>
      <c r="M127" s="6">
        <v>78.8</v>
      </c>
      <c r="N127" s="6">
        <v>29</v>
      </c>
      <c r="O127" s="6">
        <v>1.7</v>
      </c>
      <c r="P127" s="8">
        <f t="shared" si="1"/>
        <v>101.05667574468085</v>
      </c>
      <c r="Q127" s="6"/>
      <c r="R127" s="6"/>
    </row>
    <row r="128" spans="1:18" x14ac:dyDescent="0.25">
      <c r="A128" s="6" t="s">
        <v>456</v>
      </c>
      <c r="B128" s="6">
        <f>VLOOKUP(A128,[2]Metadata_isolates!$A$1:$B$370,2,FALSE)</f>
        <v>377</v>
      </c>
      <c r="C128" s="7">
        <v>5618.2</v>
      </c>
      <c r="D128" s="6">
        <v>21.8</v>
      </c>
      <c r="E128" s="7">
        <v>4036</v>
      </c>
      <c r="F128" s="6">
        <v>25.1</v>
      </c>
      <c r="G128" s="7">
        <v>84703</v>
      </c>
      <c r="H128" s="7">
        <v>7775</v>
      </c>
      <c r="I128" s="7">
        <v>5359.2</v>
      </c>
      <c r="J128" s="7">
        <v>475876695</v>
      </c>
      <c r="K128" s="6">
        <v>99.8</v>
      </c>
      <c r="L128" s="6">
        <v>97.9</v>
      </c>
      <c r="M128" s="6">
        <v>87.2</v>
      </c>
      <c r="N128" s="6">
        <v>50.7</v>
      </c>
      <c r="O128" s="6">
        <v>8.3000000000000007</v>
      </c>
      <c r="P128" s="8">
        <f t="shared" si="1"/>
        <v>101.25036063829788</v>
      </c>
      <c r="Q128" s="6"/>
      <c r="R128" s="6"/>
    </row>
    <row r="129" spans="1:18" x14ac:dyDescent="0.25">
      <c r="A129" s="6" t="s">
        <v>482</v>
      </c>
      <c r="B129" s="6">
        <f>VLOOKUP(A129,[2]Metadata_isolates!$A$1:$B$370,2,FALSE)</f>
        <v>377</v>
      </c>
      <c r="C129" s="7">
        <v>7996.4</v>
      </c>
      <c r="D129" s="6">
        <v>20.2</v>
      </c>
      <c r="E129" s="7">
        <v>5787</v>
      </c>
      <c r="F129" s="6">
        <v>23.1</v>
      </c>
      <c r="G129" s="7">
        <v>59911</v>
      </c>
      <c r="H129" s="7">
        <v>11094</v>
      </c>
      <c r="I129" s="7">
        <v>7070.4</v>
      </c>
      <c r="J129" s="7">
        <v>479073742</v>
      </c>
      <c r="K129" s="6">
        <v>99.8</v>
      </c>
      <c r="L129" s="6">
        <v>95.8</v>
      </c>
      <c r="M129" s="6">
        <v>77.400000000000006</v>
      </c>
      <c r="N129" s="6">
        <v>28.3</v>
      </c>
      <c r="O129" s="6">
        <v>1.6</v>
      </c>
      <c r="P129" s="8">
        <f t="shared" ref="P129:P192" si="2">J129/4700000</f>
        <v>101.93058340425532</v>
      </c>
      <c r="Q129" s="6"/>
      <c r="R129" s="6"/>
    </row>
    <row r="130" spans="1:18" x14ac:dyDescent="0.25">
      <c r="A130" s="6" t="s">
        <v>156</v>
      </c>
      <c r="B130" s="6">
        <f>VLOOKUP(A130,[2]Metadata_isolates!$A$1:$B$370,2,FALSE)</f>
        <v>377</v>
      </c>
      <c r="C130" s="7">
        <v>7335</v>
      </c>
      <c r="D130" s="6">
        <v>20.2</v>
      </c>
      <c r="E130" s="7">
        <v>5379.5</v>
      </c>
      <c r="F130" s="6">
        <v>23</v>
      </c>
      <c r="G130" s="7">
        <v>65718</v>
      </c>
      <c r="H130" s="7">
        <v>10001</v>
      </c>
      <c r="I130" s="7">
        <v>6042.5</v>
      </c>
      <c r="J130" s="7">
        <v>482041201</v>
      </c>
      <c r="K130" s="6">
        <v>99.8</v>
      </c>
      <c r="L130" s="6">
        <v>95.9</v>
      </c>
      <c r="M130" s="6">
        <v>77.3</v>
      </c>
      <c r="N130" s="6">
        <v>26.8</v>
      </c>
      <c r="O130" s="6">
        <v>1.5</v>
      </c>
      <c r="P130" s="8">
        <f t="shared" si="2"/>
        <v>102.56195765957447</v>
      </c>
      <c r="Q130" s="6"/>
      <c r="R130" s="6"/>
    </row>
    <row r="131" spans="1:18" x14ac:dyDescent="0.25">
      <c r="A131" s="6" t="s">
        <v>188</v>
      </c>
      <c r="B131" s="6">
        <f>VLOOKUP(A131,[2]Metadata_isolates!$A$1:$B$370,2,FALSE)</f>
        <v>377</v>
      </c>
      <c r="C131" s="7">
        <v>3676.9</v>
      </c>
      <c r="D131" s="6">
        <v>21.6</v>
      </c>
      <c r="E131" s="7">
        <v>2721</v>
      </c>
      <c r="F131" s="6">
        <v>25</v>
      </c>
      <c r="G131" s="7">
        <v>131886</v>
      </c>
      <c r="H131" s="7">
        <v>4788</v>
      </c>
      <c r="I131" s="7">
        <v>3551.2</v>
      </c>
      <c r="J131" s="7">
        <v>484933770</v>
      </c>
      <c r="K131" s="6">
        <v>99.6</v>
      </c>
      <c r="L131" s="6">
        <v>97.6</v>
      </c>
      <c r="M131" s="6">
        <v>87.9</v>
      </c>
      <c r="N131" s="6">
        <v>50.6</v>
      </c>
      <c r="O131" s="6">
        <v>8.3000000000000007</v>
      </c>
      <c r="P131" s="8">
        <f t="shared" si="2"/>
        <v>103.17739787234042</v>
      </c>
      <c r="Q131" s="6"/>
      <c r="R131" s="6"/>
    </row>
    <row r="132" spans="1:18" x14ac:dyDescent="0.25">
      <c r="A132" s="6" t="s">
        <v>220</v>
      </c>
      <c r="B132" s="6">
        <f>VLOOKUP(A132,[2]Metadata_isolates!$A$1:$B$370,2,FALSE)</f>
        <v>377</v>
      </c>
      <c r="C132" s="7">
        <v>4225.1000000000004</v>
      </c>
      <c r="D132" s="6">
        <v>21.9</v>
      </c>
      <c r="E132" s="7">
        <v>3134</v>
      </c>
      <c r="F132" s="6">
        <v>25.2</v>
      </c>
      <c r="G132" s="7">
        <v>114843</v>
      </c>
      <c r="H132" s="7">
        <v>5672</v>
      </c>
      <c r="I132" s="7">
        <v>3541</v>
      </c>
      <c r="J132" s="7">
        <v>485223650</v>
      </c>
      <c r="K132" s="6">
        <v>99.7</v>
      </c>
      <c r="L132" s="6">
        <v>97.9</v>
      </c>
      <c r="M132" s="6">
        <v>89.5</v>
      </c>
      <c r="N132" s="6">
        <v>52.8</v>
      </c>
      <c r="O132" s="6">
        <v>8.1</v>
      </c>
      <c r="P132" s="8">
        <f t="shared" si="2"/>
        <v>103.23907446808511</v>
      </c>
      <c r="Q132" s="6"/>
      <c r="R132" s="6"/>
    </row>
    <row r="133" spans="1:18" x14ac:dyDescent="0.25">
      <c r="A133" s="6" t="s">
        <v>419</v>
      </c>
      <c r="B133" s="6">
        <f>VLOOKUP(A133,[2]Metadata_isolates!$A$1:$B$370,2,FALSE)</f>
        <v>377</v>
      </c>
      <c r="C133" s="7">
        <v>3373</v>
      </c>
      <c r="D133" s="6">
        <v>20.6</v>
      </c>
      <c r="E133" s="7">
        <v>2521</v>
      </c>
      <c r="F133" s="6">
        <v>24</v>
      </c>
      <c r="G133" s="7">
        <v>144450</v>
      </c>
      <c r="H133" s="7">
        <v>4270</v>
      </c>
      <c r="I133" s="7">
        <v>3627.2</v>
      </c>
      <c r="J133" s="7">
        <v>487231954</v>
      </c>
      <c r="K133" s="6">
        <v>99.4</v>
      </c>
      <c r="L133" s="6">
        <v>96.6</v>
      </c>
      <c r="M133" s="6">
        <v>82.6</v>
      </c>
      <c r="N133" s="6">
        <v>39.700000000000003</v>
      </c>
      <c r="O133" s="6">
        <v>6.5</v>
      </c>
      <c r="P133" s="8">
        <f t="shared" si="2"/>
        <v>103.66637319148936</v>
      </c>
      <c r="Q133" s="6"/>
      <c r="R133" s="6"/>
    </row>
    <row r="134" spans="1:18" x14ac:dyDescent="0.25">
      <c r="A134" s="6" t="s">
        <v>371</v>
      </c>
      <c r="B134" s="6">
        <f>VLOOKUP(A134,[2]Metadata_isolates!$A$1:$B$370,2,FALSE)</f>
        <v>377</v>
      </c>
      <c r="C134" s="7">
        <v>4806.3999999999996</v>
      </c>
      <c r="D134" s="6">
        <v>17.100000000000001</v>
      </c>
      <c r="E134" s="7">
        <v>3366</v>
      </c>
      <c r="F134" s="6">
        <v>21</v>
      </c>
      <c r="G134" s="7">
        <v>102059</v>
      </c>
      <c r="H134" s="7">
        <v>6707</v>
      </c>
      <c r="I134" s="7">
        <v>9084.6</v>
      </c>
      <c r="J134" s="7">
        <v>490532886</v>
      </c>
      <c r="K134" s="6">
        <v>96.4</v>
      </c>
      <c r="L134" s="6">
        <v>90.4</v>
      </c>
      <c r="M134" s="6">
        <v>61.7</v>
      </c>
      <c r="N134" s="6">
        <v>7.6</v>
      </c>
      <c r="O134" s="6">
        <v>0</v>
      </c>
      <c r="P134" s="8">
        <f t="shared" si="2"/>
        <v>104.36869914893617</v>
      </c>
      <c r="Q134" s="6"/>
      <c r="R134" s="6"/>
    </row>
    <row r="135" spans="1:18" x14ac:dyDescent="0.25">
      <c r="A135" s="6" t="s">
        <v>351</v>
      </c>
      <c r="B135" s="6">
        <f>VLOOKUP(A135,[2]Metadata_isolates!$A$1:$B$370,2,FALSE)</f>
        <v>377</v>
      </c>
      <c r="C135" s="7">
        <v>4607.1000000000004</v>
      </c>
      <c r="D135" s="6">
        <v>17.3</v>
      </c>
      <c r="E135" s="7">
        <v>3291</v>
      </c>
      <c r="F135" s="6">
        <v>21.1</v>
      </c>
      <c r="G135" s="7">
        <v>106482</v>
      </c>
      <c r="H135" s="7">
        <v>6327</v>
      </c>
      <c r="I135" s="7">
        <v>6462.6</v>
      </c>
      <c r="J135" s="7">
        <v>490572292</v>
      </c>
      <c r="K135" s="6">
        <v>96.6</v>
      </c>
      <c r="L135" s="6">
        <v>90.6</v>
      </c>
      <c r="M135" s="6">
        <v>63.4</v>
      </c>
      <c r="N135" s="6">
        <v>8.4</v>
      </c>
      <c r="O135" s="6">
        <v>0</v>
      </c>
      <c r="P135" s="8">
        <f t="shared" si="2"/>
        <v>104.37708340425532</v>
      </c>
      <c r="Q135" s="6"/>
      <c r="R135" s="6"/>
    </row>
    <row r="136" spans="1:18" x14ac:dyDescent="0.25">
      <c r="A136" s="6" t="s">
        <v>166</v>
      </c>
      <c r="B136" s="6">
        <f>VLOOKUP(A136,[2]Metadata_isolates!$A$1:$B$370,2,FALSE)</f>
        <v>377</v>
      </c>
      <c r="C136" s="7">
        <v>5016.5</v>
      </c>
      <c r="D136" s="6">
        <v>21</v>
      </c>
      <c r="E136" s="7">
        <v>3494</v>
      </c>
      <c r="F136" s="6">
        <v>24.4</v>
      </c>
      <c r="G136" s="7">
        <v>98557</v>
      </c>
      <c r="H136" s="7">
        <v>7173</v>
      </c>
      <c r="I136" s="7">
        <v>4726.5</v>
      </c>
      <c r="J136" s="7">
        <v>494408965</v>
      </c>
      <c r="K136" s="6">
        <v>99.7</v>
      </c>
      <c r="L136" s="6">
        <v>97.1</v>
      </c>
      <c r="M136" s="6">
        <v>82</v>
      </c>
      <c r="N136" s="6">
        <v>44</v>
      </c>
      <c r="O136" s="6">
        <v>7.4</v>
      </c>
      <c r="P136" s="8">
        <f t="shared" si="2"/>
        <v>105.19339680851064</v>
      </c>
      <c r="Q136" s="6"/>
      <c r="R136" s="6"/>
    </row>
    <row r="137" spans="1:18" x14ac:dyDescent="0.25">
      <c r="A137" s="6" t="s">
        <v>469</v>
      </c>
      <c r="B137" s="6">
        <f>VLOOKUP(A137,[2]Metadata_isolates!$A$1:$B$370,2,FALSE)</f>
        <v>377</v>
      </c>
      <c r="C137" s="7">
        <v>6686</v>
      </c>
      <c r="D137" s="6">
        <v>21.9</v>
      </c>
      <c r="E137" s="7">
        <v>4814</v>
      </c>
      <c r="F137" s="6">
        <v>25.2</v>
      </c>
      <c r="G137" s="7">
        <v>75009</v>
      </c>
      <c r="H137" s="7">
        <v>9404</v>
      </c>
      <c r="I137" s="7">
        <v>5917.9</v>
      </c>
      <c r="J137" s="7">
        <v>501513421</v>
      </c>
      <c r="K137" s="6">
        <v>99.8</v>
      </c>
      <c r="L137" s="6">
        <v>97.8</v>
      </c>
      <c r="M137" s="6">
        <v>88.2</v>
      </c>
      <c r="N137" s="6">
        <v>51.9</v>
      </c>
      <c r="O137" s="6">
        <v>7.4</v>
      </c>
      <c r="P137" s="8">
        <f t="shared" si="2"/>
        <v>106.70498319148936</v>
      </c>
      <c r="Q137" s="6"/>
      <c r="R137" s="6"/>
    </row>
    <row r="138" spans="1:18" x14ac:dyDescent="0.25">
      <c r="A138" s="6" t="s">
        <v>379</v>
      </c>
      <c r="B138" s="6">
        <f>VLOOKUP(A138,[2]Metadata_isolates!$A$1:$B$370,2,FALSE)</f>
        <v>377</v>
      </c>
      <c r="C138" s="7">
        <v>5333.5</v>
      </c>
      <c r="D138" s="6">
        <v>20</v>
      </c>
      <c r="E138" s="7">
        <v>3854</v>
      </c>
      <c r="F138" s="6">
        <v>22.9</v>
      </c>
      <c r="G138" s="7">
        <v>94448</v>
      </c>
      <c r="H138" s="7">
        <v>7282</v>
      </c>
      <c r="I138" s="7">
        <v>4687.3</v>
      </c>
      <c r="J138" s="7">
        <v>503737426</v>
      </c>
      <c r="K138" s="6">
        <v>99.8</v>
      </c>
      <c r="L138" s="6">
        <v>95.5</v>
      </c>
      <c r="M138" s="6">
        <v>76.3</v>
      </c>
      <c r="N138" s="6">
        <v>25.8</v>
      </c>
      <c r="O138" s="6">
        <v>1.9</v>
      </c>
      <c r="P138" s="8">
        <f t="shared" si="2"/>
        <v>107.17817574468086</v>
      </c>
      <c r="Q138" s="6"/>
      <c r="R138" s="6"/>
    </row>
    <row r="139" spans="1:18" x14ac:dyDescent="0.25">
      <c r="A139" s="6" t="s">
        <v>153</v>
      </c>
      <c r="B139" s="6">
        <f>VLOOKUP(A139,[2]Metadata_isolates!$A$1:$B$370,2,FALSE)</f>
        <v>377</v>
      </c>
      <c r="C139" s="7">
        <v>5130.3</v>
      </c>
      <c r="D139" s="6">
        <v>17.399999999999999</v>
      </c>
      <c r="E139" s="7">
        <v>3514.5</v>
      </c>
      <c r="F139" s="6">
        <v>21.2</v>
      </c>
      <c r="G139" s="7">
        <v>98236</v>
      </c>
      <c r="H139" s="7">
        <v>7355</v>
      </c>
      <c r="I139" s="7">
        <v>9906.2000000000007</v>
      </c>
      <c r="J139" s="7">
        <v>503981655</v>
      </c>
      <c r="K139" s="6">
        <v>96.8</v>
      </c>
      <c r="L139" s="6">
        <v>91.1</v>
      </c>
      <c r="M139" s="6">
        <v>63.9</v>
      </c>
      <c r="N139" s="6">
        <v>9.4</v>
      </c>
      <c r="O139" s="6">
        <v>0</v>
      </c>
      <c r="P139" s="8">
        <f t="shared" si="2"/>
        <v>107.23013936170213</v>
      </c>
      <c r="Q139" s="6"/>
      <c r="R139" s="6"/>
    </row>
    <row r="140" spans="1:18" x14ac:dyDescent="0.25">
      <c r="A140" s="6" t="s">
        <v>237</v>
      </c>
      <c r="B140" s="6">
        <f>VLOOKUP(A140,[2]Metadata_isolates!$A$1:$B$370,2,FALSE)</f>
        <v>377</v>
      </c>
      <c r="C140" s="7">
        <v>3351</v>
      </c>
      <c r="D140" s="6">
        <v>21.2</v>
      </c>
      <c r="E140" s="7">
        <v>2518</v>
      </c>
      <c r="F140" s="6">
        <v>24.4</v>
      </c>
      <c r="G140" s="7">
        <v>150550</v>
      </c>
      <c r="H140" s="7">
        <v>4228</v>
      </c>
      <c r="I140" s="7">
        <v>2759.8</v>
      </c>
      <c r="J140" s="7">
        <v>504499205</v>
      </c>
      <c r="K140" s="6">
        <v>99.7</v>
      </c>
      <c r="L140" s="6">
        <v>97.6</v>
      </c>
      <c r="M140" s="6">
        <v>85.7</v>
      </c>
      <c r="N140" s="6">
        <v>42.6</v>
      </c>
      <c r="O140" s="6">
        <v>6.5</v>
      </c>
      <c r="P140" s="8">
        <f t="shared" si="2"/>
        <v>107.34025638297872</v>
      </c>
      <c r="Q140" s="6"/>
      <c r="R140" s="6"/>
    </row>
    <row r="141" spans="1:18" x14ac:dyDescent="0.25">
      <c r="A141" s="6" t="s">
        <v>417</v>
      </c>
      <c r="B141" s="6">
        <f>VLOOKUP(A141,[2]Metadata_isolates!$A$1:$B$370,2,FALSE)</f>
        <v>377</v>
      </c>
      <c r="C141" s="7">
        <v>3742.2</v>
      </c>
      <c r="D141" s="6">
        <v>21.2</v>
      </c>
      <c r="E141" s="7">
        <v>2802</v>
      </c>
      <c r="F141" s="6">
        <v>24.6</v>
      </c>
      <c r="G141" s="7">
        <v>135053</v>
      </c>
      <c r="H141" s="7">
        <v>4888</v>
      </c>
      <c r="I141" s="7">
        <v>3008</v>
      </c>
      <c r="J141" s="7">
        <v>505388972</v>
      </c>
      <c r="K141" s="6">
        <v>99.5</v>
      </c>
      <c r="L141" s="6">
        <v>97.3</v>
      </c>
      <c r="M141" s="6">
        <v>86.2</v>
      </c>
      <c r="N141" s="6">
        <v>45.6</v>
      </c>
      <c r="O141" s="6">
        <v>7.5</v>
      </c>
      <c r="P141" s="8">
        <f t="shared" si="2"/>
        <v>107.5295685106383</v>
      </c>
      <c r="Q141" s="6"/>
      <c r="R141" s="6"/>
    </row>
    <row r="142" spans="1:18" x14ac:dyDescent="0.25">
      <c r="A142" s="6" t="s">
        <v>131</v>
      </c>
      <c r="B142" s="6">
        <f>VLOOKUP(A142,[2]Metadata_isolates!$A$1:$B$370,2,FALSE)</f>
        <v>1058</v>
      </c>
      <c r="C142" s="7">
        <v>3930.9</v>
      </c>
      <c r="D142" s="6">
        <v>20.8</v>
      </c>
      <c r="E142" s="7">
        <v>2853</v>
      </c>
      <c r="F142" s="6">
        <v>24.3</v>
      </c>
      <c r="G142" s="7">
        <v>129162</v>
      </c>
      <c r="H142" s="7">
        <v>5203</v>
      </c>
      <c r="I142" s="7">
        <v>3515</v>
      </c>
      <c r="J142" s="7">
        <v>507724972</v>
      </c>
      <c r="K142" s="6">
        <v>99.6</v>
      </c>
      <c r="L142" s="6">
        <v>96.8</v>
      </c>
      <c r="M142" s="6">
        <v>81.8</v>
      </c>
      <c r="N142" s="6">
        <v>43.2</v>
      </c>
      <c r="O142" s="6">
        <v>7.5</v>
      </c>
      <c r="P142" s="8">
        <f t="shared" si="2"/>
        <v>108.02658978723404</v>
      </c>
      <c r="Q142" s="6"/>
      <c r="R142" s="6"/>
    </row>
    <row r="143" spans="1:18" x14ac:dyDescent="0.25">
      <c r="A143" s="6" t="s">
        <v>477</v>
      </c>
      <c r="B143" s="6">
        <f>VLOOKUP(A143,[2]Metadata_isolates!$A$1:$B$370,2,FALSE)</f>
        <v>377</v>
      </c>
      <c r="C143" s="7">
        <v>5716.7</v>
      </c>
      <c r="D143" s="6">
        <v>19.899999999999999</v>
      </c>
      <c r="E143" s="7">
        <v>3966</v>
      </c>
      <c r="F143" s="6">
        <v>22.7</v>
      </c>
      <c r="G143" s="7">
        <v>89032</v>
      </c>
      <c r="H143" s="7">
        <v>8031</v>
      </c>
      <c r="I143" s="7">
        <v>5276.1</v>
      </c>
      <c r="J143" s="7">
        <v>508972917</v>
      </c>
      <c r="K143" s="6">
        <v>99.9</v>
      </c>
      <c r="L143" s="6">
        <v>95.7</v>
      </c>
      <c r="M143" s="6">
        <v>74.2</v>
      </c>
      <c r="N143" s="6">
        <v>25.9</v>
      </c>
      <c r="O143" s="6">
        <v>2</v>
      </c>
      <c r="P143" s="8">
        <f t="shared" si="2"/>
        <v>108.29210999999999</v>
      </c>
      <c r="Q143" s="6"/>
      <c r="R143" s="6"/>
    </row>
    <row r="144" spans="1:18" x14ac:dyDescent="0.25">
      <c r="A144" s="6" t="s">
        <v>135</v>
      </c>
      <c r="B144" s="6">
        <f>VLOOKUP(A144,[2]Metadata_isolates!$A$1:$B$370,2,FALSE)</f>
        <v>377</v>
      </c>
      <c r="C144" s="7">
        <v>4118.5</v>
      </c>
      <c r="D144" s="6">
        <v>20.7</v>
      </c>
      <c r="E144" s="7">
        <v>2949</v>
      </c>
      <c r="F144" s="6">
        <v>24.3</v>
      </c>
      <c r="G144" s="7">
        <v>123731</v>
      </c>
      <c r="H144" s="7">
        <v>5571</v>
      </c>
      <c r="I144" s="7">
        <v>3765.2</v>
      </c>
      <c r="J144" s="7">
        <v>509580840</v>
      </c>
      <c r="K144" s="6">
        <v>99.6</v>
      </c>
      <c r="L144" s="6">
        <v>96.6</v>
      </c>
      <c r="M144" s="6">
        <v>81.400000000000006</v>
      </c>
      <c r="N144" s="6">
        <v>43.4</v>
      </c>
      <c r="O144" s="6">
        <v>7.7</v>
      </c>
      <c r="P144" s="8">
        <f t="shared" si="2"/>
        <v>108.42145531914893</v>
      </c>
      <c r="Q144" s="6"/>
      <c r="R144" s="6"/>
    </row>
    <row r="145" spans="1:18" x14ac:dyDescent="0.25">
      <c r="A145" s="6" t="s">
        <v>463</v>
      </c>
      <c r="B145" s="6">
        <f>VLOOKUP(A145,[2]Metadata_isolates!$A$1:$B$370,2,FALSE)</f>
        <v>377</v>
      </c>
      <c r="C145" s="7">
        <v>4914.7</v>
      </c>
      <c r="D145" s="6">
        <v>21.7</v>
      </c>
      <c r="E145" s="7">
        <v>3457</v>
      </c>
      <c r="F145" s="6">
        <v>24.8</v>
      </c>
      <c r="G145" s="7">
        <v>103706</v>
      </c>
      <c r="H145" s="7">
        <v>6930</v>
      </c>
      <c r="I145" s="7">
        <v>4721.8</v>
      </c>
      <c r="J145" s="7">
        <v>509679656</v>
      </c>
      <c r="K145" s="6">
        <v>99.8</v>
      </c>
      <c r="L145" s="6">
        <v>97.9</v>
      </c>
      <c r="M145" s="6">
        <v>86.6</v>
      </c>
      <c r="N145" s="6">
        <v>48.4</v>
      </c>
      <c r="O145" s="6">
        <v>8</v>
      </c>
      <c r="P145" s="8">
        <f t="shared" si="2"/>
        <v>108.44248</v>
      </c>
      <c r="Q145" s="6"/>
      <c r="R145" s="6"/>
    </row>
    <row r="146" spans="1:18" x14ac:dyDescent="0.25">
      <c r="A146" s="6" t="s">
        <v>423</v>
      </c>
      <c r="B146" s="6">
        <f>VLOOKUP(A146,[2]Metadata_isolates!$A$1:$B$370,2,FALSE)</f>
        <v>377</v>
      </c>
      <c r="C146" s="7">
        <v>3314.9</v>
      </c>
      <c r="D146" s="6">
        <v>20.7</v>
      </c>
      <c r="E146" s="7">
        <v>2483</v>
      </c>
      <c r="F146" s="6">
        <v>24</v>
      </c>
      <c r="G146" s="7">
        <v>154184</v>
      </c>
      <c r="H146" s="7">
        <v>4188</v>
      </c>
      <c r="I146" s="7">
        <v>2676.3</v>
      </c>
      <c r="J146" s="7">
        <v>511106120</v>
      </c>
      <c r="K146" s="6">
        <v>99.5</v>
      </c>
      <c r="L146" s="6">
        <v>96.9</v>
      </c>
      <c r="M146" s="6">
        <v>83.1</v>
      </c>
      <c r="N146" s="6">
        <v>39.9</v>
      </c>
      <c r="O146" s="6">
        <v>6.4</v>
      </c>
      <c r="P146" s="8">
        <f t="shared" si="2"/>
        <v>108.7459829787234</v>
      </c>
      <c r="Q146" s="6"/>
      <c r="R146" s="6"/>
    </row>
    <row r="147" spans="1:18" x14ac:dyDescent="0.25">
      <c r="A147" s="6" t="s">
        <v>334</v>
      </c>
      <c r="B147" s="6">
        <f>VLOOKUP(A147,[2]Metadata_isolates!$A$1:$B$370,2,FALSE)</f>
        <v>377</v>
      </c>
      <c r="C147" s="7">
        <v>5799.2</v>
      </c>
      <c r="D147" s="6">
        <v>18.2</v>
      </c>
      <c r="E147" s="7">
        <v>4334</v>
      </c>
      <c r="F147" s="6">
        <v>21.7</v>
      </c>
      <c r="G147" s="7">
        <v>88350</v>
      </c>
      <c r="H147" s="7">
        <v>7801</v>
      </c>
      <c r="I147" s="7">
        <v>6058.4</v>
      </c>
      <c r="J147" s="7">
        <v>512357781</v>
      </c>
      <c r="K147" s="6">
        <v>97.8</v>
      </c>
      <c r="L147" s="6">
        <v>92.6</v>
      </c>
      <c r="M147" s="6">
        <v>70.5</v>
      </c>
      <c r="N147" s="6">
        <v>11.3</v>
      </c>
      <c r="O147" s="6">
        <v>0</v>
      </c>
      <c r="P147" s="8">
        <f t="shared" si="2"/>
        <v>109.01229382978724</v>
      </c>
      <c r="Q147" s="6"/>
      <c r="R147" s="6"/>
    </row>
    <row r="148" spans="1:18" x14ac:dyDescent="0.25">
      <c r="A148" s="6" t="s">
        <v>218</v>
      </c>
      <c r="B148" s="6">
        <f>VLOOKUP(A148,[2]Metadata_isolates!$A$1:$B$370,2,FALSE)</f>
        <v>377</v>
      </c>
      <c r="C148" s="7">
        <v>3476.9</v>
      </c>
      <c r="D148" s="6">
        <v>21.6</v>
      </c>
      <c r="E148" s="7">
        <v>2568</v>
      </c>
      <c r="F148" s="6">
        <v>24.9</v>
      </c>
      <c r="G148" s="7">
        <v>147525</v>
      </c>
      <c r="H148" s="7">
        <v>4433</v>
      </c>
      <c r="I148" s="7">
        <v>2930</v>
      </c>
      <c r="J148" s="7">
        <v>512932848</v>
      </c>
      <c r="K148" s="6">
        <v>99.7</v>
      </c>
      <c r="L148" s="6">
        <v>97.7</v>
      </c>
      <c r="M148" s="6">
        <v>86.6</v>
      </c>
      <c r="N148" s="6">
        <v>48.8</v>
      </c>
      <c r="O148" s="6">
        <v>8.6</v>
      </c>
      <c r="P148" s="8">
        <f t="shared" si="2"/>
        <v>109.1346485106383</v>
      </c>
      <c r="Q148" s="6"/>
      <c r="R148" s="6"/>
    </row>
    <row r="149" spans="1:18" x14ac:dyDescent="0.25">
      <c r="A149" s="6" t="s">
        <v>473</v>
      </c>
      <c r="B149" s="6">
        <f>VLOOKUP(A149,[2]Metadata_isolates!$A$1:$B$370,2,FALSE)</f>
        <v>377</v>
      </c>
      <c r="C149" s="7">
        <v>5826.1</v>
      </c>
      <c r="D149" s="6">
        <v>21.9</v>
      </c>
      <c r="E149" s="7">
        <v>4192</v>
      </c>
      <c r="F149" s="6">
        <v>25</v>
      </c>
      <c r="G149" s="7">
        <v>88495</v>
      </c>
      <c r="H149" s="7">
        <v>8057</v>
      </c>
      <c r="I149" s="7">
        <v>5218.8</v>
      </c>
      <c r="J149" s="7">
        <v>515581598</v>
      </c>
      <c r="K149" s="6">
        <v>99.8</v>
      </c>
      <c r="L149" s="6">
        <v>98</v>
      </c>
      <c r="M149" s="6">
        <v>87.5</v>
      </c>
      <c r="N149" s="6">
        <v>50.4</v>
      </c>
      <c r="O149" s="6">
        <v>8.1</v>
      </c>
      <c r="P149" s="8">
        <f t="shared" si="2"/>
        <v>109.69821234042553</v>
      </c>
      <c r="Q149" s="6"/>
      <c r="R149" s="6"/>
    </row>
    <row r="150" spans="1:18" x14ac:dyDescent="0.25">
      <c r="A150" s="6" t="s">
        <v>364</v>
      </c>
      <c r="B150" s="6">
        <f>VLOOKUP(A150,[2]Metadata_isolates!$A$1:$B$370,2,FALSE)</f>
        <v>377</v>
      </c>
      <c r="C150" s="7">
        <v>4589.5</v>
      </c>
      <c r="D150" s="6">
        <v>17.3</v>
      </c>
      <c r="E150" s="7">
        <v>3374</v>
      </c>
      <c r="F150" s="6">
        <v>21</v>
      </c>
      <c r="G150" s="7">
        <v>112593</v>
      </c>
      <c r="H150" s="7">
        <v>6259</v>
      </c>
      <c r="I150" s="7">
        <v>4756</v>
      </c>
      <c r="J150" s="7">
        <v>516743269</v>
      </c>
      <c r="K150" s="6">
        <v>96.5</v>
      </c>
      <c r="L150" s="6">
        <v>90.1</v>
      </c>
      <c r="M150" s="6">
        <v>62.6</v>
      </c>
      <c r="N150" s="6">
        <v>7.9</v>
      </c>
      <c r="O150" s="6">
        <v>0</v>
      </c>
      <c r="P150" s="8">
        <f t="shared" si="2"/>
        <v>109.94537638297872</v>
      </c>
      <c r="Q150" s="6"/>
      <c r="R150" s="6"/>
    </row>
    <row r="151" spans="1:18" x14ac:dyDescent="0.25">
      <c r="A151" s="6" t="s">
        <v>231</v>
      </c>
      <c r="B151" s="6">
        <f>VLOOKUP(A151,[2]Metadata_isolates!$A$1:$B$370,2,FALSE)</f>
        <v>377</v>
      </c>
      <c r="C151" s="7">
        <v>3767.1</v>
      </c>
      <c r="D151" s="6">
        <v>21.8</v>
      </c>
      <c r="E151" s="7">
        <v>2752</v>
      </c>
      <c r="F151" s="6">
        <v>25.1</v>
      </c>
      <c r="G151" s="7">
        <v>138095</v>
      </c>
      <c r="H151" s="7">
        <v>4947</v>
      </c>
      <c r="I151" s="7">
        <v>3309.8</v>
      </c>
      <c r="J151" s="7">
        <v>520211748</v>
      </c>
      <c r="K151" s="6">
        <v>99.7</v>
      </c>
      <c r="L151" s="6">
        <v>97.9</v>
      </c>
      <c r="M151" s="6">
        <v>88.5</v>
      </c>
      <c r="N151" s="6">
        <v>51.4</v>
      </c>
      <c r="O151" s="6">
        <v>8.5</v>
      </c>
      <c r="P151" s="8">
        <f t="shared" si="2"/>
        <v>110.68335063829787</v>
      </c>
      <c r="Q151" s="6"/>
      <c r="R151" s="6"/>
    </row>
    <row r="152" spans="1:18" x14ac:dyDescent="0.25">
      <c r="A152" s="6" t="s">
        <v>270</v>
      </c>
      <c r="B152" s="6">
        <f>VLOOKUP(A152,[2]Metadata_isolates!$A$1:$B$370,2,FALSE)</f>
        <v>377</v>
      </c>
      <c r="C152" s="7">
        <v>3479.7</v>
      </c>
      <c r="D152" s="6">
        <v>21.5</v>
      </c>
      <c r="E152" s="7">
        <v>2589</v>
      </c>
      <c r="F152" s="6">
        <v>24.7</v>
      </c>
      <c r="G152" s="7">
        <v>149702</v>
      </c>
      <c r="H152" s="7">
        <v>4433</v>
      </c>
      <c r="I152" s="7">
        <v>2874.8</v>
      </c>
      <c r="J152" s="7">
        <v>520919696</v>
      </c>
      <c r="K152" s="6">
        <v>99.6</v>
      </c>
      <c r="L152" s="6">
        <v>97.6</v>
      </c>
      <c r="M152" s="6">
        <v>87.5</v>
      </c>
      <c r="N152" s="6">
        <v>45.9</v>
      </c>
      <c r="O152" s="6">
        <v>6.9</v>
      </c>
      <c r="P152" s="8">
        <f t="shared" si="2"/>
        <v>110.83397787234043</v>
      </c>
      <c r="Q152" s="6"/>
      <c r="R152" s="6"/>
    </row>
    <row r="153" spans="1:18" x14ac:dyDescent="0.25">
      <c r="A153" s="6" t="s">
        <v>363</v>
      </c>
      <c r="B153" s="6">
        <f>VLOOKUP(A153,[2]Metadata_isolates!$A$1:$B$370,2,FALSE)</f>
        <v>377</v>
      </c>
      <c r="C153" s="7">
        <v>3770.5</v>
      </c>
      <c r="D153" s="6">
        <v>16.8</v>
      </c>
      <c r="E153" s="7">
        <v>2746</v>
      </c>
      <c r="F153" s="6">
        <v>20.6</v>
      </c>
      <c r="G153" s="7">
        <v>138663</v>
      </c>
      <c r="H153" s="7">
        <v>4922</v>
      </c>
      <c r="I153" s="7">
        <v>5507.1</v>
      </c>
      <c r="J153" s="7">
        <v>522833838</v>
      </c>
      <c r="K153" s="6">
        <v>95.8</v>
      </c>
      <c r="L153" s="6">
        <v>89.3</v>
      </c>
      <c r="M153" s="6">
        <v>58.2</v>
      </c>
      <c r="N153" s="6">
        <v>4.9000000000000004</v>
      </c>
      <c r="O153" s="6">
        <v>0</v>
      </c>
      <c r="P153" s="8">
        <f t="shared" si="2"/>
        <v>111.24124212765958</v>
      </c>
      <c r="Q153" s="6"/>
      <c r="R153" s="6"/>
    </row>
    <row r="154" spans="1:18" x14ac:dyDescent="0.25">
      <c r="A154" s="6" t="s">
        <v>320</v>
      </c>
      <c r="B154" s="6">
        <f>VLOOKUP(A154,[2]Metadata_isolates!$A$1:$B$370,2,FALSE)</f>
        <v>377</v>
      </c>
      <c r="C154" s="7">
        <v>4849.7</v>
      </c>
      <c r="D154" s="6">
        <v>17.600000000000001</v>
      </c>
      <c r="E154" s="7">
        <v>3482</v>
      </c>
      <c r="F154" s="6">
        <v>21.3</v>
      </c>
      <c r="G154" s="7">
        <v>107816</v>
      </c>
      <c r="H154" s="7">
        <v>6697</v>
      </c>
      <c r="I154" s="7">
        <v>7184.3</v>
      </c>
      <c r="J154" s="7">
        <v>522871152</v>
      </c>
      <c r="K154" s="6">
        <v>97</v>
      </c>
      <c r="L154" s="6">
        <v>91.2</v>
      </c>
      <c r="M154" s="6">
        <v>65.5</v>
      </c>
      <c r="N154" s="6">
        <v>9.9</v>
      </c>
      <c r="O154" s="6">
        <v>0</v>
      </c>
      <c r="P154" s="8">
        <f t="shared" si="2"/>
        <v>111.24918127659575</v>
      </c>
      <c r="Q154" s="6"/>
      <c r="R154" s="6"/>
    </row>
    <row r="155" spans="1:18" x14ac:dyDescent="0.25">
      <c r="A155" s="6" t="s">
        <v>291</v>
      </c>
      <c r="B155" s="6">
        <f>VLOOKUP(A155,[2]Metadata_isolates!$A$1:$B$370,2,FALSE)</f>
        <v>377</v>
      </c>
      <c r="C155" s="7">
        <v>5157.1000000000004</v>
      </c>
      <c r="D155" s="6">
        <v>17.899999999999999</v>
      </c>
      <c r="E155" s="7">
        <v>3730</v>
      </c>
      <c r="F155" s="6">
        <v>21.5</v>
      </c>
      <c r="G155" s="7">
        <v>101745</v>
      </c>
      <c r="H155" s="7">
        <v>7118</v>
      </c>
      <c r="I155" s="7">
        <v>6045.9</v>
      </c>
      <c r="J155" s="7">
        <v>524712160</v>
      </c>
      <c r="K155" s="6">
        <v>97.4</v>
      </c>
      <c r="L155" s="6">
        <v>91.8</v>
      </c>
      <c r="M155" s="6">
        <v>67.8</v>
      </c>
      <c r="N155" s="6">
        <v>10.6</v>
      </c>
      <c r="O155" s="6">
        <v>0</v>
      </c>
      <c r="P155" s="8">
        <f t="shared" si="2"/>
        <v>111.64088510638298</v>
      </c>
      <c r="Q155" s="6"/>
      <c r="R155" s="6"/>
    </row>
    <row r="156" spans="1:18" x14ac:dyDescent="0.25">
      <c r="A156" s="6" t="s">
        <v>354</v>
      </c>
      <c r="B156" s="6">
        <f>VLOOKUP(A156,[2]Metadata_isolates!$A$1:$B$370,2,FALSE)</f>
        <v>377</v>
      </c>
      <c r="C156" s="7">
        <v>4221.1000000000004</v>
      </c>
      <c r="D156" s="6">
        <v>17.2</v>
      </c>
      <c r="E156" s="7">
        <v>3068</v>
      </c>
      <c r="F156" s="6">
        <v>20.8</v>
      </c>
      <c r="G156" s="7">
        <v>124843</v>
      </c>
      <c r="H156" s="7">
        <v>5610</v>
      </c>
      <c r="I156" s="7">
        <v>6647.6</v>
      </c>
      <c r="J156" s="7">
        <v>526977417</v>
      </c>
      <c r="K156" s="6">
        <v>96.5</v>
      </c>
      <c r="L156" s="6">
        <v>90.6</v>
      </c>
      <c r="M156" s="6">
        <v>60.3</v>
      </c>
      <c r="N156" s="6">
        <v>6.3</v>
      </c>
      <c r="O156" s="6">
        <v>0</v>
      </c>
      <c r="P156" s="8">
        <f t="shared" si="2"/>
        <v>112.12285468085106</v>
      </c>
      <c r="Q156" s="6"/>
      <c r="R156" s="6"/>
    </row>
    <row r="157" spans="1:18" x14ac:dyDescent="0.25">
      <c r="A157" s="6" t="s">
        <v>167</v>
      </c>
      <c r="B157" s="6">
        <f>VLOOKUP(A157,[2]Metadata_isolates!$A$1:$B$370,2,FALSE)</f>
        <v>377</v>
      </c>
      <c r="C157" s="7">
        <v>5263.5</v>
      </c>
      <c r="D157" s="6">
        <v>20.8</v>
      </c>
      <c r="E157" s="7">
        <v>3619</v>
      </c>
      <c r="F157" s="6">
        <v>24.4</v>
      </c>
      <c r="G157" s="7">
        <v>100221</v>
      </c>
      <c r="H157" s="7">
        <v>7648</v>
      </c>
      <c r="I157" s="7">
        <v>5134.1000000000004</v>
      </c>
      <c r="J157" s="7">
        <v>527514876</v>
      </c>
      <c r="K157" s="6">
        <v>99.7</v>
      </c>
      <c r="L157" s="6">
        <v>96.7</v>
      </c>
      <c r="M157" s="6">
        <v>81.3</v>
      </c>
      <c r="N157" s="6">
        <v>43.9</v>
      </c>
      <c r="O157" s="6">
        <v>7.2</v>
      </c>
      <c r="P157" s="8">
        <f t="shared" si="2"/>
        <v>112.23720765957447</v>
      </c>
      <c r="Q157" s="6"/>
      <c r="R157" s="6"/>
    </row>
    <row r="158" spans="1:18" x14ac:dyDescent="0.25">
      <c r="A158" s="6" t="s">
        <v>360</v>
      </c>
      <c r="B158" s="6">
        <f>VLOOKUP(A158,[2]Metadata_isolates!$A$1:$B$370,2,FALSE)</f>
        <v>1058</v>
      </c>
      <c r="C158" s="7">
        <v>6354.8</v>
      </c>
      <c r="D158" s="6">
        <v>20.3</v>
      </c>
      <c r="E158" s="7">
        <v>4197</v>
      </c>
      <c r="F158" s="6">
        <v>23.1</v>
      </c>
      <c r="G158" s="7">
        <v>83259</v>
      </c>
      <c r="H158" s="7">
        <v>9201</v>
      </c>
      <c r="I158" s="7">
        <v>6289.4</v>
      </c>
      <c r="J158" s="7">
        <v>529096410</v>
      </c>
      <c r="K158" s="6">
        <v>99.9</v>
      </c>
      <c r="L158" s="6">
        <v>96.3</v>
      </c>
      <c r="M158" s="6">
        <v>77.3</v>
      </c>
      <c r="N158" s="6">
        <v>28.3</v>
      </c>
      <c r="O158" s="6">
        <v>2</v>
      </c>
      <c r="P158" s="8">
        <f t="shared" si="2"/>
        <v>112.57370425531914</v>
      </c>
      <c r="Q158" s="6"/>
      <c r="R158" s="6"/>
    </row>
    <row r="159" spans="1:18" x14ac:dyDescent="0.25">
      <c r="A159" s="6" t="s">
        <v>248</v>
      </c>
      <c r="B159" s="6">
        <f>VLOOKUP(A159,[2]Metadata_isolates!$A$1:$B$370,2,FALSE)</f>
        <v>377</v>
      </c>
      <c r="C159" s="7">
        <v>3640.5</v>
      </c>
      <c r="D159" s="6">
        <v>20.9</v>
      </c>
      <c r="E159" s="7">
        <v>2538</v>
      </c>
      <c r="F159" s="6">
        <v>24.3</v>
      </c>
      <c r="G159" s="7">
        <v>146442</v>
      </c>
      <c r="H159" s="7">
        <v>4717</v>
      </c>
      <c r="I159" s="7">
        <v>3648.3</v>
      </c>
      <c r="J159" s="7">
        <v>533118324</v>
      </c>
      <c r="K159" s="6">
        <v>99.6</v>
      </c>
      <c r="L159" s="6">
        <v>97.1</v>
      </c>
      <c r="M159" s="6">
        <v>83.4</v>
      </c>
      <c r="N159" s="6">
        <v>42.3</v>
      </c>
      <c r="O159" s="6">
        <v>6.8</v>
      </c>
      <c r="P159" s="8">
        <f t="shared" si="2"/>
        <v>113.42943063829787</v>
      </c>
      <c r="Q159" s="6"/>
      <c r="R159" s="6"/>
    </row>
    <row r="160" spans="1:18" x14ac:dyDescent="0.25">
      <c r="A160" s="6" t="s">
        <v>232</v>
      </c>
      <c r="B160" s="6">
        <f>VLOOKUP(A160,[2]Metadata_isolates!$A$1:$B$370,2,FALSE)</f>
        <v>377</v>
      </c>
      <c r="C160" s="7">
        <v>3476.6</v>
      </c>
      <c r="D160" s="6">
        <v>21.3</v>
      </c>
      <c r="E160" s="7">
        <v>2627</v>
      </c>
      <c r="F160" s="6">
        <v>24.6</v>
      </c>
      <c r="G160" s="7">
        <v>154439</v>
      </c>
      <c r="H160" s="7">
        <v>4431</v>
      </c>
      <c r="I160" s="7">
        <v>2793.7</v>
      </c>
      <c r="J160" s="7">
        <v>536918805</v>
      </c>
      <c r="K160" s="6">
        <v>99.7</v>
      </c>
      <c r="L160" s="6">
        <v>97.5</v>
      </c>
      <c r="M160" s="6">
        <v>85.8</v>
      </c>
      <c r="N160" s="6">
        <v>45.7</v>
      </c>
      <c r="O160" s="6">
        <v>7.2</v>
      </c>
      <c r="P160" s="8">
        <f t="shared" si="2"/>
        <v>114.23804361702128</v>
      </c>
      <c r="Q160" s="6"/>
      <c r="R160" s="6"/>
    </row>
    <row r="161" spans="1:18" x14ac:dyDescent="0.25">
      <c r="A161" s="6" t="s">
        <v>350</v>
      </c>
      <c r="B161" s="6">
        <f>VLOOKUP(A161,[2]Metadata_isolates!$A$1:$B$370,2,FALSE)</f>
        <v>377</v>
      </c>
      <c r="C161" s="7">
        <v>4517.5</v>
      </c>
      <c r="D161" s="6">
        <v>17.399999999999999</v>
      </c>
      <c r="E161" s="7">
        <v>3222</v>
      </c>
      <c r="F161" s="6">
        <v>21</v>
      </c>
      <c r="G161" s="7">
        <v>119431</v>
      </c>
      <c r="H161" s="7">
        <v>6166</v>
      </c>
      <c r="I161" s="7">
        <v>7217.4</v>
      </c>
      <c r="J161" s="7">
        <v>539529478</v>
      </c>
      <c r="K161" s="6">
        <v>96.8</v>
      </c>
      <c r="L161" s="6">
        <v>90.8</v>
      </c>
      <c r="M161" s="6">
        <v>62.4</v>
      </c>
      <c r="N161" s="6">
        <v>7.8</v>
      </c>
      <c r="O161" s="6">
        <v>0</v>
      </c>
      <c r="P161" s="8">
        <f t="shared" si="2"/>
        <v>114.79350595744681</v>
      </c>
      <c r="Q161" s="6"/>
      <c r="R161" s="6"/>
    </row>
    <row r="162" spans="1:18" x14ac:dyDescent="0.25">
      <c r="A162" s="6" t="s">
        <v>300</v>
      </c>
      <c r="B162" s="6">
        <f>VLOOKUP(A162,[2]Metadata_isolates!$A$1:$B$370,2,FALSE)</f>
        <v>377</v>
      </c>
      <c r="C162" s="7">
        <v>5601.4</v>
      </c>
      <c r="D162" s="6">
        <v>17.8</v>
      </c>
      <c r="E162" s="7">
        <v>4095</v>
      </c>
      <c r="F162" s="6">
        <v>21.7</v>
      </c>
      <c r="G162" s="7">
        <v>96530</v>
      </c>
      <c r="H162" s="7">
        <v>7612</v>
      </c>
      <c r="I162" s="7">
        <v>6795.1</v>
      </c>
      <c r="J162" s="7">
        <v>540701254</v>
      </c>
      <c r="K162" s="6">
        <v>97</v>
      </c>
      <c r="L162" s="6">
        <v>91.5</v>
      </c>
      <c r="M162" s="6">
        <v>70.2</v>
      </c>
      <c r="N162" s="6">
        <v>11.9</v>
      </c>
      <c r="O162" s="6">
        <v>0</v>
      </c>
      <c r="P162" s="8">
        <f t="shared" si="2"/>
        <v>115.04282000000001</v>
      </c>
      <c r="Q162" s="6"/>
      <c r="R162" s="6"/>
    </row>
    <row r="163" spans="1:18" x14ac:dyDescent="0.25">
      <c r="A163" s="6" t="s">
        <v>216</v>
      </c>
      <c r="B163" s="6">
        <f>VLOOKUP(A163,[2]Metadata_isolates!$A$1:$B$370,2,FALSE)</f>
        <v>377</v>
      </c>
      <c r="C163" s="7">
        <v>3522.2</v>
      </c>
      <c r="D163" s="6">
        <v>21.8</v>
      </c>
      <c r="E163" s="7">
        <v>2569</v>
      </c>
      <c r="F163" s="6">
        <v>25.1</v>
      </c>
      <c r="G163" s="7">
        <v>154108</v>
      </c>
      <c r="H163" s="7">
        <v>4536</v>
      </c>
      <c r="I163" s="7">
        <v>3075.8</v>
      </c>
      <c r="J163" s="7">
        <v>542798927</v>
      </c>
      <c r="K163" s="6">
        <v>99.7</v>
      </c>
      <c r="L163" s="6">
        <v>97.8</v>
      </c>
      <c r="M163" s="6">
        <v>88.9</v>
      </c>
      <c r="N163" s="6">
        <v>50.9</v>
      </c>
      <c r="O163" s="6">
        <v>8.6</v>
      </c>
      <c r="P163" s="8">
        <f t="shared" si="2"/>
        <v>115.48913340425531</v>
      </c>
      <c r="Q163" s="6"/>
      <c r="R163" s="6"/>
    </row>
    <row r="164" spans="1:18" x14ac:dyDescent="0.25">
      <c r="A164" s="6" t="s">
        <v>362</v>
      </c>
      <c r="B164" s="6">
        <f>VLOOKUP(A164,[2]Metadata_isolates!$A$1:$B$370,2,FALSE)</f>
        <v>377</v>
      </c>
      <c r="C164" s="7">
        <v>3870.1</v>
      </c>
      <c r="D164" s="6">
        <v>16.899999999999999</v>
      </c>
      <c r="E164" s="7">
        <v>2844</v>
      </c>
      <c r="F164" s="6">
        <v>20.7</v>
      </c>
      <c r="G164" s="7">
        <v>141093</v>
      </c>
      <c r="H164" s="7">
        <v>5060</v>
      </c>
      <c r="I164" s="7">
        <v>4743.3</v>
      </c>
      <c r="J164" s="7">
        <v>546049978</v>
      </c>
      <c r="K164" s="6">
        <v>96.1</v>
      </c>
      <c r="L164" s="6">
        <v>89.7</v>
      </c>
      <c r="M164" s="6">
        <v>59.2</v>
      </c>
      <c r="N164" s="6">
        <v>5.2</v>
      </c>
      <c r="O164" s="6">
        <v>0</v>
      </c>
      <c r="P164" s="8">
        <f t="shared" si="2"/>
        <v>116.18084638297873</v>
      </c>
      <c r="Q164" s="6"/>
      <c r="R164" s="6"/>
    </row>
    <row r="165" spans="1:18" x14ac:dyDescent="0.25">
      <c r="A165" s="6" t="s">
        <v>263</v>
      </c>
      <c r="B165" s="6">
        <f>VLOOKUP(A165,[2]Metadata_isolates!$A$1:$B$370,2,FALSE)</f>
        <v>377</v>
      </c>
      <c r="C165" s="7">
        <v>3605.9</v>
      </c>
      <c r="D165" s="6">
        <v>20.9</v>
      </c>
      <c r="E165" s="7">
        <v>2674</v>
      </c>
      <c r="F165" s="6">
        <v>24.7</v>
      </c>
      <c r="G165" s="7">
        <v>151474</v>
      </c>
      <c r="H165" s="7">
        <v>4698</v>
      </c>
      <c r="I165" s="7">
        <v>3428.9</v>
      </c>
      <c r="J165" s="7">
        <v>546205101</v>
      </c>
      <c r="K165" s="6">
        <v>99.5</v>
      </c>
      <c r="L165" s="6">
        <v>97.2</v>
      </c>
      <c r="M165" s="6">
        <v>86</v>
      </c>
      <c r="N165" s="6">
        <v>46.5</v>
      </c>
      <c r="O165" s="6">
        <v>7.2</v>
      </c>
      <c r="P165" s="8">
        <f t="shared" si="2"/>
        <v>116.21385127659575</v>
      </c>
      <c r="Q165" s="6"/>
      <c r="R165" s="6"/>
    </row>
    <row r="166" spans="1:18" x14ac:dyDescent="0.25">
      <c r="A166" s="6" t="s">
        <v>256</v>
      </c>
      <c r="B166" s="6">
        <f>VLOOKUP(A166,[2]Metadata_isolates!$A$1:$B$370,2,FALSE)</f>
        <v>377</v>
      </c>
      <c r="C166" s="7">
        <v>3932.4</v>
      </c>
      <c r="D166" s="6">
        <v>22</v>
      </c>
      <c r="E166" s="7">
        <v>2916</v>
      </c>
      <c r="F166" s="6">
        <v>25.3</v>
      </c>
      <c r="G166" s="7">
        <v>139799</v>
      </c>
      <c r="H166" s="7">
        <v>5177</v>
      </c>
      <c r="I166" s="7">
        <v>3379.4</v>
      </c>
      <c r="J166" s="7">
        <v>549748447</v>
      </c>
      <c r="K166" s="6">
        <v>99.7</v>
      </c>
      <c r="L166" s="6">
        <v>97.9</v>
      </c>
      <c r="M166" s="6">
        <v>89.1</v>
      </c>
      <c r="N166" s="6">
        <v>53.4</v>
      </c>
      <c r="O166" s="6">
        <v>8.6999999999999993</v>
      </c>
      <c r="P166" s="8">
        <f t="shared" si="2"/>
        <v>116.96775468085106</v>
      </c>
      <c r="Q166" s="6"/>
      <c r="R166" s="6"/>
    </row>
    <row r="167" spans="1:18" x14ac:dyDescent="0.25">
      <c r="A167" s="6" t="s">
        <v>312</v>
      </c>
      <c r="B167" s="6">
        <f>VLOOKUP(A167,[2]Metadata_isolates!$A$1:$B$370,2,FALSE)</f>
        <v>377</v>
      </c>
      <c r="C167" s="7">
        <v>4606.3</v>
      </c>
      <c r="D167" s="6">
        <v>17.399999999999999</v>
      </c>
      <c r="E167" s="7">
        <v>3293</v>
      </c>
      <c r="F167" s="6">
        <v>21.1</v>
      </c>
      <c r="G167" s="7">
        <v>119701</v>
      </c>
      <c r="H167" s="7">
        <v>6357</v>
      </c>
      <c r="I167" s="7">
        <v>5388.3</v>
      </c>
      <c r="J167" s="7">
        <v>551373885</v>
      </c>
      <c r="K167" s="6">
        <v>96.9</v>
      </c>
      <c r="L167" s="6">
        <v>91</v>
      </c>
      <c r="M167" s="6">
        <v>63.5</v>
      </c>
      <c r="N167" s="6">
        <v>8.6999999999999993</v>
      </c>
      <c r="O167" s="6">
        <v>0</v>
      </c>
      <c r="P167" s="8">
        <f t="shared" si="2"/>
        <v>117.31359255319148</v>
      </c>
      <c r="Q167" s="6"/>
      <c r="R167" s="6"/>
    </row>
    <row r="168" spans="1:18" x14ac:dyDescent="0.25">
      <c r="A168" s="6" t="s">
        <v>324</v>
      </c>
      <c r="B168" s="6">
        <f>VLOOKUP(A168,[2]Metadata_isolates!$A$1:$B$370,2,FALSE)</f>
        <v>377</v>
      </c>
      <c r="C168" s="7">
        <v>5500.1</v>
      </c>
      <c r="D168" s="6">
        <v>17.399999999999999</v>
      </c>
      <c r="E168" s="7">
        <v>3846</v>
      </c>
      <c r="F168" s="6">
        <v>21.4</v>
      </c>
      <c r="G168" s="7">
        <v>100848</v>
      </c>
      <c r="H168" s="7">
        <v>7935</v>
      </c>
      <c r="I168" s="7">
        <v>7326.4</v>
      </c>
      <c r="J168" s="7">
        <v>554672627</v>
      </c>
      <c r="K168" s="6">
        <v>96.5</v>
      </c>
      <c r="L168" s="6">
        <v>90.4</v>
      </c>
      <c r="M168" s="6">
        <v>65.8</v>
      </c>
      <c r="N168" s="6">
        <v>11.4</v>
      </c>
      <c r="O168" s="6">
        <v>0</v>
      </c>
      <c r="P168" s="8">
        <f t="shared" si="2"/>
        <v>118.01545255319149</v>
      </c>
      <c r="Q168" s="6"/>
      <c r="R168" s="6"/>
    </row>
    <row r="169" spans="1:18" x14ac:dyDescent="0.25">
      <c r="A169" s="6" t="s">
        <v>307</v>
      </c>
      <c r="B169" s="6">
        <f>VLOOKUP(A169,[2]Metadata_isolates!$A$1:$B$370,2,FALSE)</f>
        <v>377</v>
      </c>
      <c r="C169" s="7">
        <v>3989.6</v>
      </c>
      <c r="D169" s="6">
        <v>17.3</v>
      </c>
      <c r="E169" s="7">
        <v>2831</v>
      </c>
      <c r="F169" s="6">
        <v>20.7</v>
      </c>
      <c r="G169" s="7">
        <v>139279</v>
      </c>
      <c r="H169" s="7">
        <v>5313</v>
      </c>
      <c r="I169" s="7">
        <v>4749.2</v>
      </c>
      <c r="J169" s="7">
        <v>555666366</v>
      </c>
      <c r="K169" s="6">
        <v>97</v>
      </c>
      <c r="L169" s="6">
        <v>91.3</v>
      </c>
      <c r="M169" s="6">
        <v>59.2</v>
      </c>
      <c r="N169" s="6">
        <v>6.1</v>
      </c>
      <c r="O169" s="6">
        <v>0</v>
      </c>
      <c r="P169" s="8">
        <f t="shared" si="2"/>
        <v>118.22688638297872</v>
      </c>
      <c r="Q169" s="6"/>
      <c r="R169" s="6"/>
    </row>
    <row r="170" spans="1:18" x14ac:dyDescent="0.25">
      <c r="A170" s="6" t="s">
        <v>163</v>
      </c>
      <c r="B170" s="6">
        <f>VLOOKUP(A170,[2]Metadata_isolates!$A$1:$B$370,2,FALSE)</f>
        <v>377</v>
      </c>
      <c r="C170" s="7">
        <v>5293.2</v>
      </c>
      <c r="D170" s="6">
        <v>20.100000000000001</v>
      </c>
      <c r="E170" s="7">
        <v>3599</v>
      </c>
      <c r="F170" s="6">
        <v>22.9</v>
      </c>
      <c r="G170" s="7">
        <v>105014</v>
      </c>
      <c r="H170" s="7">
        <v>7738</v>
      </c>
      <c r="I170" s="7">
        <v>5259.7</v>
      </c>
      <c r="J170" s="7">
        <v>555861515</v>
      </c>
      <c r="K170" s="6">
        <v>99.7</v>
      </c>
      <c r="L170" s="6">
        <v>96.4</v>
      </c>
      <c r="M170" s="6">
        <v>78.099999999999994</v>
      </c>
      <c r="N170" s="6">
        <v>23.1</v>
      </c>
      <c r="O170" s="6">
        <v>1.2</v>
      </c>
      <c r="P170" s="8">
        <f t="shared" si="2"/>
        <v>118.26840744680851</v>
      </c>
      <c r="Q170" s="6"/>
      <c r="R170" s="6"/>
    </row>
    <row r="171" spans="1:18" x14ac:dyDescent="0.25">
      <c r="A171" s="6" t="s">
        <v>264</v>
      </c>
      <c r="B171" s="6">
        <f>VLOOKUP(A171,[2]Metadata_isolates!$A$1:$B$370,2,FALSE)</f>
        <v>377</v>
      </c>
      <c r="C171" s="7">
        <v>3365</v>
      </c>
      <c r="D171" s="6">
        <v>21</v>
      </c>
      <c r="E171" s="7">
        <v>2535</v>
      </c>
      <c r="F171" s="6">
        <v>24.3</v>
      </c>
      <c r="G171" s="7">
        <v>166156</v>
      </c>
      <c r="H171" s="7">
        <v>4230</v>
      </c>
      <c r="I171" s="7">
        <v>2832.3</v>
      </c>
      <c r="J171" s="7">
        <v>559113115</v>
      </c>
      <c r="K171" s="6">
        <v>99.6</v>
      </c>
      <c r="L171" s="6">
        <v>97.1</v>
      </c>
      <c r="M171" s="6">
        <v>83.6</v>
      </c>
      <c r="N171" s="6">
        <v>42.2</v>
      </c>
      <c r="O171" s="6">
        <v>6.5</v>
      </c>
      <c r="P171" s="8">
        <f t="shared" si="2"/>
        <v>118.96023723404255</v>
      </c>
      <c r="Q171" s="6"/>
      <c r="R171" s="6"/>
    </row>
    <row r="172" spans="1:18" x14ac:dyDescent="0.25">
      <c r="A172" s="6" t="s">
        <v>195</v>
      </c>
      <c r="B172" s="6">
        <f>VLOOKUP(A172,[2]Metadata_isolates!$A$1:$B$370,2,FALSE)</f>
        <v>377</v>
      </c>
      <c r="C172" s="7">
        <v>3908.9</v>
      </c>
      <c r="D172" s="6">
        <v>21.8</v>
      </c>
      <c r="E172" s="7">
        <v>2854</v>
      </c>
      <c r="F172" s="6">
        <v>25.2</v>
      </c>
      <c r="G172" s="7">
        <v>143247</v>
      </c>
      <c r="H172" s="7">
        <v>5183</v>
      </c>
      <c r="I172" s="7">
        <v>3362.9</v>
      </c>
      <c r="J172" s="7">
        <v>559936705</v>
      </c>
      <c r="K172" s="6">
        <v>99.7</v>
      </c>
      <c r="L172" s="6">
        <v>97.8</v>
      </c>
      <c r="M172" s="6">
        <v>88.2</v>
      </c>
      <c r="N172" s="6">
        <v>52.5</v>
      </c>
      <c r="O172" s="6">
        <v>9</v>
      </c>
      <c r="P172" s="8">
        <f t="shared" si="2"/>
        <v>119.13546914893617</v>
      </c>
      <c r="Q172" s="6"/>
      <c r="R172" s="6"/>
    </row>
    <row r="173" spans="1:18" x14ac:dyDescent="0.25">
      <c r="A173" s="6" t="s">
        <v>185</v>
      </c>
      <c r="B173" s="6">
        <f>VLOOKUP(A173,[2]Metadata_isolates!$A$1:$B$370,2,FALSE)</f>
        <v>377</v>
      </c>
      <c r="C173" s="7">
        <v>4158.2</v>
      </c>
      <c r="D173" s="6">
        <v>22</v>
      </c>
      <c r="E173" s="7">
        <v>3016</v>
      </c>
      <c r="F173" s="6">
        <v>25.4</v>
      </c>
      <c r="G173" s="7">
        <v>134810</v>
      </c>
      <c r="H173" s="7">
        <v>5572</v>
      </c>
      <c r="I173" s="7">
        <v>3637.2</v>
      </c>
      <c r="J173" s="7">
        <v>560569117</v>
      </c>
      <c r="K173" s="6">
        <v>99.8</v>
      </c>
      <c r="L173" s="6">
        <v>98</v>
      </c>
      <c r="M173" s="6">
        <v>89.3</v>
      </c>
      <c r="N173" s="6">
        <v>54.6</v>
      </c>
      <c r="O173" s="6">
        <v>9.1999999999999993</v>
      </c>
      <c r="P173" s="8">
        <f t="shared" si="2"/>
        <v>119.27002489361702</v>
      </c>
      <c r="Q173" s="6"/>
      <c r="R173" s="6"/>
    </row>
    <row r="174" spans="1:18" x14ac:dyDescent="0.25">
      <c r="A174" s="6" t="s">
        <v>454</v>
      </c>
      <c r="B174" s="6">
        <f>VLOOKUP(A174,[2]Metadata_isolates!$A$1:$B$370,2,FALSE)</f>
        <v>377</v>
      </c>
      <c r="C174" s="7">
        <v>5537.3</v>
      </c>
      <c r="D174" s="6">
        <v>21.7</v>
      </c>
      <c r="E174" s="7">
        <v>4010</v>
      </c>
      <c r="F174" s="6">
        <v>24.9</v>
      </c>
      <c r="G174" s="7">
        <v>101295</v>
      </c>
      <c r="H174" s="7">
        <v>7620</v>
      </c>
      <c r="I174" s="7">
        <v>4801.7</v>
      </c>
      <c r="J174" s="7">
        <v>560902371</v>
      </c>
      <c r="K174" s="6">
        <v>99.8</v>
      </c>
      <c r="L174" s="6">
        <v>97.9</v>
      </c>
      <c r="M174" s="6">
        <v>86.3</v>
      </c>
      <c r="N174" s="6">
        <v>48.7</v>
      </c>
      <c r="O174" s="6">
        <v>7.9</v>
      </c>
      <c r="P174" s="8">
        <f t="shared" si="2"/>
        <v>119.34093</v>
      </c>
      <c r="Q174" s="6"/>
      <c r="R174" s="6"/>
    </row>
    <row r="175" spans="1:18" x14ac:dyDescent="0.25">
      <c r="A175" s="6" t="s">
        <v>341</v>
      </c>
      <c r="B175" s="6">
        <f>VLOOKUP(A175,[2]Metadata_isolates!$A$1:$B$370,2,FALSE)</f>
        <v>377</v>
      </c>
      <c r="C175" s="7">
        <v>4228.1000000000004</v>
      </c>
      <c r="D175" s="6">
        <v>17.100000000000001</v>
      </c>
      <c r="E175" s="7">
        <v>3074</v>
      </c>
      <c r="F175" s="6">
        <v>20.9</v>
      </c>
      <c r="G175" s="7">
        <v>132687</v>
      </c>
      <c r="H175" s="7">
        <v>5637</v>
      </c>
      <c r="I175" s="7">
        <v>6188.8</v>
      </c>
      <c r="J175" s="7">
        <v>561012723</v>
      </c>
      <c r="K175" s="6">
        <v>96.3</v>
      </c>
      <c r="L175" s="6">
        <v>90.2</v>
      </c>
      <c r="M175" s="6">
        <v>61.3</v>
      </c>
      <c r="N175" s="6">
        <v>6.4</v>
      </c>
      <c r="O175" s="6">
        <v>0</v>
      </c>
      <c r="P175" s="8">
        <f t="shared" si="2"/>
        <v>119.36440914893618</v>
      </c>
      <c r="Q175" s="6"/>
      <c r="R175" s="6"/>
    </row>
    <row r="176" spans="1:18" x14ac:dyDescent="0.25">
      <c r="A176" s="6" t="s">
        <v>387</v>
      </c>
      <c r="B176" s="6">
        <f>VLOOKUP(A176,[2]Metadata_isolates!$A$1:$B$370,2,FALSE)</f>
        <v>377</v>
      </c>
      <c r="C176" s="7">
        <v>3300</v>
      </c>
      <c r="D176" s="6">
        <v>21.1</v>
      </c>
      <c r="E176" s="7">
        <v>2435</v>
      </c>
      <c r="F176" s="6">
        <v>24.4</v>
      </c>
      <c r="G176" s="7">
        <v>170076</v>
      </c>
      <c r="H176" s="7">
        <v>4169</v>
      </c>
      <c r="I176" s="7">
        <v>2771.7</v>
      </c>
      <c r="J176" s="7">
        <v>561243090</v>
      </c>
      <c r="K176" s="6">
        <v>99.6</v>
      </c>
      <c r="L176" s="6">
        <v>97.4</v>
      </c>
      <c r="M176" s="6">
        <v>84</v>
      </c>
      <c r="N176" s="6">
        <v>44</v>
      </c>
      <c r="O176" s="6">
        <v>8.4</v>
      </c>
      <c r="P176" s="8">
        <f t="shared" si="2"/>
        <v>119.41342340425533</v>
      </c>
      <c r="Q176" s="6"/>
      <c r="R176" s="6"/>
    </row>
    <row r="177" spans="1:18" x14ac:dyDescent="0.25">
      <c r="A177" s="6" t="s">
        <v>299</v>
      </c>
      <c r="B177" s="6">
        <f>VLOOKUP(A177,[2]Metadata_isolates!$A$1:$B$370,2,FALSE)</f>
        <v>377</v>
      </c>
      <c r="C177" s="7">
        <v>5435.2</v>
      </c>
      <c r="D177" s="6">
        <v>17.899999999999999</v>
      </c>
      <c r="E177" s="7">
        <v>3868</v>
      </c>
      <c r="F177" s="6">
        <v>21.5</v>
      </c>
      <c r="G177" s="7">
        <v>103315</v>
      </c>
      <c r="H177" s="7">
        <v>7497</v>
      </c>
      <c r="I177" s="7">
        <v>7467.8</v>
      </c>
      <c r="J177" s="7">
        <v>561540756</v>
      </c>
      <c r="K177" s="6">
        <v>97.2</v>
      </c>
      <c r="L177" s="6">
        <v>91.8</v>
      </c>
      <c r="M177" s="6">
        <v>68.2</v>
      </c>
      <c r="N177" s="6">
        <v>11.1</v>
      </c>
      <c r="O177" s="6">
        <v>0</v>
      </c>
      <c r="P177" s="8">
        <f t="shared" si="2"/>
        <v>119.47675659574467</v>
      </c>
      <c r="Q177" s="6"/>
      <c r="R177" s="6"/>
    </row>
    <row r="178" spans="1:18" x14ac:dyDescent="0.25">
      <c r="A178" s="6" t="s">
        <v>170</v>
      </c>
      <c r="B178" s="6">
        <f>VLOOKUP(A178,[2]Metadata_isolates!$A$1:$B$370,2,FALSE)</f>
        <v>377</v>
      </c>
      <c r="C178" s="7">
        <v>4997.8999999999996</v>
      </c>
      <c r="D178" s="6">
        <v>20.6</v>
      </c>
      <c r="E178" s="7">
        <v>3605</v>
      </c>
      <c r="F178" s="6">
        <v>24.2</v>
      </c>
      <c r="G178" s="7">
        <v>112807</v>
      </c>
      <c r="H178" s="7">
        <v>7032</v>
      </c>
      <c r="I178" s="7">
        <v>4574.8999999999996</v>
      </c>
      <c r="J178" s="7">
        <v>563798919</v>
      </c>
      <c r="K178" s="6">
        <v>99.5</v>
      </c>
      <c r="L178" s="6">
        <v>96.4</v>
      </c>
      <c r="M178" s="6">
        <v>81.3</v>
      </c>
      <c r="N178" s="6">
        <v>42.4</v>
      </c>
      <c r="O178" s="6">
        <v>6.6</v>
      </c>
      <c r="P178" s="8">
        <f t="shared" si="2"/>
        <v>119.95721680851064</v>
      </c>
      <c r="Q178" s="6"/>
      <c r="R178" s="6"/>
    </row>
    <row r="179" spans="1:18" x14ac:dyDescent="0.25">
      <c r="A179" s="6" t="s">
        <v>154</v>
      </c>
      <c r="B179" s="6">
        <f>VLOOKUP(A179,[2]Metadata_isolates!$A$1:$B$370,2,FALSE)</f>
        <v>377</v>
      </c>
      <c r="C179" s="7">
        <v>5118.8</v>
      </c>
      <c r="D179" s="6">
        <v>20.8</v>
      </c>
      <c r="E179" s="7">
        <v>3449</v>
      </c>
      <c r="F179" s="6">
        <v>24.2</v>
      </c>
      <c r="G179" s="7">
        <v>110222</v>
      </c>
      <c r="H179" s="7">
        <v>7398</v>
      </c>
      <c r="I179" s="7">
        <v>5205.3</v>
      </c>
      <c r="J179" s="7">
        <v>564204224</v>
      </c>
      <c r="K179" s="6">
        <v>99.7</v>
      </c>
      <c r="L179" s="6">
        <v>96.8</v>
      </c>
      <c r="M179" s="6">
        <v>81.2</v>
      </c>
      <c r="N179" s="6">
        <v>41.7</v>
      </c>
      <c r="O179" s="6">
        <v>6.1</v>
      </c>
      <c r="P179" s="8">
        <f t="shared" si="2"/>
        <v>120.04345191489362</v>
      </c>
      <c r="Q179" s="6"/>
      <c r="R179" s="6"/>
    </row>
    <row r="180" spans="1:18" x14ac:dyDescent="0.25">
      <c r="A180" s="6" t="s">
        <v>138</v>
      </c>
      <c r="B180" s="6">
        <f>VLOOKUP(A180,[2]Metadata_isolates!$A$1:$B$370,2,FALSE)</f>
        <v>377</v>
      </c>
      <c r="C180" s="7">
        <v>4754.7</v>
      </c>
      <c r="D180" s="6">
        <v>20.399999999999999</v>
      </c>
      <c r="E180" s="7">
        <v>3400</v>
      </c>
      <c r="F180" s="6">
        <v>24</v>
      </c>
      <c r="G180" s="7">
        <v>118912</v>
      </c>
      <c r="H180" s="7">
        <v>6672</v>
      </c>
      <c r="I180" s="7">
        <v>4496</v>
      </c>
      <c r="J180" s="7">
        <v>565389548</v>
      </c>
      <c r="K180" s="6">
        <v>99.6</v>
      </c>
      <c r="L180" s="6">
        <v>96.3</v>
      </c>
      <c r="M180" s="6">
        <v>79.400000000000006</v>
      </c>
      <c r="N180" s="6">
        <v>40.5</v>
      </c>
      <c r="O180" s="6">
        <v>6.6</v>
      </c>
      <c r="P180" s="8">
        <f t="shared" si="2"/>
        <v>120.2956485106383</v>
      </c>
      <c r="Q180" s="6"/>
      <c r="R180" s="6"/>
    </row>
    <row r="181" spans="1:18" x14ac:dyDescent="0.25">
      <c r="A181" s="6" t="s">
        <v>384</v>
      </c>
      <c r="B181" s="6">
        <f>VLOOKUP(A181,[2]Metadata_isolates!$A$1:$B$370,2,FALSE)</f>
        <v>377</v>
      </c>
      <c r="C181" s="7">
        <v>3392.4</v>
      </c>
      <c r="D181" s="6">
        <v>21.3</v>
      </c>
      <c r="E181" s="7">
        <v>2523</v>
      </c>
      <c r="F181" s="6">
        <v>24.6</v>
      </c>
      <c r="G181" s="7">
        <v>167141</v>
      </c>
      <c r="H181" s="7">
        <v>4297</v>
      </c>
      <c r="I181" s="7">
        <v>2910.5</v>
      </c>
      <c r="J181" s="7">
        <v>567017388</v>
      </c>
      <c r="K181" s="6">
        <v>99.6</v>
      </c>
      <c r="L181" s="6">
        <v>97.3</v>
      </c>
      <c r="M181" s="6">
        <v>86.1</v>
      </c>
      <c r="N181" s="6">
        <v>45.8</v>
      </c>
      <c r="O181" s="6">
        <v>8.1999999999999993</v>
      </c>
      <c r="P181" s="8">
        <f t="shared" si="2"/>
        <v>120.64199744680852</v>
      </c>
      <c r="Q181" s="6"/>
      <c r="R181" s="6"/>
    </row>
    <row r="182" spans="1:18" x14ac:dyDescent="0.25">
      <c r="A182" s="6" t="s">
        <v>303</v>
      </c>
      <c r="B182" s="6">
        <f>VLOOKUP(A182,[2]Metadata_isolates!$A$1:$B$370,2,FALSE)</f>
        <v>377</v>
      </c>
      <c r="C182" s="7">
        <v>5240.5</v>
      </c>
      <c r="D182" s="6">
        <v>17.5</v>
      </c>
      <c r="E182" s="7">
        <v>3838</v>
      </c>
      <c r="F182" s="6">
        <v>21.5</v>
      </c>
      <c r="G182" s="7">
        <v>109032</v>
      </c>
      <c r="H182" s="7">
        <v>7106</v>
      </c>
      <c r="I182" s="7">
        <v>7571.3</v>
      </c>
      <c r="J182" s="7">
        <v>571385155</v>
      </c>
      <c r="K182" s="6">
        <v>96.5</v>
      </c>
      <c r="L182" s="6">
        <v>90.4</v>
      </c>
      <c r="M182" s="6">
        <v>68</v>
      </c>
      <c r="N182" s="6">
        <v>11.1</v>
      </c>
      <c r="O182" s="6">
        <v>0</v>
      </c>
      <c r="P182" s="8">
        <f t="shared" si="2"/>
        <v>121.57130957446809</v>
      </c>
      <c r="Q182" s="6"/>
      <c r="R182" s="6"/>
    </row>
    <row r="183" spans="1:18" x14ac:dyDescent="0.25">
      <c r="A183" s="6" t="s">
        <v>439</v>
      </c>
      <c r="B183" s="6">
        <f>VLOOKUP(A183,[2]Metadata_isolates!$A$1:$B$370,2,FALSE)</f>
        <v>377</v>
      </c>
      <c r="C183" s="7">
        <v>3966.7</v>
      </c>
      <c r="D183" s="6">
        <v>20.7</v>
      </c>
      <c r="E183" s="7">
        <v>2881</v>
      </c>
      <c r="F183" s="6">
        <v>24</v>
      </c>
      <c r="G183" s="7">
        <v>144407</v>
      </c>
      <c r="H183" s="7">
        <v>5291</v>
      </c>
      <c r="I183" s="7">
        <v>3605</v>
      </c>
      <c r="J183" s="7">
        <v>572818309</v>
      </c>
      <c r="K183" s="6">
        <v>99.5</v>
      </c>
      <c r="L183" s="6">
        <v>96.8</v>
      </c>
      <c r="M183" s="6">
        <v>82.2</v>
      </c>
      <c r="N183" s="6">
        <v>39.5</v>
      </c>
      <c r="O183" s="6">
        <v>5.9</v>
      </c>
      <c r="P183" s="8">
        <f t="shared" si="2"/>
        <v>121.87623595744681</v>
      </c>
      <c r="Q183" s="6"/>
      <c r="R183" s="6"/>
    </row>
    <row r="184" spans="1:18" x14ac:dyDescent="0.25">
      <c r="A184" s="6" t="s">
        <v>315</v>
      </c>
      <c r="B184" s="6">
        <f>VLOOKUP(A184,[2]Metadata_isolates!$A$1:$B$370,2,FALSE)</f>
        <v>377</v>
      </c>
      <c r="C184" s="7">
        <v>4322.6000000000004</v>
      </c>
      <c r="D184" s="6">
        <v>17.3</v>
      </c>
      <c r="E184" s="7">
        <v>3096</v>
      </c>
      <c r="F184" s="6">
        <v>21.1</v>
      </c>
      <c r="G184" s="7">
        <v>132562</v>
      </c>
      <c r="H184" s="7">
        <v>5844</v>
      </c>
      <c r="I184" s="7">
        <v>6218.4</v>
      </c>
      <c r="J184" s="7">
        <v>573006186</v>
      </c>
      <c r="K184" s="6">
        <v>96.5</v>
      </c>
      <c r="L184" s="6">
        <v>90.7</v>
      </c>
      <c r="M184" s="6">
        <v>63.1</v>
      </c>
      <c r="N184" s="6">
        <v>8.1</v>
      </c>
      <c r="O184" s="6">
        <v>0</v>
      </c>
      <c r="P184" s="8">
        <f t="shared" si="2"/>
        <v>121.91620978723404</v>
      </c>
      <c r="Q184" s="6"/>
      <c r="R184" s="6"/>
    </row>
    <row r="185" spans="1:18" x14ac:dyDescent="0.25">
      <c r="A185" s="6" t="s">
        <v>279</v>
      </c>
      <c r="B185" s="6">
        <f>VLOOKUP(A185,[2]Metadata_isolates!$A$1:$B$370,2,FALSE)</f>
        <v>377</v>
      </c>
      <c r="C185" s="7">
        <v>3787.9</v>
      </c>
      <c r="D185" s="6">
        <v>21.5</v>
      </c>
      <c r="E185" s="7">
        <v>2830</v>
      </c>
      <c r="F185" s="6">
        <v>24.9</v>
      </c>
      <c r="G185" s="7">
        <v>152349</v>
      </c>
      <c r="H185" s="7">
        <v>4916</v>
      </c>
      <c r="I185" s="7">
        <v>3082.3</v>
      </c>
      <c r="J185" s="7">
        <v>577085715</v>
      </c>
      <c r="K185" s="6">
        <v>99.7</v>
      </c>
      <c r="L185" s="6">
        <v>97.5</v>
      </c>
      <c r="M185" s="6">
        <v>86.9</v>
      </c>
      <c r="N185" s="6">
        <v>48.8</v>
      </c>
      <c r="O185" s="6">
        <v>7.6</v>
      </c>
      <c r="P185" s="8">
        <f t="shared" si="2"/>
        <v>122.78419468085106</v>
      </c>
      <c r="Q185" s="6"/>
      <c r="R185" s="6"/>
    </row>
    <row r="186" spans="1:18" x14ac:dyDescent="0.25">
      <c r="A186" s="6" t="s">
        <v>430</v>
      </c>
      <c r="B186" s="6">
        <f>VLOOKUP(A186,[2]Metadata_isolates!$A$1:$B$370,2,FALSE)</f>
        <v>377</v>
      </c>
      <c r="C186" s="7">
        <v>4075.6</v>
      </c>
      <c r="D186" s="6">
        <v>21.4</v>
      </c>
      <c r="E186" s="7">
        <v>2902</v>
      </c>
      <c r="F186" s="6">
        <v>24.6</v>
      </c>
      <c r="G186" s="7">
        <v>141963</v>
      </c>
      <c r="H186" s="7">
        <v>5487</v>
      </c>
      <c r="I186" s="7">
        <v>3673.7</v>
      </c>
      <c r="J186" s="7">
        <v>578583863</v>
      </c>
      <c r="K186" s="6">
        <v>99.6</v>
      </c>
      <c r="L186" s="6">
        <v>97.6</v>
      </c>
      <c r="M186" s="6">
        <v>85.5</v>
      </c>
      <c r="N186" s="6">
        <v>46.1</v>
      </c>
      <c r="O186" s="6">
        <v>8</v>
      </c>
      <c r="P186" s="8">
        <f t="shared" si="2"/>
        <v>123.10294957446808</v>
      </c>
      <c r="Q186" s="6"/>
      <c r="R186" s="6"/>
    </row>
    <row r="187" spans="1:18" x14ac:dyDescent="0.25">
      <c r="A187" s="6" t="s">
        <v>476</v>
      </c>
      <c r="B187" s="6">
        <f>VLOOKUP(A187,[2]Metadata_isolates!$A$1:$B$370,2,FALSE)</f>
        <v>377</v>
      </c>
      <c r="C187" s="7">
        <v>6635.5</v>
      </c>
      <c r="D187" s="6">
        <v>21.8</v>
      </c>
      <c r="E187" s="7">
        <v>4851</v>
      </c>
      <c r="F187" s="6">
        <v>25</v>
      </c>
      <c r="G187" s="7">
        <v>87512</v>
      </c>
      <c r="H187" s="7">
        <v>9006</v>
      </c>
      <c r="I187" s="7">
        <v>5755.1</v>
      </c>
      <c r="J187" s="7">
        <v>580683605</v>
      </c>
      <c r="K187" s="6">
        <v>99.8</v>
      </c>
      <c r="L187" s="6">
        <v>97.8</v>
      </c>
      <c r="M187" s="6">
        <v>87.2</v>
      </c>
      <c r="N187" s="6">
        <v>49.9</v>
      </c>
      <c r="O187" s="6">
        <v>7.1</v>
      </c>
      <c r="P187" s="8">
        <f t="shared" si="2"/>
        <v>123.54970319148936</v>
      </c>
      <c r="Q187" s="6"/>
      <c r="R187" s="6"/>
    </row>
    <row r="188" spans="1:18" x14ac:dyDescent="0.25">
      <c r="A188" s="6" t="s">
        <v>199</v>
      </c>
      <c r="B188" s="6">
        <f>VLOOKUP(A188,[2]Metadata_isolates!$A$1:$B$370,2,FALSE)</f>
        <v>8346</v>
      </c>
      <c r="C188" s="7">
        <v>3416.9</v>
      </c>
      <c r="D188" s="6">
        <v>21.3</v>
      </c>
      <c r="E188" s="7">
        <v>2480</v>
      </c>
      <c r="F188" s="6">
        <v>24.6</v>
      </c>
      <c r="G188" s="7">
        <v>170012</v>
      </c>
      <c r="H188" s="7">
        <v>4362</v>
      </c>
      <c r="I188" s="7">
        <v>2910</v>
      </c>
      <c r="J188" s="7">
        <v>580912968</v>
      </c>
      <c r="K188" s="6">
        <v>99.7</v>
      </c>
      <c r="L188" s="6">
        <v>97.6</v>
      </c>
      <c r="M188" s="6">
        <v>84.1</v>
      </c>
      <c r="N188" s="6">
        <v>46.3</v>
      </c>
      <c r="O188" s="6">
        <v>8.4</v>
      </c>
      <c r="P188" s="8">
        <f t="shared" si="2"/>
        <v>123.59850382978723</v>
      </c>
      <c r="Q188" s="6"/>
      <c r="R188" s="6"/>
    </row>
    <row r="189" spans="1:18" x14ac:dyDescent="0.25">
      <c r="A189" s="6" t="s">
        <v>134</v>
      </c>
      <c r="B189" s="6">
        <f>VLOOKUP(A189,[2]Metadata_isolates!$A$1:$B$370,2,FALSE)</f>
        <v>1499</v>
      </c>
      <c r="C189" s="7">
        <v>4573.8999999999996</v>
      </c>
      <c r="D189" s="6">
        <v>20.7</v>
      </c>
      <c r="E189" s="7">
        <v>3130</v>
      </c>
      <c r="F189" s="6">
        <v>24.3</v>
      </c>
      <c r="G189" s="7">
        <v>127442</v>
      </c>
      <c r="H189" s="7">
        <v>6458</v>
      </c>
      <c r="I189" s="7">
        <v>4679.7</v>
      </c>
      <c r="J189" s="7">
        <v>582901525</v>
      </c>
      <c r="K189" s="6">
        <v>99.7</v>
      </c>
      <c r="L189" s="6">
        <v>96.7</v>
      </c>
      <c r="M189" s="6">
        <v>80.5</v>
      </c>
      <c r="N189" s="6">
        <v>43.6</v>
      </c>
      <c r="O189" s="6">
        <v>8.1</v>
      </c>
      <c r="P189" s="8">
        <f t="shared" si="2"/>
        <v>124.02160106382979</v>
      </c>
      <c r="Q189" s="6"/>
      <c r="R189" s="6"/>
    </row>
    <row r="190" spans="1:18" x14ac:dyDescent="0.25">
      <c r="A190" s="6" t="s">
        <v>160</v>
      </c>
      <c r="B190" s="6">
        <f>VLOOKUP(A190,[2]Metadata_isolates!$A$1:$B$370,2,FALSE)</f>
        <v>377</v>
      </c>
      <c r="C190" s="7">
        <v>4236.3</v>
      </c>
      <c r="D190" s="6">
        <v>19.600000000000001</v>
      </c>
      <c r="E190" s="7">
        <v>3073</v>
      </c>
      <c r="F190" s="6">
        <v>23</v>
      </c>
      <c r="G190" s="7">
        <v>137756</v>
      </c>
      <c r="H190" s="7">
        <v>5785</v>
      </c>
      <c r="I190" s="7">
        <v>3611.5</v>
      </c>
      <c r="J190" s="7">
        <v>583576097</v>
      </c>
      <c r="K190" s="6">
        <v>99.3</v>
      </c>
      <c r="L190" s="6">
        <v>95</v>
      </c>
      <c r="M190" s="6">
        <v>75.900000000000006</v>
      </c>
      <c r="N190" s="6">
        <v>28.2</v>
      </c>
      <c r="O190" s="6">
        <v>2.6</v>
      </c>
      <c r="P190" s="8">
        <f t="shared" si="2"/>
        <v>124.16512702127659</v>
      </c>
      <c r="Q190" s="6"/>
      <c r="R190" s="6"/>
    </row>
    <row r="191" spans="1:18" x14ac:dyDescent="0.25">
      <c r="A191" s="6" t="s">
        <v>281</v>
      </c>
      <c r="B191" s="6">
        <f>VLOOKUP(A191,[2]Metadata_isolates!$A$1:$B$370,2,FALSE)</f>
        <v>377</v>
      </c>
      <c r="C191" s="7">
        <v>3384.4</v>
      </c>
      <c r="D191" s="6">
        <v>21.3</v>
      </c>
      <c r="E191" s="7">
        <v>2522</v>
      </c>
      <c r="F191" s="6">
        <v>24.7</v>
      </c>
      <c r="G191" s="7">
        <v>172533</v>
      </c>
      <c r="H191" s="7">
        <v>4303</v>
      </c>
      <c r="I191" s="7">
        <v>3052.8</v>
      </c>
      <c r="J191" s="7">
        <v>583920171</v>
      </c>
      <c r="K191" s="6">
        <v>99.6</v>
      </c>
      <c r="L191" s="6">
        <v>97.5</v>
      </c>
      <c r="M191" s="6">
        <v>85.7</v>
      </c>
      <c r="N191" s="6">
        <v>46.4</v>
      </c>
      <c r="O191" s="6">
        <v>7.5</v>
      </c>
      <c r="P191" s="8">
        <f t="shared" si="2"/>
        <v>124.23833425531915</v>
      </c>
      <c r="Q191" s="6"/>
      <c r="R191" s="6"/>
    </row>
    <row r="192" spans="1:18" x14ac:dyDescent="0.25">
      <c r="A192" s="6" t="s">
        <v>265</v>
      </c>
      <c r="B192" s="6">
        <f>VLOOKUP(A192,[2]Metadata_isolates!$A$1:$B$370,2,FALSE)</f>
        <v>377</v>
      </c>
      <c r="C192" s="7">
        <v>3218.8</v>
      </c>
      <c r="D192" s="6">
        <v>21.1</v>
      </c>
      <c r="E192" s="7">
        <v>2396</v>
      </c>
      <c r="F192" s="6">
        <v>24.3</v>
      </c>
      <c r="G192" s="7">
        <v>181910</v>
      </c>
      <c r="H192" s="7">
        <v>4032</v>
      </c>
      <c r="I192" s="7">
        <v>3000</v>
      </c>
      <c r="J192" s="7">
        <v>585531556</v>
      </c>
      <c r="K192" s="6">
        <v>99.7</v>
      </c>
      <c r="L192" s="6">
        <v>97.5</v>
      </c>
      <c r="M192" s="6">
        <v>84.1</v>
      </c>
      <c r="N192" s="6">
        <v>42.5</v>
      </c>
      <c r="O192" s="6">
        <v>6.8</v>
      </c>
      <c r="P192" s="8">
        <f t="shared" si="2"/>
        <v>124.58118212765957</v>
      </c>
      <c r="Q192" s="6"/>
      <c r="R192" s="6"/>
    </row>
    <row r="193" spans="1:18" x14ac:dyDescent="0.25">
      <c r="A193" s="6" t="s">
        <v>342</v>
      </c>
      <c r="B193" s="6">
        <f>VLOOKUP(A193,[2]Metadata_isolates!$A$1:$B$370,2,FALSE)</f>
        <v>377</v>
      </c>
      <c r="C193" s="7">
        <v>4523.8999999999996</v>
      </c>
      <c r="D193" s="6">
        <v>17.5</v>
      </c>
      <c r="E193" s="7">
        <v>3325</v>
      </c>
      <c r="F193" s="6">
        <v>21.1</v>
      </c>
      <c r="G193" s="7">
        <v>130143</v>
      </c>
      <c r="H193" s="7">
        <v>6072</v>
      </c>
      <c r="I193" s="7">
        <v>5869.2</v>
      </c>
      <c r="J193" s="7">
        <v>588759355</v>
      </c>
      <c r="K193" s="6">
        <v>96.9</v>
      </c>
      <c r="L193" s="6">
        <v>90.9</v>
      </c>
      <c r="M193" s="6">
        <v>63.4</v>
      </c>
      <c r="N193" s="6">
        <v>7.5</v>
      </c>
      <c r="O193" s="6">
        <v>0</v>
      </c>
      <c r="P193" s="8">
        <f t="shared" ref="P193:P256" si="3">J193/4700000</f>
        <v>125.26794787234043</v>
      </c>
      <c r="Q193" s="6"/>
      <c r="R193" s="6"/>
    </row>
    <row r="194" spans="1:18" x14ac:dyDescent="0.25">
      <c r="A194" s="6" t="s">
        <v>386</v>
      </c>
      <c r="B194" s="6">
        <f>VLOOKUP(A194,[2]Metadata_isolates!$A$1:$B$370,2,FALSE)</f>
        <v>377</v>
      </c>
      <c r="C194" s="7">
        <v>3547.3</v>
      </c>
      <c r="D194" s="6">
        <v>21.1</v>
      </c>
      <c r="E194" s="7">
        <v>2667</v>
      </c>
      <c r="F194" s="6">
        <v>24.4</v>
      </c>
      <c r="G194" s="7">
        <v>166164</v>
      </c>
      <c r="H194" s="7">
        <v>4540</v>
      </c>
      <c r="I194" s="7">
        <v>2996.7</v>
      </c>
      <c r="J194" s="7">
        <v>589425450</v>
      </c>
      <c r="K194" s="6">
        <v>99.5</v>
      </c>
      <c r="L194" s="6">
        <v>97.1</v>
      </c>
      <c r="M194" s="6">
        <v>85.3</v>
      </c>
      <c r="N194" s="6">
        <v>44.1</v>
      </c>
      <c r="O194" s="6">
        <v>7.5</v>
      </c>
      <c r="P194" s="8">
        <f t="shared" si="3"/>
        <v>125.40967021276596</v>
      </c>
      <c r="Q194" s="6"/>
      <c r="R194" s="6"/>
    </row>
    <row r="195" spans="1:18" x14ac:dyDescent="0.25">
      <c r="A195" s="6" t="s">
        <v>176</v>
      </c>
      <c r="B195" s="6">
        <f>VLOOKUP(A195,[2]Metadata_isolates!$A$1:$B$370,2,FALSE)</f>
        <v>377</v>
      </c>
      <c r="C195" s="7">
        <v>4743.8999999999996</v>
      </c>
      <c r="D195" s="6">
        <v>20.9</v>
      </c>
      <c r="E195" s="7">
        <v>3303</v>
      </c>
      <c r="F195" s="6">
        <v>24.4</v>
      </c>
      <c r="G195" s="7">
        <v>124733</v>
      </c>
      <c r="H195" s="7">
        <v>6714</v>
      </c>
      <c r="I195" s="7">
        <v>4463.8999999999996</v>
      </c>
      <c r="J195" s="7">
        <v>591722156</v>
      </c>
      <c r="K195" s="6">
        <v>99.7</v>
      </c>
      <c r="L195" s="6">
        <v>97</v>
      </c>
      <c r="M195" s="6">
        <v>82.2</v>
      </c>
      <c r="N195" s="6">
        <v>44.7</v>
      </c>
      <c r="O195" s="6">
        <v>7.8</v>
      </c>
      <c r="P195" s="8">
        <f t="shared" si="3"/>
        <v>125.89833106382979</v>
      </c>
      <c r="Q195" s="6"/>
      <c r="R195" s="6"/>
    </row>
    <row r="196" spans="1:18" x14ac:dyDescent="0.25">
      <c r="A196" s="6" t="s">
        <v>402</v>
      </c>
      <c r="B196" s="6">
        <f>VLOOKUP(A196,[2]Metadata_isolates!$A$1:$B$370,2,FALSE)</f>
        <v>377</v>
      </c>
      <c r="C196" s="7">
        <v>4861.6000000000004</v>
      </c>
      <c r="D196" s="6">
        <v>21.8</v>
      </c>
      <c r="E196" s="7">
        <v>3578</v>
      </c>
      <c r="F196" s="6">
        <v>25</v>
      </c>
      <c r="G196" s="7">
        <v>121787</v>
      </c>
      <c r="H196" s="7">
        <v>6510</v>
      </c>
      <c r="I196" s="7">
        <v>4130</v>
      </c>
      <c r="J196" s="7">
        <v>592083163</v>
      </c>
      <c r="K196" s="6">
        <v>99.8</v>
      </c>
      <c r="L196" s="6">
        <v>97.9</v>
      </c>
      <c r="M196" s="6">
        <v>87.2</v>
      </c>
      <c r="N196" s="6">
        <v>50.4</v>
      </c>
      <c r="O196" s="6">
        <v>8.8000000000000007</v>
      </c>
      <c r="P196" s="8">
        <f t="shared" si="3"/>
        <v>125.97514106382978</v>
      </c>
      <c r="Q196" s="6"/>
      <c r="R196" s="6"/>
    </row>
    <row r="197" spans="1:18" x14ac:dyDescent="0.25">
      <c r="A197" s="6" t="s">
        <v>137</v>
      </c>
      <c r="B197" s="6">
        <f>VLOOKUP(A197,[2]Metadata_isolates!$A$1:$B$370,2,FALSE)</f>
        <v>377</v>
      </c>
      <c r="C197" s="7">
        <v>4992.6000000000004</v>
      </c>
      <c r="D197" s="6">
        <v>20.7</v>
      </c>
      <c r="E197" s="7">
        <v>3508</v>
      </c>
      <c r="F197" s="6">
        <v>24.3</v>
      </c>
      <c r="G197" s="7">
        <v>118645</v>
      </c>
      <c r="H197" s="7">
        <v>7035</v>
      </c>
      <c r="I197" s="7">
        <v>4703.6000000000004</v>
      </c>
      <c r="J197" s="7">
        <v>592341773</v>
      </c>
      <c r="K197" s="6">
        <v>99.7</v>
      </c>
      <c r="L197" s="6">
        <v>96.6</v>
      </c>
      <c r="M197" s="6">
        <v>81.099999999999994</v>
      </c>
      <c r="N197" s="6">
        <v>43.2</v>
      </c>
      <c r="O197" s="6">
        <v>6.9</v>
      </c>
      <c r="P197" s="8">
        <f t="shared" si="3"/>
        <v>126.0301644680851</v>
      </c>
      <c r="Q197" s="6"/>
      <c r="R197" s="6"/>
    </row>
    <row r="198" spans="1:18" x14ac:dyDescent="0.25">
      <c r="A198" s="6" t="s">
        <v>221</v>
      </c>
      <c r="B198" s="6">
        <f>VLOOKUP(A198,[2]Metadata_isolates!$A$1:$B$370,2,FALSE)</f>
        <v>377</v>
      </c>
      <c r="C198" s="7">
        <v>3757.4</v>
      </c>
      <c r="D198" s="6">
        <v>21.5</v>
      </c>
      <c r="E198" s="7">
        <v>2795</v>
      </c>
      <c r="F198" s="6">
        <v>24.9</v>
      </c>
      <c r="G198" s="7">
        <v>158481</v>
      </c>
      <c r="H198" s="7">
        <v>4891</v>
      </c>
      <c r="I198" s="7">
        <v>3296.3</v>
      </c>
      <c r="J198" s="7">
        <v>595480909</v>
      </c>
      <c r="K198" s="6">
        <v>99.7</v>
      </c>
      <c r="L198" s="6">
        <v>97.5</v>
      </c>
      <c r="M198" s="6">
        <v>87</v>
      </c>
      <c r="N198" s="6">
        <v>49.4</v>
      </c>
      <c r="O198" s="6">
        <v>8.3000000000000007</v>
      </c>
      <c r="P198" s="8">
        <f t="shared" si="3"/>
        <v>126.69806574468085</v>
      </c>
      <c r="Q198" s="6"/>
      <c r="R198" s="6"/>
    </row>
    <row r="199" spans="1:18" x14ac:dyDescent="0.25">
      <c r="A199" s="6" t="s">
        <v>396</v>
      </c>
      <c r="B199" s="6">
        <f>VLOOKUP(A199,[2]Metadata_isolates!$A$1:$B$370,2,FALSE)</f>
        <v>377</v>
      </c>
      <c r="C199" s="7">
        <v>3109</v>
      </c>
      <c r="D199" s="6">
        <v>20.7</v>
      </c>
      <c r="E199" s="7">
        <v>2362</v>
      </c>
      <c r="F199" s="6">
        <v>24.1</v>
      </c>
      <c r="G199" s="7">
        <v>191577</v>
      </c>
      <c r="H199" s="7">
        <v>3844</v>
      </c>
      <c r="I199" s="7">
        <v>2942.4</v>
      </c>
      <c r="J199" s="7">
        <v>595620618</v>
      </c>
      <c r="K199" s="6">
        <v>99.4</v>
      </c>
      <c r="L199" s="6">
        <v>96.7</v>
      </c>
      <c r="M199" s="6">
        <v>84.1</v>
      </c>
      <c r="N199" s="6">
        <v>40.700000000000003</v>
      </c>
      <c r="O199" s="6">
        <v>6.9</v>
      </c>
      <c r="P199" s="8">
        <f t="shared" si="3"/>
        <v>126.72779106382978</v>
      </c>
      <c r="Q199" s="6"/>
      <c r="R199" s="6"/>
    </row>
    <row r="200" spans="1:18" x14ac:dyDescent="0.25">
      <c r="A200" s="6" t="s">
        <v>471</v>
      </c>
      <c r="B200" s="6">
        <f>VLOOKUP(A200,[2]Metadata_isolates!$A$1:$B$370,2,FALSE)</f>
        <v>377</v>
      </c>
      <c r="C200" s="7">
        <v>5952.2</v>
      </c>
      <c r="D200" s="6">
        <v>21.9</v>
      </c>
      <c r="E200" s="7">
        <v>4397</v>
      </c>
      <c r="F200" s="6">
        <v>25.1</v>
      </c>
      <c r="G200" s="7">
        <v>100098</v>
      </c>
      <c r="H200" s="7">
        <v>7966</v>
      </c>
      <c r="I200" s="7">
        <v>4961.8</v>
      </c>
      <c r="J200" s="7">
        <v>595801267</v>
      </c>
      <c r="K200" s="6">
        <v>99.8</v>
      </c>
      <c r="L200" s="6">
        <v>98</v>
      </c>
      <c r="M200" s="6">
        <v>88</v>
      </c>
      <c r="N200" s="6">
        <v>51.4</v>
      </c>
      <c r="O200" s="6">
        <v>7.8</v>
      </c>
      <c r="P200" s="8">
        <f t="shared" si="3"/>
        <v>126.76622702127659</v>
      </c>
      <c r="Q200" s="6"/>
      <c r="R200" s="6"/>
    </row>
    <row r="201" spans="1:18" x14ac:dyDescent="0.25">
      <c r="A201" s="6" t="s">
        <v>144</v>
      </c>
      <c r="B201" s="6">
        <f>VLOOKUP(A201,[2]Metadata_isolates!$A$1:$B$370,2,FALSE)</f>
        <v>377</v>
      </c>
      <c r="C201" s="7">
        <v>3532.8</v>
      </c>
      <c r="D201" s="6">
        <v>20.7</v>
      </c>
      <c r="E201" s="7">
        <v>2627</v>
      </c>
      <c r="F201" s="6">
        <v>24.3</v>
      </c>
      <c r="G201" s="7">
        <v>168796</v>
      </c>
      <c r="H201" s="7">
        <v>4538</v>
      </c>
      <c r="I201" s="7">
        <v>3056.9</v>
      </c>
      <c r="J201" s="7">
        <v>596321030</v>
      </c>
      <c r="K201" s="6">
        <v>99.6</v>
      </c>
      <c r="L201" s="6">
        <v>96.6</v>
      </c>
      <c r="M201" s="6">
        <v>81.900000000000006</v>
      </c>
      <c r="N201" s="6">
        <v>42.7</v>
      </c>
      <c r="O201" s="6">
        <v>7.5</v>
      </c>
      <c r="P201" s="8">
        <f t="shared" si="3"/>
        <v>126.87681489361702</v>
      </c>
      <c r="Q201" s="6"/>
      <c r="R201" s="6"/>
    </row>
    <row r="202" spans="1:18" x14ac:dyDescent="0.25">
      <c r="A202" s="6" t="s">
        <v>292</v>
      </c>
      <c r="B202" s="6">
        <f>VLOOKUP(A202,[2]Metadata_isolates!$A$1:$B$370,2,FALSE)</f>
        <v>377</v>
      </c>
      <c r="C202" s="7">
        <v>5495.9</v>
      </c>
      <c r="D202" s="6">
        <v>18.2</v>
      </c>
      <c r="E202" s="7">
        <v>3863</v>
      </c>
      <c r="F202" s="6">
        <v>21.6</v>
      </c>
      <c r="G202" s="7">
        <v>109079</v>
      </c>
      <c r="H202" s="7">
        <v>7770</v>
      </c>
      <c r="I202" s="7">
        <v>6817.1</v>
      </c>
      <c r="J202" s="7">
        <v>599483450</v>
      </c>
      <c r="K202" s="6">
        <v>97.8</v>
      </c>
      <c r="L202" s="6">
        <v>92.7</v>
      </c>
      <c r="M202" s="6">
        <v>68.8</v>
      </c>
      <c r="N202" s="6">
        <v>11.8</v>
      </c>
      <c r="O202" s="6">
        <v>0</v>
      </c>
      <c r="P202" s="8">
        <f t="shared" si="3"/>
        <v>127.54967021276596</v>
      </c>
      <c r="Q202" s="6"/>
      <c r="R202" s="6"/>
    </row>
    <row r="203" spans="1:18" x14ac:dyDescent="0.25">
      <c r="A203" s="6" t="s">
        <v>474</v>
      </c>
      <c r="B203" s="6">
        <f>VLOOKUP(A203,[2]Metadata_isolates!$A$1:$B$370,2,FALSE)</f>
        <v>377</v>
      </c>
      <c r="C203" s="7">
        <v>6622.3</v>
      </c>
      <c r="D203" s="6">
        <v>21.8</v>
      </c>
      <c r="E203" s="7">
        <v>4851</v>
      </c>
      <c r="F203" s="6">
        <v>25</v>
      </c>
      <c r="G203" s="7">
        <v>90618</v>
      </c>
      <c r="H203" s="7">
        <v>9024</v>
      </c>
      <c r="I203" s="7">
        <v>5616.5</v>
      </c>
      <c r="J203" s="7">
        <v>600102561</v>
      </c>
      <c r="K203" s="6">
        <v>99.8</v>
      </c>
      <c r="L203" s="6">
        <v>97.9</v>
      </c>
      <c r="M203" s="6">
        <v>87.3</v>
      </c>
      <c r="N203" s="6">
        <v>50</v>
      </c>
      <c r="O203" s="6">
        <v>7</v>
      </c>
      <c r="P203" s="8">
        <f t="shared" si="3"/>
        <v>127.68139595744681</v>
      </c>
      <c r="Q203" s="6"/>
      <c r="R203" s="6"/>
    </row>
    <row r="204" spans="1:18" x14ac:dyDescent="0.25">
      <c r="A204" s="6" t="s">
        <v>207</v>
      </c>
      <c r="B204" s="6">
        <f>VLOOKUP(A204,[2]Metadata_isolates!$A$1:$B$370,2,FALSE)</f>
        <v>377</v>
      </c>
      <c r="C204" s="7">
        <v>3886</v>
      </c>
      <c r="D204" s="6">
        <v>21.9</v>
      </c>
      <c r="E204" s="7">
        <v>2838</v>
      </c>
      <c r="F204" s="6">
        <v>25.3</v>
      </c>
      <c r="G204" s="7">
        <v>154450</v>
      </c>
      <c r="H204" s="7">
        <v>5091</v>
      </c>
      <c r="I204" s="7">
        <v>4008.2</v>
      </c>
      <c r="J204" s="7">
        <v>600198607</v>
      </c>
      <c r="K204" s="6">
        <v>99.7</v>
      </c>
      <c r="L204" s="6">
        <v>98</v>
      </c>
      <c r="M204" s="6">
        <v>88.5</v>
      </c>
      <c r="N204" s="6">
        <v>53</v>
      </c>
      <c r="O204" s="6">
        <v>9.5</v>
      </c>
      <c r="P204" s="8">
        <f t="shared" si="3"/>
        <v>127.70183127659574</v>
      </c>
      <c r="Q204" s="6"/>
      <c r="R204" s="6"/>
    </row>
    <row r="205" spans="1:18" x14ac:dyDescent="0.25">
      <c r="A205" s="6" t="s">
        <v>414</v>
      </c>
      <c r="B205" s="6">
        <f>VLOOKUP(A205,[2]Metadata_isolates!$A$1:$B$370,2,FALSE)</f>
        <v>377</v>
      </c>
      <c r="C205" s="7">
        <v>3699.7</v>
      </c>
      <c r="D205" s="6">
        <v>20.7</v>
      </c>
      <c r="E205" s="7">
        <v>2642</v>
      </c>
      <c r="F205" s="6">
        <v>24.1</v>
      </c>
      <c r="G205" s="7">
        <v>162511</v>
      </c>
      <c r="H205" s="7">
        <v>4811</v>
      </c>
      <c r="I205" s="7">
        <v>3549.6</v>
      </c>
      <c r="J205" s="7">
        <v>601242643</v>
      </c>
      <c r="K205" s="6">
        <v>99.4</v>
      </c>
      <c r="L205" s="6">
        <v>96.6</v>
      </c>
      <c r="M205" s="6">
        <v>83.6</v>
      </c>
      <c r="N205" s="6">
        <v>40.5</v>
      </c>
      <c r="O205" s="6">
        <v>6.4</v>
      </c>
      <c r="P205" s="8">
        <f t="shared" si="3"/>
        <v>127.92396659574469</v>
      </c>
      <c r="Q205" s="6"/>
      <c r="R205" s="6"/>
    </row>
    <row r="206" spans="1:18" x14ac:dyDescent="0.25">
      <c r="A206" s="6" t="s">
        <v>441</v>
      </c>
      <c r="B206" s="6">
        <f>VLOOKUP(A206,[2]Metadata_isolates!$A$1:$B$370,2,FALSE)</f>
        <v>377</v>
      </c>
      <c r="C206" s="7">
        <v>4612.8999999999996</v>
      </c>
      <c r="D206" s="6">
        <v>21.3</v>
      </c>
      <c r="E206" s="7">
        <v>3355</v>
      </c>
      <c r="F206" s="6">
        <v>24.5</v>
      </c>
      <c r="G206" s="7">
        <v>131146</v>
      </c>
      <c r="H206" s="7">
        <v>6258</v>
      </c>
      <c r="I206" s="7">
        <v>5043.8999999999996</v>
      </c>
      <c r="J206" s="7">
        <v>604964141</v>
      </c>
      <c r="K206" s="6">
        <v>99.7</v>
      </c>
      <c r="L206" s="6">
        <v>97.4</v>
      </c>
      <c r="M206" s="6">
        <v>85.8</v>
      </c>
      <c r="N206" s="6">
        <v>44.5</v>
      </c>
      <c r="O206" s="6">
        <v>6.4</v>
      </c>
      <c r="P206" s="8">
        <f t="shared" si="3"/>
        <v>128.71577468085107</v>
      </c>
      <c r="Q206" s="6"/>
      <c r="R206" s="6"/>
    </row>
    <row r="207" spans="1:18" x14ac:dyDescent="0.25">
      <c r="A207" s="6" t="s">
        <v>465</v>
      </c>
      <c r="B207" s="6">
        <f>VLOOKUP(A207,[2]Metadata_isolates!$A$1:$B$370,2,FALSE)</f>
        <v>377</v>
      </c>
      <c r="C207" s="7">
        <v>4952.3999999999996</v>
      </c>
      <c r="D207" s="6">
        <v>22</v>
      </c>
      <c r="E207" s="7">
        <v>3569</v>
      </c>
      <c r="F207" s="6">
        <v>25.1</v>
      </c>
      <c r="G207" s="7">
        <v>122713</v>
      </c>
      <c r="H207" s="7">
        <v>6736</v>
      </c>
      <c r="I207" s="7">
        <v>4388.6000000000004</v>
      </c>
      <c r="J207" s="7">
        <v>607719131</v>
      </c>
      <c r="K207" s="6">
        <v>99.8</v>
      </c>
      <c r="L207" s="6">
        <v>98.1</v>
      </c>
      <c r="M207" s="6">
        <v>88.1</v>
      </c>
      <c r="N207" s="6">
        <v>50.8</v>
      </c>
      <c r="O207" s="6">
        <v>8.1999999999999993</v>
      </c>
      <c r="P207" s="8">
        <f t="shared" si="3"/>
        <v>129.30194276595745</v>
      </c>
      <c r="Q207" s="6"/>
      <c r="R207" s="6"/>
    </row>
    <row r="208" spans="1:18" x14ac:dyDescent="0.25">
      <c r="A208" s="6" t="s">
        <v>235</v>
      </c>
      <c r="B208" s="6">
        <f>VLOOKUP(A208,[2]Metadata_isolates!$A$1:$B$370,2,FALSE)</f>
        <v>377</v>
      </c>
      <c r="C208" s="7">
        <v>4147.3999999999996</v>
      </c>
      <c r="D208" s="6">
        <v>22.1</v>
      </c>
      <c r="E208" s="7">
        <v>3092</v>
      </c>
      <c r="F208" s="6">
        <v>25.3</v>
      </c>
      <c r="G208" s="7">
        <v>146701</v>
      </c>
      <c r="H208" s="7">
        <v>5499</v>
      </c>
      <c r="I208" s="7">
        <v>3637.5</v>
      </c>
      <c r="J208" s="7">
        <v>608422180</v>
      </c>
      <c r="K208" s="6">
        <v>99.8</v>
      </c>
      <c r="L208" s="6">
        <v>98</v>
      </c>
      <c r="M208" s="6">
        <v>88.7</v>
      </c>
      <c r="N208" s="6">
        <v>53.1</v>
      </c>
      <c r="O208" s="6">
        <v>8.8000000000000007</v>
      </c>
      <c r="P208" s="8">
        <f t="shared" si="3"/>
        <v>129.45152765957448</v>
      </c>
      <c r="Q208" s="6"/>
      <c r="R208" s="6"/>
    </row>
    <row r="209" spans="1:18" x14ac:dyDescent="0.25">
      <c r="A209" s="6" t="s">
        <v>298</v>
      </c>
      <c r="B209" s="6">
        <f>VLOOKUP(A209,[2]Metadata_isolates!$A$1:$B$370,2,FALSE)</f>
        <v>377</v>
      </c>
      <c r="C209" s="7">
        <v>5044.1000000000004</v>
      </c>
      <c r="D209" s="6">
        <v>18</v>
      </c>
      <c r="E209" s="7">
        <v>3626</v>
      </c>
      <c r="F209" s="6">
        <v>21.5</v>
      </c>
      <c r="G209" s="7">
        <v>122537</v>
      </c>
      <c r="H209" s="7">
        <v>6861</v>
      </c>
      <c r="I209" s="7">
        <v>6765.6</v>
      </c>
      <c r="J209" s="7">
        <v>618094716</v>
      </c>
      <c r="K209" s="6">
        <v>97.5</v>
      </c>
      <c r="L209" s="6">
        <v>92.3</v>
      </c>
      <c r="M209" s="6">
        <v>68.2</v>
      </c>
      <c r="N209" s="6">
        <v>10.1</v>
      </c>
      <c r="O209" s="6">
        <v>0</v>
      </c>
      <c r="P209" s="8">
        <f t="shared" si="3"/>
        <v>131.50951404255318</v>
      </c>
      <c r="Q209" s="6"/>
      <c r="R209" s="6"/>
    </row>
    <row r="210" spans="1:18" x14ac:dyDescent="0.25">
      <c r="A210" s="6" t="s">
        <v>427</v>
      </c>
      <c r="B210" s="6">
        <f>VLOOKUP(A210,[2]Metadata_isolates!$A$1:$B$370,2,FALSE)</f>
        <v>377</v>
      </c>
      <c r="C210" s="7">
        <v>4181.3999999999996</v>
      </c>
      <c r="D210" s="6">
        <v>21.3</v>
      </c>
      <c r="E210" s="7">
        <v>3037</v>
      </c>
      <c r="F210" s="6">
        <v>24.6</v>
      </c>
      <c r="G210" s="7">
        <v>147921</v>
      </c>
      <c r="H210" s="7">
        <v>5640</v>
      </c>
      <c r="I210" s="7">
        <v>3593.5</v>
      </c>
      <c r="J210" s="7">
        <v>618515015</v>
      </c>
      <c r="K210" s="6">
        <v>99.6</v>
      </c>
      <c r="L210" s="6">
        <v>97.5</v>
      </c>
      <c r="M210" s="6">
        <v>86.1</v>
      </c>
      <c r="N210" s="6">
        <v>45.5</v>
      </c>
      <c r="O210" s="6">
        <v>7.1</v>
      </c>
      <c r="P210" s="8">
        <f t="shared" si="3"/>
        <v>131.59893936170212</v>
      </c>
      <c r="Q210" s="6"/>
      <c r="R210" s="6"/>
    </row>
    <row r="211" spans="1:18" x14ac:dyDescent="0.25">
      <c r="A211" s="6" t="s">
        <v>286</v>
      </c>
      <c r="B211" s="6">
        <f>VLOOKUP(A211,[2]Metadata_isolates!$A$1:$B$370,2,FALSE)</f>
        <v>377</v>
      </c>
      <c r="C211" s="7">
        <v>4189</v>
      </c>
      <c r="D211" s="6">
        <v>21.7</v>
      </c>
      <c r="E211" s="7">
        <v>3039</v>
      </c>
      <c r="F211" s="6">
        <v>25.1</v>
      </c>
      <c r="G211" s="7">
        <v>147777</v>
      </c>
      <c r="H211" s="7">
        <v>5652</v>
      </c>
      <c r="I211" s="7">
        <v>3646.5</v>
      </c>
      <c r="J211" s="7">
        <v>619040593</v>
      </c>
      <c r="K211" s="6">
        <v>99.7</v>
      </c>
      <c r="L211" s="6">
        <v>97.7</v>
      </c>
      <c r="M211" s="6">
        <v>87.5</v>
      </c>
      <c r="N211" s="6">
        <v>51.7</v>
      </c>
      <c r="O211" s="6">
        <v>8.4</v>
      </c>
      <c r="P211" s="8">
        <f t="shared" si="3"/>
        <v>131.7107644680851</v>
      </c>
      <c r="Q211" s="6"/>
      <c r="R211" s="6"/>
    </row>
    <row r="212" spans="1:18" x14ac:dyDescent="0.25">
      <c r="A212" s="6" t="s">
        <v>432</v>
      </c>
      <c r="B212" s="6">
        <f>VLOOKUP(A212,[2]Metadata_isolates!$A$1:$B$370,2,FALSE)</f>
        <v>377</v>
      </c>
      <c r="C212" s="7">
        <v>3375.5</v>
      </c>
      <c r="D212" s="6">
        <v>21.2</v>
      </c>
      <c r="E212" s="7">
        <v>2525</v>
      </c>
      <c r="F212" s="6">
        <v>24.4</v>
      </c>
      <c r="G212" s="7">
        <v>183584</v>
      </c>
      <c r="H212" s="7">
        <v>4273</v>
      </c>
      <c r="I212" s="7">
        <v>2892.6</v>
      </c>
      <c r="J212" s="7">
        <v>619693087</v>
      </c>
      <c r="K212" s="6">
        <v>99.6</v>
      </c>
      <c r="L212" s="6">
        <v>97.4</v>
      </c>
      <c r="M212" s="6">
        <v>85.6</v>
      </c>
      <c r="N212" s="6">
        <v>44</v>
      </c>
      <c r="O212" s="6">
        <v>7.5</v>
      </c>
      <c r="P212" s="8">
        <f t="shared" si="3"/>
        <v>131.84959297872339</v>
      </c>
      <c r="Q212" s="6"/>
      <c r="R212" s="6"/>
    </row>
    <row r="213" spans="1:18" x14ac:dyDescent="0.25">
      <c r="A213" s="6" t="s">
        <v>119</v>
      </c>
      <c r="B213" s="6">
        <f>VLOOKUP(A213,[2]Metadata_isolates!$A$1:$B$370,2,FALSE)</f>
        <v>377</v>
      </c>
      <c r="C213" s="7">
        <v>4079.3</v>
      </c>
      <c r="D213" s="6">
        <v>20.9</v>
      </c>
      <c r="E213" s="7">
        <v>2852</v>
      </c>
      <c r="F213" s="6">
        <v>24.3</v>
      </c>
      <c r="G213" s="7">
        <v>153093</v>
      </c>
      <c r="H213" s="7">
        <v>5542</v>
      </c>
      <c r="I213" s="7">
        <v>3882.7</v>
      </c>
      <c r="J213" s="7">
        <v>624519615</v>
      </c>
      <c r="K213" s="6">
        <v>99.7</v>
      </c>
      <c r="L213" s="6">
        <v>97</v>
      </c>
      <c r="M213" s="6">
        <v>81.8</v>
      </c>
      <c r="N213" s="6">
        <v>42.9</v>
      </c>
      <c r="O213" s="6">
        <v>7.3</v>
      </c>
      <c r="P213" s="8">
        <f t="shared" si="3"/>
        <v>132.87651382978723</v>
      </c>
      <c r="Q213" s="6"/>
      <c r="R213" s="6"/>
    </row>
    <row r="214" spans="1:18" x14ac:dyDescent="0.25">
      <c r="A214" s="6" t="s">
        <v>209</v>
      </c>
      <c r="B214" s="6">
        <f>VLOOKUP(A214,[2]Metadata_isolates!$A$1:$B$370,2,FALSE)</f>
        <v>377</v>
      </c>
      <c r="C214" s="7">
        <v>6589.4</v>
      </c>
      <c r="D214" s="6">
        <v>22.8</v>
      </c>
      <c r="E214" s="7">
        <v>4598.5</v>
      </c>
      <c r="F214" s="6">
        <v>25.8</v>
      </c>
      <c r="G214" s="7">
        <v>94816</v>
      </c>
      <c r="H214" s="7">
        <v>9075</v>
      </c>
      <c r="I214" s="7">
        <v>6167.1</v>
      </c>
      <c r="J214" s="7">
        <v>624783428</v>
      </c>
      <c r="K214" s="6">
        <v>99.9</v>
      </c>
      <c r="L214" s="6">
        <v>98.7</v>
      </c>
      <c r="M214" s="6">
        <v>90.8</v>
      </c>
      <c r="N214" s="6">
        <v>58.6</v>
      </c>
      <c r="O214" s="6">
        <v>8.9</v>
      </c>
      <c r="P214" s="8">
        <f t="shared" si="3"/>
        <v>132.93264425531916</v>
      </c>
      <c r="Q214" s="6"/>
      <c r="R214" s="6"/>
    </row>
    <row r="215" spans="1:18" x14ac:dyDescent="0.25">
      <c r="A215" s="6" t="s">
        <v>257</v>
      </c>
      <c r="B215" s="6">
        <f>VLOOKUP(A215,[2]Metadata_isolates!$A$1:$B$370,2,FALSE)</f>
        <v>377</v>
      </c>
      <c r="C215" s="7">
        <v>3855.9</v>
      </c>
      <c r="D215" s="6">
        <v>21.6</v>
      </c>
      <c r="E215" s="7">
        <v>2853</v>
      </c>
      <c r="F215" s="6">
        <v>25</v>
      </c>
      <c r="G215" s="7">
        <v>162301</v>
      </c>
      <c r="H215" s="7">
        <v>5071</v>
      </c>
      <c r="I215" s="7">
        <v>3400.1</v>
      </c>
      <c r="J215" s="7">
        <v>625821277</v>
      </c>
      <c r="K215" s="6">
        <v>99.6</v>
      </c>
      <c r="L215" s="6">
        <v>97.5</v>
      </c>
      <c r="M215" s="6">
        <v>88.3</v>
      </c>
      <c r="N215" s="6">
        <v>50</v>
      </c>
      <c r="O215" s="6">
        <v>7.7</v>
      </c>
      <c r="P215" s="8">
        <f t="shared" si="3"/>
        <v>133.15346319148935</v>
      </c>
      <c r="Q215" s="6"/>
      <c r="R215" s="6"/>
    </row>
    <row r="216" spans="1:18" x14ac:dyDescent="0.25">
      <c r="A216" s="6" t="s">
        <v>393</v>
      </c>
      <c r="B216" s="6">
        <f>VLOOKUP(A216,[2]Metadata_isolates!$A$1:$B$370,2,FALSE)</f>
        <v>377</v>
      </c>
      <c r="C216" s="7">
        <v>4513.8999999999996</v>
      </c>
      <c r="D216" s="6">
        <v>21.2</v>
      </c>
      <c r="E216" s="7">
        <v>3230</v>
      </c>
      <c r="F216" s="6">
        <v>24.5</v>
      </c>
      <c r="G216" s="7">
        <v>139249</v>
      </c>
      <c r="H216" s="7">
        <v>6283</v>
      </c>
      <c r="I216" s="7">
        <v>4414.5</v>
      </c>
      <c r="J216" s="7">
        <v>628555792</v>
      </c>
      <c r="K216" s="6">
        <v>99.6</v>
      </c>
      <c r="L216" s="6">
        <v>97.2</v>
      </c>
      <c r="M216" s="6">
        <v>85.3</v>
      </c>
      <c r="N216" s="6">
        <v>44.6</v>
      </c>
      <c r="O216" s="6">
        <v>6.7</v>
      </c>
      <c r="P216" s="8">
        <f t="shared" si="3"/>
        <v>133.73527489361703</v>
      </c>
      <c r="Q216" s="6"/>
      <c r="R216" s="6"/>
    </row>
    <row r="217" spans="1:18" x14ac:dyDescent="0.25">
      <c r="A217" s="6" t="s">
        <v>136</v>
      </c>
      <c r="B217" s="6">
        <f>VLOOKUP(A217,[2]Metadata_isolates!$A$1:$B$370,2,FALSE)</f>
        <v>377</v>
      </c>
      <c r="C217" s="7">
        <v>5269.5</v>
      </c>
      <c r="D217" s="6">
        <v>21</v>
      </c>
      <c r="E217" s="7">
        <v>3671</v>
      </c>
      <c r="F217" s="6">
        <v>24.4</v>
      </c>
      <c r="G217" s="7">
        <v>119706</v>
      </c>
      <c r="H217" s="7">
        <v>7568</v>
      </c>
      <c r="I217" s="7">
        <v>5414</v>
      </c>
      <c r="J217" s="7">
        <v>630787053</v>
      </c>
      <c r="K217" s="6">
        <v>99.7</v>
      </c>
      <c r="L217" s="6">
        <v>97.1</v>
      </c>
      <c r="M217" s="6">
        <v>82.8</v>
      </c>
      <c r="N217" s="6">
        <v>44.5</v>
      </c>
      <c r="O217" s="6">
        <v>7</v>
      </c>
      <c r="P217" s="8">
        <f t="shared" si="3"/>
        <v>134.21001127659574</v>
      </c>
      <c r="Q217" s="6"/>
      <c r="R217" s="6"/>
    </row>
    <row r="218" spans="1:18" x14ac:dyDescent="0.25">
      <c r="A218" s="6" t="s">
        <v>180</v>
      </c>
      <c r="B218" s="6">
        <f>VLOOKUP(A218,[2]Metadata_isolates!$A$1:$B$370,2,FALSE)</f>
        <v>377</v>
      </c>
      <c r="C218" s="7">
        <v>3717.2</v>
      </c>
      <c r="D218" s="6">
        <v>20.399999999999999</v>
      </c>
      <c r="E218" s="7">
        <v>2744</v>
      </c>
      <c r="F218" s="6">
        <v>24.1</v>
      </c>
      <c r="G218" s="7">
        <v>169712</v>
      </c>
      <c r="H218" s="7">
        <v>4859</v>
      </c>
      <c r="I218" s="7">
        <v>3315.9</v>
      </c>
      <c r="J218" s="7">
        <v>630853880</v>
      </c>
      <c r="K218" s="6">
        <v>99.4</v>
      </c>
      <c r="L218" s="6">
        <v>96.2</v>
      </c>
      <c r="M218" s="6">
        <v>80.8</v>
      </c>
      <c r="N218" s="6">
        <v>41.2</v>
      </c>
      <c r="O218" s="6">
        <v>6.8</v>
      </c>
      <c r="P218" s="8">
        <f t="shared" si="3"/>
        <v>134.22422978723404</v>
      </c>
      <c r="Q218" s="6"/>
      <c r="R218" s="6"/>
    </row>
    <row r="219" spans="1:18" x14ac:dyDescent="0.25">
      <c r="A219" s="6" t="s">
        <v>333</v>
      </c>
      <c r="B219" s="6">
        <f>VLOOKUP(A219,[2]Metadata_isolates!$A$1:$B$370,2,FALSE)</f>
        <v>377</v>
      </c>
      <c r="C219" s="7">
        <v>4618.3</v>
      </c>
      <c r="D219" s="6">
        <v>16.8</v>
      </c>
      <c r="E219" s="7">
        <v>3056</v>
      </c>
      <c r="F219" s="6">
        <v>20.7</v>
      </c>
      <c r="G219" s="7">
        <v>137187</v>
      </c>
      <c r="H219" s="7">
        <v>6457</v>
      </c>
      <c r="I219" s="7">
        <v>6996.2</v>
      </c>
      <c r="J219" s="7">
        <v>633570651</v>
      </c>
      <c r="K219" s="6">
        <v>95.9</v>
      </c>
      <c r="L219" s="6">
        <v>89.6</v>
      </c>
      <c r="M219" s="6">
        <v>59</v>
      </c>
      <c r="N219" s="6">
        <v>6.4</v>
      </c>
      <c r="O219" s="6">
        <v>0</v>
      </c>
      <c r="P219" s="8">
        <f t="shared" si="3"/>
        <v>134.80226617021276</v>
      </c>
      <c r="Q219" s="6"/>
      <c r="R219" s="6"/>
    </row>
    <row r="220" spans="1:18" x14ac:dyDescent="0.25">
      <c r="A220" s="6" t="s">
        <v>213</v>
      </c>
      <c r="B220" s="6">
        <f>VLOOKUP(A220,[2]Metadata_isolates!$A$1:$B$370,2,FALSE)</f>
        <v>377</v>
      </c>
      <c r="C220" s="7">
        <v>4040.6</v>
      </c>
      <c r="D220" s="6">
        <v>21.5</v>
      </c>
      <c r="E220" s="7">
        <v>2931</v>
      </c>
      <c r="F220" s="6">
        <v>25</v>
      </c>
      <c r="G220" s="7">
        <v>156905</v>
      </c>
      <c r="H220" s="7">
        <v>5382</v>
      </c>
      <c r="I220" s="7">
        <v>3509.4</v>
      </c>
      <c r="J220" s="7">
        <v>633997190</v>
      </c>
      <c r="K220" s="6">
        <v>99.7</v>
      </c>
      <c r="L220" s="6">
        <v>97.6</v>
      </c>
      <c r="M220" s="6">
        <v>86.6</v>
      </c>
      <c r="N220" s="6">
        <v>49.5</v>
      </c>
      <c r="O220" s="6">
        <v>8.1999999999999993</v>
      </c>
      <c r="P220" s="8">
        <f t="shared" si="3"/>
        <v>134.89301914893616</v>
      </c>
      <c r="Q220" s="6"/>
      <c r="R220" s="6"/>
    </row>
    <row r="221" spans="1:18" x14ac:dyDescent="0.25">
      <c r="A221" s="6" t="s">
        <v>308</v>
      </c>
      <c r="B221" s="6">
        <f>VLOOKUP(A221,[2]Metadata_isolates!$A$1:$B$370,2,FALSE)</f>
        <v>377</v>
      </c>
      <c r="C221" s="7">
        <v>4486.3</v>
      </c>
      <c r="D221" s="6">
        <v>17.7</v>
      </c>
      <c r="E221" s="7">
        <v>3167</v>
      </c>
      <c r="F221" s="6">
        <v>21.1</v>
      </c>
      <c r="G221" s="7">
        <v>142151</v>
      </c>
      <c r="H221" s="7">
        <v>6125</v>
      </c>
      <c r="I221" s="7">
        <v>6030.1</v>
      </c>
      <c r="J221" s="7">
        <v>637731308</v>
      </c>
      <c r="K221" s="6">
        <v>97.3</v>
      </c>
      <c r="L221" s="6">
        <v>91.7</v>
      </c>
      <c r="M221" s="6">
        <v>63.5</v>
      </c>
      <c r="N221" s="6">
        <v>8.1999999999999993</v>
      </c>
      <c r="O221" s="6">
        <v>0</v>
      </c>
      <c r="P221" s="8">
        <f t="shared" si="3"/>
        <v>135.68751234042554</v>
      </c>
      <c r="Q221" s="6"/>
      <c r="R221" s="6"/>
    </row>
    <row r="222" spans="1:18" x14ac:dyDescent="0.25">
      <c r="A222" s="6" t="s">
        <v>211</v>
      </c>
      <c r="B222" s="6">
        <f>VLOOKUP(A222,[2]Metadata_isolates!$A$1:$B$370,2,FALSE)</f>
        <v>377</v>
      </c>
      <c r="C222" s="7">
        <v>15972.6</v>
      </c>
      <c r="D222" s="6">
        <v>23.4</v>
      </c>
      <c r="E222" s="7">
        <v>11822</v>
      </c>
      <c r="F222" s="6">
        <v>26.1</v>
      </c>
      <c r="G222" s="7">
        <v>39981</v>
      </c>
      <c r="H222" s="7">
        <v>21553</v>
      </c>
      <c r="I222" s="7">
        <v>12988</v>
      </c>
      <c r="J222" s="7">
        <v>638601225</v>
      </c>
      <c r="K222" s="6">
        <v>100</v>
      </c>
      <c r="L222" s="6">
        <v>99.1</v>
      </c>
      <c r="M222" s="6">
        <v>93.1</v>
      </c>
      <c r="N222" s="6">
        <v>64.599999999999994</v>
      </c>
      <c r="O222" s="6">
        <v>5.3</v>
      </c>
      <c r="P222" s="8">
        <f t="shared" si="3"/>
        <v>135.87260106382979</v>
      </c>
      <c r="Q222" s="6"/>
      <c r="R222" s="6"/>
    </row>
    <row r="223" spans="1:18" x14ac:dyDescent="0.25">
      <c r="A223" s="6" t="s">
        <v>323</v>
      </c>
      <c r="B223" s="6">
        <f>VLOOKUP(A223,[2]Metadata_isolates!$A$1:$B$370,2,FALSE)</f>
        <v>377</v>
      </c>
      <c r="C223" s="7">
        <v>4409.8999999999996</v>
      </c>
      <c r="D223" s="6">
        <v>17.100000000000001</v>
      </c>
      <c r="E223" s="7">
        <v>3202.5</v>
      </c>
      <c r="F223" s="6">
        <v>20.9</v>
      </c>
      <c r="G223" s="7">
        <v>145046</v>
      </c>
      <c r="H223" s="7">
        <v>5956</v>
      </c>
      <c r="I223" s="7">
        <v>5768.6</v>
      </c>
      <c r="J223" s="7">
        <v>639633592</v>
      </c>
      <c r="K223" s="6">
        <v>96.2</v>
      </c>
      <c r="L223" s="6">
        <v>90</v>
      </c>
      <c r="M223" s="6">
        <v>61.8</v>
      </c>
      <c r="N223" s="6">
        <v>6.8</v>
      </c>
      <c r="O223" s="6">
        <v>0</v>
      </c>
      <c r="P223" s="8">
        <f t="shared" si="3"/>
        <v>136.09225361702127</v>
      </c>
      <c r="Q223" s="6"/>
      <c r="R223" s="6"/>
    </row>
    <row r="224" spans="1:18" x14ac:dyDescent="0.25">
      <c r="A224" s="6" t="s">
        <v>390</v>
      </c>
      <c r="B224" s="6">
        <f>VLOOKUP(A224,[2]Metadata_isolates!$A$1:$B$370,2,FALSE)</f>
        <v>377</v>
      </c>
      <c r="C224" s="7">
        <v>5321</v>
      </c>
      <c r="D224" s="6">
        <v>19.899999999999999</v>
      </c>
      <c r="E224" s="7">
        <v>3826</v>
      </c>
      <c r="F224" s="6">
        <v>22.8</v>
      </c>
      <c r="G224" s="7">
        <v>120330</v>
      </c>
      <c r="H224" s="7">
        <v>7415</v>
      </c>
      <c r="I224" s="7">
        <v>4692.1000000000004</v>
      </c>
      <c r="J224" s="7">
        <v>640272455</v>
      </c>
      <c r="K224" s="6">
        <v>99.8</v>
      </c>
      <c r="L224" s="6">
        <v>95.4</v>
      </c>
      <c r="M224" s="6">
        <v>75.3</v>
      </c>
      <c r="N224" s="6">
        <v>25</v>
      </c>
      <c r="O224" s="6">
        <v>1.9</v>
      </c>
      <c r="P224" s="8">
        <f t="shared" si="3"/>
        <v>136.22818191489361</v>
      </c>
      <c r="Q224" s="6"/>
      <c r="R224" s="6"/>
    </row>
    <row r="225" spans="1:18" x14ac:dyDescent="0.25">
      <c r="A225" s="6" t="s">
        <v>164</v>
      </c>
      <c r="B225" s="6">
        <f>VLOOKUP(A225,[2]Metadata_isolates!$A$1:$B$370,2,FALSE)</f>
        <v>377</v>
      </c>
      <c r="C225" s="7">
        <v>5138.8</v>
      </c>
      <c r="D225" s="6">
        <v>20.9</v>
      </c>
      <c r="E225" s="7">
        <v>3726</v>
      </c>
      <c r="F225" s="6">
        <v>24.4</v>
      </c>
      <c r="G225" s="7">
        <v>124782</v>
      </c>
      <c r="H225" s="7">
        <v>7179</v>
      </c>
      <c r="I225" s="7">
        <v>4540.1000000000004</v>
      </c>
      <c r="J225" s="7">
        <v>641232499</v>
      </c>
      <c r="K225" s="6">
        <v>99.7</v>
      </c>
      <c r="L225" s="6">
        <v>96.8</v>
      </c>
      <c r="M225" s="6">
        <v>82.1</v>
      </c>
      <c r="N225" s="6">
        <v>44.1</v>
      </c>
      <c r="O225" s="6">
        <v>6.9</v>
      </c>
      <c r="P225" s="8">
        <f t="shared" si="3"/>
        <v>136.43244659574469</v>
      </c>
      <c r="Q225" s="6"/>
      <c r="R225" s="6"/>
    </row>
    <row r="226" spans="1:18" x14ac:dyDescent="0.25">
      <c r="A226" s="6" t="s">
        <v>177</v>
      </c>
      <c r="B226" s="6">
        <f>VLOOKUP(A226,[2]Metadata_isolates!$A$1:$B$370,2,FALSE)</f>
        <v>377</v>
      </c>
      <c r="C226" s="7">
        <v>5098.8</v>
      </c>
      <c r="D226" s="6">
        <v>20.6</v>
      </c>
      <c r="E226" s="7">
        <v>3670</v>
      </c>
      <c r="F226" s="6">
        <v>24.3</v>
      </c>
      <c r="G226" s="7">
        <v>126298</v>
      </c>
      <c r="H226" s="7">
        <v>7146</v>
      </c>
      <c r="I226" s="7">
        <v>4763.8999999999996</v>
      </c>
      <c r="J226" s="7">
        <v>643965476</v>
      </c>
      <c r="K226" s="6">
        <v>99.6</v>
      </c>
      <c r="L226" s="6">
        <v>96.4</v>
      </c>
      <c r="M226" s="6">
        <v>81.099999999999994</v>
      </c>
      <c r="N226" s="6">
        <v>42.8</v>
      </c>
      <c r="O226" s="6">
        <v>6.7</v>
      </c>
      <c r="P226" s="8">
        <f t="shared" si="3"/>
        <v>137.0139310638298</v>
      </c>
      <c r="Q226" s="6"/>
      <c r="R226" s="6"/>
    </row>
    <row r="227" spans="1:18" x14ac:dyDescent="0.25">
      <c r="A227" s="6" t="s">
        <v>426</v>
      </c>
      <c r="B227" s="6">
        <f>VLOOKUP(A227,[2]Metadata_isolates!$A$1:$B$370,2,FALSE)</f>
        <v>377</v>
      </c>
      <c r="C227" s="7">
        <v>4335</v>
      </c>
      <c r="D227" s="6">
        <v>21</v>
      </c>
      <c r="E227" s="7">
        <v>3112</v>
      </c>
      <c r="F227" s="6">
        <v>24.3</v>
      </c>
      <c r="G227" s="7">
        <v>148999</v>
      </c>
      <c r="H227" s="7">
        <v>5914</v>
      </c>
      <c r="I227" s="7">
        <v>3927.9</v>
      </c>
      <c r="J227" s="7">
        <v>645909372</v>
      </c>
      <c r="K227" s="6">
        <v>99.6</v>
      </c>
      <c r="L227" s="6">
        <v>97</v>
      </c>
      <c r="M227" s="6">
        <v>83.9</v>
      </c>
      <c r="N227" s="6">
        <v>42.5</v>
      </c>
      <c r="O227" s="6">
        <v>6.3</v>
      </c>
      <c r="P227" s="8">
        <f t="shared" si="3"/>
        <v>137.42752595744682</v>
      </c>
      <c r="Q227" s="6"/>
      <c r="R227" s="6"/>
    </row>
    <row r="228" spans="1:18" x14ac:dyDescent="0.25">
      <c r="A228" s="6" t="s">
        <v>395</v>
      </c>
      <c r="B228" s="6">
        <f>VLOOKUP(A228,[2]Metadata_isolates!$A$1:$B$370,2,FALSE)</f>
        <v>377</v>
      </c>
      <c r="C228" s="7">
        <v>4746.3999999999996</v>
      </c>
      <c r="D228" s="6">
        <v>21.1</v>
      </c>
      <c r="E228" s="7">
        <v>3458</v>
      </c>
      <c r="F228" s="6">
        <v>24.3</v>
      </c>
      <c r="G228" s="7">
        <v>136128</v>
      </c>
      <c r="H228" s="7">
        <v>6455</v>
      </c>
      <c r="I228" s="7">
        <v>4121.3</v>
      </c>
      <c r="J228" s="7">
        <v>646119802</v>
      </c>
      <c r="K228" s="6">
        <v>99.7</v>
      </c>
      <c r="L228" s="6">
        <v>97.4</v>
      </c>
      <c r="M228" s="6">
        <v>83.7</v>
      </c>
      <c r="N228" s="6">
        <v>42.5</v>
      </c>
      <c r="O228" s="6">
        <v>6.5</v>
      </c>
      <c r="P228" s="8">
        <f t="shared" si="3"/>
        <v>137.47229829787233</v>
      </c>
      <c r="Q228" s="6"/>
      <c r="R228" s="6"/>
    </row>
    <row r="229" spans="1:18" x14ac:dyDescent="0.25">
      <c r="A229" s="6" t="s">
        <v>175</v>
      </c>
      <c r="B229" s="6">
        <f>VLOOKUP(A229,[2]Metadata_isolates!$A$1:$B$370,2,FALSE)</f>
        <v>377</v>
      </c>
      <c r="C229" s="7">
        <v>4769.1000000000004</v>
      </c>
      <c r="D229" s="6">
        <v>20.7</v>
      </c>
      <c r="E229" s="7">
        <v>3255</v>
      </c>
      <c r="F229" s="6">
        <v>24.2</v>
      </c>
      <c r="G229" s="7">
        <v>136171</v>
      </c>
      <c r="H229" s="7">
        <v>6747</v>
      </c>
      <c r="I229" s="7">
        <v>4958.6000000000004</v>
      </c>
      <c r="J229" s="7">
        <v>649418230</v>
      </c>
      <c r="K229" s="6">
        <v>99.7</v>
      </c>
      <c r="L229" s="6">
        <v>96.7</v>
      </c>
      <c r="M229" s="6">
        <v>80.099999999999994</v>
      </c>
      <c r="N229" s="6">
        <v>42.9</v>
      </c>
      <c r="O229" s="6">
        <v>7.9</v>
      </c>
      <c r="P229" s="8">
        <f t="shared" si="3"/>
        <v>138.1740914893617</v>
      </c>
      <c r="Q229" s="6"/>
      <c r="R229" s="6"/>
    </row>
    <row r="230" spans="1:18" x14ac:dyDescent="0.25">
      <c r="A230" s="6" t="s">
        <v>335</v>
      </c>
      <c r="B230" s="6">
        <f>VLOOKUP(A230,[2]Metadata_isolates!$A$1:$B$370,2,FALSE)</f>
        <v>8346</v>
      </c>
      <c r="C230" s="7">
        <v>3289.4</v>
      </c>
      <c r="D230" s="6">
        <v>16.5</v>
      </c>
      <c r="E230" s="7">
        <v>2428</v>
      </c>
      <c r="F230" s="6">
        <v>20.2</v>
      </c>
      <c r="G230" s="7">
        <v>198096</v>
      </c>
      <c r="H230" s="7">
        <v>4102</v>
      </c>
      <c r="I230" s="7">
        <v>6390.5</v>
      </c>
      <c r="J230" s="7">
        <v>651618480</v>
      </c>
      <c r="K230" s="6">
        <v>95.7</v>
      </c>
      <c r="L230" s="6">
        <v>88.9</v>
      </c>
      <c r="M230" s="6">
        <v>52.3</v>
      </c>
      <c r="N230" s="6">
        <v>2.2000000000000002</v>
      </c>
      <c r="O230" s="6">
        <v>0</v>
      </c>
      <c r="P230" s="8">
        <f t="shared" si="3"/>
        <v>138.64222978723404</v>
      </c>
      <c r="Q230" s="6"/>
      <c r="R230" s="6"/>
    </row>
    <row r="231" spans="1:18" x14ac:dyDescent="0.25">
      <c r="A231" s="6" t="s">
        <v>215</v>
      </c>
      <c r="B231" s="6">
        <f>VLOOKUP(A231,[2]Metadata_isolates!$A$1:$B$370,2,FALSE)</f>
        <v>377</v>
      </c>
      <c r="C231" s="7">
        <v>3630</v>
      </c>
      <c r="D231" s="6">
        <v>21.6</v>
      </c>
      <c r="E231" s="7">
        <v>2612</v>
      </c>
      <c r="F231" s="6">
        <v>24.9</v>
      </c>
      <c r="G231" s="7">
        <v>180630</v>
      </c>
      <c r="H231" s="7">
        <v>4729</v>
      </c>
      <c r="I231" s="7">
        <v>3180.4</v>
      </c>
      <c r="J231" s="7">
        <v>655686459</v>
      </c>
      <c r="K231" s="6">
        <v>99.7</v>
      </c>
      <c r="L231" s="6">
        <v>97.7</v>
      </c>
      <c r="M231" s="6">
        <v>86.7</v>
      </c>
      <c r="N231" s="6">
        <v>48.8</v>
      </c>
      <c r="O231" s="6">
        <v>8.4</v>
      </c>
      <c r="P231" s="8">
        <f t="shared" si="3"/>
        <v>139.50775723404254</v>
      </c>
      <c r="Q231" s="6"/>
      <c r="R231" s="6"/>
    </row>
    <row r="232" spans="1:18" x14ac:dyDescent="0.25">
      <c r="A232" s="6" t="s">
        <v>305</v>
      </c>
      <c r="B232" s="6">
        <f>VLOOKUP(A232,[2]Metadata_isolates!$A$1:$B$370,2,FALSE)</f>
        <v>377</v>
      </c>
      <c r="C232" s="7">
        <v>4397</v>
      </c>
      <c r="D232" s="6">
        <v>17.3</v>
      </c>
      <c r="E232" s="7">
        <v>3106</v>
      </c>
      <c r="F232" s="6">
        <v>21</v>
      </c>
      <c r="G232" s="7">
        <v>149620</v>
      </c>
      <c r="H232" s="7">
        <v>6015</v>
      </c>
      <c r="I232" s="7">
        <v>5125.8</v>
      </c>
      <c r="J232" s="7">
        <v>657884654</v>
      </c>
      <c r="K232" s="6">
        <v>96.6</v>
      </c>
      <c r="L232" s="6">
        <v>90.6</v>
      </c>
      <c r="M232" s="6">
        <v>61.9</v>
      </c>
      <c r="N232" s="6">
        <v>7.8</v>
      </c>
      <c r="O232" s="6">
        <v>0</v>
      </c>
      <c r="P232" s="8">
        <f t="shared" si="3"/>
        <v>139.97545829787234</v>
      </c>
      <c r="Q232" s="6"/>
      <c r="R232" s="6"/>
    </row>
    <row r="233" spans="1:18" x14ac:dyDescent="0.25">
      <c r="A233" s="6" t="s">
        <v>219</v>
      </c>
      <c r="B233" s="6">
        <f>VLOOKUP(A233,[2]Metadata_isolates!$A$1:$B$370,2,FALSE)</f>
        <v>377</v>
      </c>
      <c r="C233" s="7">
        <v>3755</v>
      </c>
      <c r="D233" s="6">
        <v>21.3</v>
      </c>
      <c r="E233" s="7">
        <v>2782</v>
      </c>
      <c r="F233" s="6">
        <v>24.5</v>
      </c>
      <c r="G233" s="7">
        <v>175900</v>
      </c>
      <c r="H233" s="7">
        <v>4867</v>
      </c>
      <c r="I233" s="7">
        <v>3128.8</v>
      </c>
      <c r="J233" s="7">
        <v>660498102</v>
      </c>
      <c r="K233" s="6">
        <v>99.7</v>
      </c>
      <c r="L233" s="6">
        <v>97.6</v>
      </c>
      <c r="M233" s="6">
        <v>83.9</v>
      </c>
      <c r="N233" s="6">
        <v>45.5</v>
      </c>
      <c r="O233" s="6">
        <v>8</v>
      </c>
      <c r="P233" s="8">
        <f t="shared" si="3"/>
        <v>140.53151106382978</v>
      </c>
      <c r="Q233" s="6"/>
      <c r="R233" s="6"/>
    </row>
    <row r="234" spans="1:18" x14ac:dyDescent="0.25">
      <c r="A234" s="6" t="s">
        <v>276</v>
      </c>
      <c r="B234" s="6">
        <f>VLOOKUP(A234,[2]Metadata_isolates!$A$1:$B$370,2,FALSE)</f>
        <v>377</v>
      </c>
      <c r="C234" s="7">
        <v>4001.3</v>
      </c>
      <c r="D234" s="6">
        <v>21.7</v>
      </c>
      <c r="E234" s="7">
        <v>2911</v>
      </c>
      <c r="F234" s="6">
        <v>25.1</v>
      </c>
      <c r="G234" s="7">
        <v>165200</v>
      </c>
      <c r="H234" s="7">
        <v>5349</v>
      </c>
      <c r="I234" s="7">
        <v>3433.3</v>
      </c>
      <c r="J234" s="7">
        <v>661018982</v>
      </c>
      <c r="K234" s="6">
        <v>99.7</v>
      </c>
      <c r="L234" s="6">
        <v>97.7</v>
      </c>
      <c r="M234" s="6">
        <v>87.5</v>
      </c>
      <c r="N234" s="6">
        <v>50.6</v>
      </c>
      <c r="O234" s="6">
        <v>8</v>
      </c>
      <c r="P234" s="8">
        <f t="shared" si="3"/>
        <v>140.64233659574469</v>
      </c>
      <c r="Q234" s="6"/>
      <c r="R234" s="6"/>
    </row>
    <row r="235" spans="1:18" x14ac:dyDescent="0.25">
      <c r="A235" s="6" t="s">
        <v>192</v>
      </c>
      <c r="B235" s="6">
        <f>VLOOKUP(A235,[2]Metadata_isolates!$A$1:$B$370,2,FALSE)</f>
        <v>377</v>
      </c>
      <c r="C235" s="7">
        <v>3628.2</v>
      </c>
      <c r="D235" s="6">
        <v>21.8</v>
      </c>
      <c r="E235" s="7">
        <v>2710</v>
      </c>
      <c r="F235" s="6">
        <v>25.2</v>
      </c>
      <c r="G235" s="7">
        <v>182295</v>
      </c>
      <c r="H235" s="7">
        <v>4657</v>
      </c>
      <c r="I235" s="7">
        <v>3186.1</v>
      </c>
      <c r="J235" s="7">
        <v>661397994</v>
      </c>
      <c r="K235" s="6">
        <v>99.7</v>
      </c>
      <c r="L235" s="6">
        <v>97.8</v>
      </c>
      <c r="M235" s="6">
        <v>88.1</v>
      </c>
      <c r="N235" s="6">
        <v>52.1</v>
      </c>
      <c r="O235" s="6">
        <v>9.1999999999999993</v>
      </c>
      <c r="P235" s="8">
        <f t="shared" si="3"/>
        <v>140.7229774468085</v>
      </c>
      <c r="Q235" s="6"/>
      <c r="R235" s="6"/>
    </row>
    <row r="236" spans="1:18" x14ac:dyDescent="0.25">
      <c r="A236" s="6" t="s">
        <v>353</v>
      </c>
      <c r="B236" s="6">
        <f>VLOOKUP(A236,[2]Metadata_isolates!$A$1:$B$370,2,FALSE)</f>
        <v>377</v>
      </c>
      <c r="C236" s="7">
        <v>4059.2</v>
      </c>
      <c r="D236" s="6">
        <v>17.3</v>
      </c>
      <c r="E236" s="7">
        <v>2937</v>
      </c>
      <c r="F236" s="6">
        <v>20.8</v>
      </c>
      <c r="G236" s="7">
        <v>163212</v>
      </c>
      <c r="H236" s="7">
        <v>5415</v>
      </c>
      <c r="I236" s="7">
        <v>4654.7</v>
      </c>
      <c r="J236" s="7">
        <v>662503409</v>
      </c>
      <c r="K236" s="6">
        <v>96.9</v>
      </c>
      <c r="L236" s="6">
        <v>91.1</v>
      </c>
      <c r="M236" s="6">
        <v>59.7</v>
      </c>
      <c r="N236" s="6">
        <v>6</v>
      </c>
      <c r="O236" s="6">
        <v>0</v>
      </c>
      <c r="P236" s="8">
        <f t="shared" si="3"/>
        <v>140.95817212765957</v>
      </c>
      <c r="Q236" s="6"/>
      <c r="R236" s="6"/>
    </row>
    <row r="237" spans="1:18" x14ac:dyDescent="0.25">
      <c r="A237" s="6" t="s">
        <v>253</v>
      </c>
      <c r="B237" s="6">
        <f>VLOOKUP(A237,[2]Metadata_isolates!$A$1:$B$370,2,FALSE)</f>
        <v>377</v>
      </c>
      <c r="C237" s="7">
        <v>3274.6</v>
      </c>
      <c r="D237" s="6">
        <v>21.6</v>
      </c>
      <c r="E237" s="7">
        <v>2447</v>
      </c>
      <c r="F237" s="6">
        <v>24.8</v>
      </c>
      <c r="G237" s="7">
        <v>203391</v>
      </c>
      <c r="H237" s="7">
        <v>4092</v>
      </c>
      <c r="I237" s="7">
        <v>2987.9</v>
      </c>
      <c r="J237" s="7">
        <v>666033061</v>
      </c>
      <c r="K237" s="6">
        <v>99.7</v>
      </c>
      <c r="L237" s="6">
        <v>97.7</v>
      </c>
      <c r="M237" s="6">
        <v>88.2</v>
      </c>
      <c r="N237" s="6">
        <v>47.3</v>
      </c>
      <c r="O237" s="6">
        <v>7.3</v>
      </c>
      <c r="P237" s="8">
        <f t="shared" si="3"/>
        <v>141.70916191489363</v>
      </c>
      <c r="Q237" s="6"/>
      <c r="R237" s="6"/>
    </row>
    <row r="238" spans="1:18" x14ac:dyDescent="0.25">
      <c r="A238" s="6" t="s">
        <v>398</v>
      </c>
      <c r="B238" s="6">
        <f>VLOOKUP(A238,[2]Metadata_isolates!$A$1:$B$370,2,FALSE)</f>
        <v>377</v>
      </c>
      <c r="C238" s="7">
        <v>6115.2</v>
      </c>
      <c r="D238" s="6">
        <v>22.3</v>
      </c>
      <c r="E238" s="7">
        <v>3982</v>
      </c>
      <c r="F238" s="6">
        <v>25.3</v>
      </c>
      <c r="G238" s="7">
        <v>109256</v>
      </c>
      <c r="H238" s="7">
        <v>8645</v>
      </c>
      <c r="I238" s="7">
        <v>6643.9</v>
      </c>
      <c r="J238" s="7">
        <v>668126681</v>
      </c>
      <c r="K238" s="6">
        <v>99.9</v>
      </c>
      <c r="L238" s="6">
        <v>98.5</v>
      </c>
      <c r="M238" s="6">
        <v>88.2</v>
      </c>
      <c r="N238" s="6">
        <v>52.9</v>
      </c>
      <c r="O238" s="6">
        <v>10</v>
      </c>
      <c r="P238" s="8">
        <f t="shared" si="3"/>
        <v>142.15461297872341</v>
      </c>
      <c r="Q238" s="6"/>
      <c r="R238" s="6"/>
    </row>
    <row r="239" spans="1:18" x14ac:dyDescent="0.25">
      <c r="A239" s="6" t="s">
        <v>436</v>
      </c>
      <c r="B239" s="6">
        <f>VLOOKUP(A239,[2]Metadata_isolates!$A$1:$B$370,2,FALSE)</f>
        <v>377</v>
      </c>
      <c r="C239" s="7">
        <v>3993.5</v>
      </c>
      <c r="D239" s="6">
        <v>20.8</v>
      </c>
      <c r="E239" s="7">
        <v>2932</v>
      </c>
      <c r="F239" s="6">
        <v>24.3</v>
      </c>
      <c r="G239" s="7">
        <v>167923</v>
      </c>
      <c r="H239" s="7">
        <v>5346</v>
      </c>
      <c r="I239" s="7">
        <v>3396.7</v>
      </c>
      <c r="J239" s="7">
        <v>670598034</v>
      </c>
      <c r="K239" s="6">
        <v>99.5</v>
      </c>
      <c r="L239" s="6">
        <v>96.7</v>
      </c>
      <c r="M239" s="6">
        <v>84</v>
      </c>
      <c r="N239" s="6">
        <v>42.5</v>
      </c>
      <c r="O239" s="6">
        <v>6.4</v>
      </c>
      <c r="P239" s="8">
        <f t="shared" si="3"/>
        <v>142.68043276595745</v>
      </c>
      <c r="Q239" s="6"/>
      <c r="R239" s="6"/>
    </row>
    <row r="240" spans="1:18" x14ac:dyDescent="0.25">
      <c r="A240" s="6" t="s">
        <v>191</v>
      </c>
      <c r="B240" s="6">
        <f>VLOOKUP(A240,[2]Metadata_isolates!$A$1:$B$370,2,FALSE)</f>
        <v>377</v>
      </c>
      <c r="C240" s="7">
        <v>3860.1</v>
      </c>
      <c r="D240" s="6">
        <v>22.1</v>
      </c>
      <c r="E240" s="7">
        <v>2826</v>
      </c>
      <c r="F240" s="6">
        <v>25.4</v>
      </c>
      <c r="G240" s="7">
        <v>176061</v>
      </c>
      <c r="H240" s="7">
        <v>5054</v>
      </c>
      <c r="I240" s="7">
        <v>3386.6</v>
      </c>
      <c r="J240" s="7">
        <v>679611539</v>
      </c>
      <c r="K240" s="6">
        <v>99.7</v>
      </c>
      <c r="L240" s="6">
        <v>98</v>
      </c>
      <c r="M240" s="6">
        <v>89.4</v>
      </c>
      <c r="N240" s="6">
        <v>54.3</v>
      </c>
      <c r="O240" s="6">
        <v>9.5</v>
      </c>
      <c r="P240" s="8">
        <f t="shared" si="3"/>
        <v>144.59819978723405</v>
      </c>
      <c r="Q240" s="6"/>
      <c r="R240" s="6"/>
    </row>
    <row r="241" spans="1:18" x14ac:dyDescent="0.25">
      <c r="A241" s="6" t="s">
        <v>123</v>
      </c>
      <c r="B241" s="6">
        <f>VLOOKUP(A241,[2]Metadata_isolates!$A$1:$B$370,2,FALSE)</f>
        <v>1499</v>
      </c>
      <c r="C241" s="7">
        <v>5162.7</v>
      </c>
      <c r="D241" s="6">
        <v>21.2</v>
      </c>
      <c r="E241" s="7">
        <v>3434</v>
      </c>
      <c r="F241" s="6">
        <v>24.4</v>
      </c>
      <c r="G241" s="7">
        <v>131775</v>
      </c>
      <c r="H241" s="7">
        <v>7474</v>
      </c>
      <c r="I241" s="7">
        <v>5595.3</v>
      </c>
      <c r="J241" s="7">
        <v>680310040</v>
      </c>
      <c r="K241" s="6">
        <v>99.9</v>
      </c>
      <c r="L241" s="6">
        <v>97.5</v>
      </c>
      <c r="M241" s="6">
        <v>82.3</v>
      </c>
      <c r="N241" s="6">
        <v>43.7</v>
      </c>
      <c r="O241" s="6">
        <v>7.2</v>
      </c>
      <c r="P241" s="8">
        <f t="shared" si="3"/>
        <v>144.7468170212766</v>
      </c>
      <c r="Q241" s="6"/>
      <c r="R241" s="6"/>
    </row>
    <row r="242" spans="1:18" x14ac:dyDescent="0.25">
      <c r="A242" s="6" t="s">
        <v>449</v>
      </c>
      <c r="B242" s="6">
        <f>VLOOKUP(A242,[2]Metadata_isolates!$A$1:$B$370,2,FALSE)</f>
        <v>377</v>
      </c>
      <c r="C242" s="7">
        <v>6079.4</v>
      </c>
      <c r="D242" s="6">
        <v>21.9</v>
      </c>
      <c r="E242" s="7">
        <v>4475</v>
      </c>
      <c r="F242" s="6">
        <v>25.1</v>
      </c>
      <c r="G242" s="7">
        <v>112270</v>
      </c>
      <c r="H242" s="7">
        <v>8269</v>
      </c>
      <c r="I242" s="7">
        <v>5410.4</v>
      </c>
      <c r="J242" s="7">
        <v>682539827</v>
      </c>
      <c r="K242" s="6">
        <v>99.8</v>
      </c>
      <c r="L242" s="6">
        <v>98</v>
      </c>
      <c r="M242" s="6">
        <v>88.1</v>
      </c>
      <c r="N242" s="6">
        <v>50.9</v>
      </c>
      <c r="O242" s="6">
        <v>7</v>
      </c>
      <c r="P242" s="8">
        <f t="shared" si="3"/>
        <v>145.22123978723405</v>
      </c>
      <c r="Q242" s="6"/>
      <c r="R242" s="6"/>
    </row>
    <row r="243" spans="1:18" x14ac:dyDescent="0.25">
      <c r="A243" s="6" t="s">
        <v>314</v>
      </c>
      <c r="B243" s="6">
        <f>VLOOKUP(A243,[2]Metadata_isolates!$A$1:$B$370,2,FALSE)</f>
        <v>377</v>
      </c>
      <c r="C243" s="7">
        <v>4473</v>
      </c>
      <c r="D243" s="6">
        <v>17.7</v>
      </c>
      <c r="E243" s="7">
        <v>3175</v>
      </c>
      <c r="F243" s="6">
        <v>21</v>
      </c>
      <c r="G243" s="7">
        <v>153622</v>
      </c>
      <c r="H243" s="7">
        <v>6111</v>
      </c>
      <c r="I243" s="7">
        <v>6089.4</v>
      </c>
      <c r="J243" s="7">
        <v>687152373</v>
      </c>
      <c r="K243" s="6">
        <v>97.4</v>
      </c>
      <c r="L243" s="6">
        <v>92.1</v>
      </c>
      <c r="M243" s="6">
        <v>62.8</v>
      </c>
      <c r="N243" s="6">
        <v>7.8</v>
      </c>
      <c r="O243" s="6">
        <v>0</v>
      </c>
      <c r="P243" s="8">
        <f t="shared" si="3"/>
        <v>146.20263255319148</v>
      </c>
      <c r="Q243" s="6"/>
      <c r="R243" s="6"/>
    </row>
    <row r="244" spans="1:18" x14ac:dyDescent="0.25">
      <c r="A244" s="6" t="s">
        <v>121</v>
      </c>
      <c r="B244" s="6">
        <f>VLOOKUP(A244,[2]Metadata_isolates!$A$1:$B$370,2,FALSE)</f>
        <v>377</v>
      </c>
      <c r="C244" s="7">
        <v>5059.8999999999996</v>
      </c>
      <c r="D244" s="6">
        <v>20.399999999999999</v>
      </c>
      <c r="E244" s="7">
        <v>3550</v>
      </c>
      <c r="F244" s="6">
        <v>23.1</v>
      </c>
      <c r="G244" s="7">
        <v>135869</v>
      </c>
      <c r="H244" s="7">
        <v>7177</v>
      </c>
      <c r="I244" s="7">
        <v>4799.1000000000004</v>
      </c>
      <c r="J244" s="7">
        <v>687482273</v>
      </c>
      <c r="K244" s="6">
        <v>99.8</v>
      </c>
      <c r="L244" s="6">
        <v>96.8</v>
      </c>
      <c r="M244" s="6">
        <v>78.900000000000006</v>
      </c>
      <c r="N244" s="6">
        <v>25.8</v>
      </c>
      <c r="O244" s="6">
        <v>1.1000000000000001</v>
      </c>
      <c r="P244" s="8">
        <f t="shared" si="3"/>
        <v>146.2728240425532</v>
      </c>
      <c r="Q244" s="6"/>
      <c r="R244" s="6"/>
    </row>
    <row r="245" spans="1:18" x14ac:dyDescent="0.25">
      <c r="A245" s="6" t="s">
        <v>261</v>
      </c>
      <c r="B245" s="6">
        <f>VLOOKUP(A245,[2]Metadata_isolates!$A$1:$B$370,2,FALSE)</f>
        <v>377</v>
      </c>
      <c r="C245" s="7">
        <v>3736.7</v>
      </c>
      <c r="D245" s="6">
        <v>21.5</v>
      </c>
      <c r="E245" s="7">
        <v>2774</v>
      </c>
      <c r="F245" s="6">
        <v>24.8</v>
      </c>
      <c r="G245" s="7">
        <v>185275</v>
      </c>
      <c r="H245" s="7">
        <v>4856</v>
      </c>
      <c r="I245" s="7">
        <v>3168.9</v>
      </c>
      <c r="J245" s="7">
        <v>692320914</v>
      </c>
      <c r="K245" s="6">
        <v>99.7</v>
      </c>
      <c r="L245" s="6">
        <v>97.5</v>
      </c>
      <c r="M245" s="6">
        <v>87.6</v>
      </c>
      <c r="N245" s="6">
        <v>48.2</v>
      </c>
      <c r="O245" s="6">
        <v>7.3</v>
      </c>
      <c r="P245" s="8">
        <f t="shared" si="3"/>
        <v>147.30232212765958</v>
      </c>
      <c r="Q245" s="6"/>
      <c r="R245" s="6"/>
    </row>
    <row r="246" spans="1:18" x14ac:dyDescent="0.25">
      <c r="A246" s="6" t="s">
        <v>217</v>
      </c>
      <c r="B246" s="6">
        <f>VLOOKUP(A246,[2]Metadata_isolates!$A$1:$B$370,2,FALSE)</f>
        <v>377</v>
      </c>
      <c r="C246" s="7">
        <v>3439.2</v>
      </c>
      <c r="D246" s="6">
        <v>21.4</v>
      </c>
      <c r="E246" s="7">
        <v>2544</v>
      </c>
      <c r="F246" s="6">
        <v>24.7</v>
      </c>
      <c r="G246" s="7">
        <v>201403</v>
      </c>
      <c r="H246" s="7">
        <v>4385</v>
      </c>
      <c r="I246" s="7">
        <v>2884</v>
      </c>
      <c r="J246" s="7">
        <v>692674083</v>
      </c>
      <c r="K246" s="6">
        <v>99.7</v>
      </c>
      <c r="L246" s="6">
        <v>97.7</v>
      </c>
      <c r="M246" s="6">
        <v>86.4</v>
      </c>
      <c r="N246" s="6">
        <v>46.8</v>
      </c>
      <c r="O246" s="6">
        <v>7.5</v>
      </c>
      <c r="P246" s="8">
        <f t="shared" si="3"/>
        <v>147.37746446808509</v>
      </c>
      <c r="Q246" s="6"/>
      <c r="R246" s="6"/>
    </row>
    <row r="247" spans="1:18" x14ac:dyDescent="0.25">
      <c r="A247" s="6" t="s">
        <v>440</v>
      </c>
      <c r="B247" s="6">
        <f>VLOOKUP(A247,[2]Metadata_isolates!$A$1:$B$370,2,FALSE)</f>
        <v>377</v>
      </c>
      <c r="C247" s="7">
        <v>3725.9</v>
      </c>
      <c r="D247" s="6">
        <v>21</v>
      </c>
      <c r="E247" s="7">
        <v>2782</v>
      </c>
      <c r="F247" s="6">
        <v>24.3</v>
      </c>
      <c r="G247" s="7">
        <v>186197</v>
      </c>
      <c r="H247" s="7">
        <v>4852</v>
      </c>
      <c r="I247" s="7">
        <v>3052.7</v>
      </c>
      <c r="J247" s="7">
        <v>693750072</v>
      </c>
      <c r="K247" s="6">
        <v>99.6</v>
      </c>
      <c r="L247" s="6">
        <v>97.1</v>
      </c>
      <c r="M247" s="6">
        <v>84.4</v>
      </c>
      <c r="N247" s="6">
        <v>42.6</v>
      </c>
      <c r="O247" s="6">
        <v>6.9</v>
      </c>
      <c r="P247" s="8">
        <f t="shared" si="3"/>
        <v>147.60639829787235</v>
      </c>
      <c r="Q247" s="6"/>
      <c r="R247" s="6"/>
    </row>
    <row r="248" spans="1:18" x14ac:dyDescent="0.25">
      <c r="A248" s="6" t="s">
        <v>289</v>
      </c>
      <c r="B248" s="6">
        <f>VLOOKUP(A248,[2]Metadata_isolates!$A$1:$B$370,2,FALSE)</f>
        <v>377</v>
      </c>
      <c r="C248" s="7">
        <v>4047.7</v>
      </c>
      <c r="D248" s="6">
        <v>21.3</v>
      </c>
      <c r="E248" s="7">
        <v>3006</v>
      </c>
      <c r="F248" s="6">
        <v>24.8</v>
      </c>
      <c r="G248" s="7">
        <v>171641</v>
      </c>
      <c r="H248" s="7">
        <v>5403</v>
      </c>
      <c r="I248" s="7">
        <v>3612.4</v>
      </c>
      <c r="J248" s="7">
        <v>694745533</v>
      </c>
      <c r="K248" s="6">
        <v>99.6</v>
      </c>
      <c r="L248" s="6">
        <v>97.3</v>
      </c>
      <c r="M248" s="6">
        <v>86</v>
      </c>
      <c r="N248" s="6">
        <v>47.6</v>
      </c>
      <c r="O248" s="6">
        <v>7.4</v>
      </c>
      <c r="P248" s="8">
        <f t="shared" si="3"/>
        <v>147.8181985106383</v>
      </c>
      <c r="Q248" s="6"/>
      <c r="R248" s="6"/>
    </row>
    <row r="249" spans="1:18" x14ac:dyDescent="0.25">
      <c r="A249" s="6" t="s">
        <v>152</v>
      </c>
      <c r="B249" s="6">
        <f>VLOOKUP(A249,[2]Metadata_isolates!$A$1:$B$370,2,FALSE)</f>
        <v>377</v>
      </c>
      <c r="C249" s="7">
        <v>5521.5</v>
      </c>
      <c r="D249" s="6">
        <v>21</v>
      </c>
      <c r="E249" s="7">
        <v>3818</v>
      </c>
      <c r="F249" s="6">
        <v>24.5</v>
      </c>
      <c r="G249" s="7">
        <v>125836</v>
      </c>
      <c r="H249" s="7">
        <v>8062</v>
      </c>
      <c r="I249" s="7">
        <v>5296.2</v>
      </c>
      <c r="J249" s="7">
        <v>694807581</v>
      </c>
      <c r="K249" s="6">
        <v>99.7</v>
      </c>
      <c r="L249" s="6">
        <v>97.1</v>
      </c>
      <c r="M249" s="6">
        <v>83</v>
      </c>
      <c r="N249" s="6">
        <v>45.4</v>
      </c>
      <c r="O249" s="6">
        <v>7.1</v>
      </c>
      <c r="P249" s="8">
        <f t="shared" si="3"/>
        <v>147.83140021276597</v>
      </c>
      <c r="Q249" s="6"/>
      <c r="R249" s="6"/>
    </row>
    <row r="250" spans="1:18" x14ac:dyDescent="0.25">
      <c r="A250" s="6" t="s">
        <v>306</v>
      </c>
      <c r="B250" s="6">
        <f>VLOOKUP(A250,[2]Metadata_isolates!$A$1:$B$370,2,FALSE)</f>
        <v>377</v>
      </c>
      <c r="C250" s="7">
        <v>4323.5</v>
      </c>
      <c r="D250" s="6">
        <v>17.3</v>
      </c>
      <c r="E250" s="7">
        <v>3005</v>
      </c>
      <c r="F250" s="6">
        <v>21</v>
      </c>
      <c r="G250" s="7">
        <v>160737</v>
      </c>
      <c r="H250" s="7">
        <v>5886</v>
      </c>
      <c r="I250" s="7">
        <v>5531.9</v>
      </c>
      <c r="J250" s="7">
        <v>694948739</v>
      </c>
      <c r="K250" s="6">
        <v>96.5</v>
      </c>
      <c r="L250" s="6">
        <v>90.7</v>
      </c>
      <c r="M250" s="6">
        <v>62.8</v>
      </c>
      <c r="N250" s="6">
        <v>7.9</v>
      </c>
      <c r="O250" s="6">
        <v>0</v>
      </c>
      <c r="P250" s="8">
        <f t="shared" si="3"/>
        <v>147.86143382978725</v>
      </c>
      <c r="Q250" s="6"/>
      <c r="R250" s="6"/>
    </row>
    <row r="251" spans="1:18" x14ac:dyDescent="0.25">
      <c r="A251" s="6" t="s">
        <v>355</v>
      </c>
      <c r="B251" s="6">
        <f>VLOOKUP(A251,[2]Metadata_isolates!$A$1:$B$370,2,FALSE)</f>
        <v>377</v>
      </c>
      <c r="C251" s="7">
        <v>4722.2</v>
      </c>
      <c r="D251" s="6">
        <v>17.899999999999999</v>
      </c>
      <c r="E251" s="7">
        <v>3414</v>
      </c>
      <c r="F251" s="6">
        <v>21.1</v>
      </c>
      <c r="G251" s="7">
        <v>147731</v>
      </c>
      <c r="H251" s="7">
        <v>6416</v>
      </c>
      <c r="I251" s="7">
        <v>7154.2</v>
      </c>
      <c r="J251" s="7">
        <v>697613470</v>
      </c>
      <c r="K251" s="6">
        <v>97.6</v>
      </c>
      <c r="L251" s="6">
        <v>92.3</v>
      </c>
      <c r="M251" s="6">
        <v>64.2</v>
      </c>
      <c r="N251" s="6">
        <v>8</v>
      </c>
      <c r="O251" s="6">
        <v>0</v>
      </c>
      <c r="P251" s="8">
        <f t="shared" si="3"/>
        <v>148.42839787234041</v>
      </c>
      <c r="Q251" s="6"/>
      <c r="R251" s="6"/>
    </row>
    <row r="252" spans="1:18" x14ac:dyDescent="0.25">
      <c r="A252" s="6" t="s">
        <v>267</v>
      </c>
      <c r="B252" s="6">
        <f>VLOOKUP(A252,[2]Metadata_isolates!$A$1:$B$370,2,FALSE)</f>
        <v>377</v>
      </c>
      <c r="C252" s="7">
        <v>5432.8</v>
      </c>
      <c r="D252" s="6">
        <v>17.7</v>
      </c>
      <c r="E252" s="7">
        <v>3946</v>
      </c>
      <c r="F252" s="6">
        <v>21.5</v>
      </c>
      <c r="G252" s="7">
        <v>128512</v>
      </c>
      <c r="H252" s="7">
        <v>7465</v>
      </c>
      <c r="I252" s="7">
        <v>6335.9</v>
      </c>
      <c r="J252" s="7">
        <v>698184718</v>
      </c>
      <c r="K252" s="6">
        <v>97</v>
      </c>
      <c r="L252" s="6">
        <v>91.3</v>
      </c>
      <c r="M252" s="6">
        <v>68</v>
      </c>
      <c r="N252" s="6">
        <v>10.9</v>
      </c>
      <c r="O252" s="6">
        <v>0</v>
      </c>
      <c r="P252" s="8">
        <f t="shared" si="3"/>
        <v>148.54993999999999</v>
      </c>
      <c r="Q252" s="6"/>
      <c r="R252" s="6"/>
    </row>
    <row r="253" spans="1:18" x14ac:dyDescent="0.25">
      <c r="A253" s="6" t="s">
        <v>285</v>
      </c>
      <c r="B253" s="6">
        <f>VLOOKUP(A253,[2]Metadata_isolates!$A$1:$B$370,2,FALSE)</f>
        <v>377</v>
      </c>
      <c r="C253" s="7">
        <v>3831.4</v>
      </c>
      <c r="D253" s="6">
        <v>21.8</v>
      </c>
      <c r="E253" s="7">
        <v>2713</v>
      </c>
      <c r="F253" s="6">
        <v>25.1</v>
      </c>
      <c r="G253" s="7">
        <v>184496</v>
      </c>
      <c r="H253" s="7">
        <v>5093</v>
      </c>
      <c r="I253" s="7">
        <v>3423</v>
      </c>
      <c r="J253" s="7">
        <v>706883168</v>
      </c>
      <c r="K253" s="6">
        <v>99.7</v>
      </c>
      <c r="L253" s="6">
        <v>97.8</v>
      </c>
      <c r="M253" s="6">
        <v>87.9</v>
      </c>
      <c r="N253" s="6">
        <v>51.5</v>
      </c>
      <c r="O253" s="6">
        <v>8.8000000000000007</v>
      </c>
      <c r="P253" s="8">
        <f t="shared" si="3"/>
        <v>150.40067404255319</v>
      </c>
      <c r="Q253" s="6"/>
      <c r="R253" s="6"/>
    </row>
    <row r="254" spans="1:18" x14ac:dyDescent="0.25">
      <c r="A254" s="6" t="s">
        <v>117</v>
      </c>
      <c r="B254" s="6">
        <f>VLOOKUP(A254,[2]Metadata_isolates!$A$1:$B$370,2,FALSE)</f>
        <v>1499</v>
      </c>
      <c r="C254" s="7">
        <v>4653</v>
      </c>
      <c r="D254" s="6">
        <v>21</v>
      </c>
      <c r="E254" s="7">
        <v>3186</v>
      </c>
      <c r="F254" s="6">
        <v>24.4</v>
      </c>
      <c r="G254" s="7">
        <v>152043</v>
      </c>
      <c r="H254" s="7">
        <v>6628</v>
      </c>
      <c r="I254" s="7">
        <v>4668.8999999999996</v>
      </c>
      <c r="J254" s="7">
        <v>707449045</v>
      </c>
      <c r="K254" s="6">
        <v>99.7</v>
      </c>
      <c r="L254" s="6">
        <v>97</v>
      </c>
      <c r="M254" s="6">
        <v>82.2</v>
      </c>
      <c r="N254" s="6">
        <v>43.9</v>
      </c>
      <c r="O254" s="6">
        <v>7.4</v>
      </c>
      <c r="P254" s="8">
        <f t="shared" si="3"/>
        <v>150.52107340425533</v>
      </c>
      <c r="Q254" s="6"/>
      <c r="R254" s="6"/>
    </row>
    <row r="255" spans="1:18" x14ac:dyDescent="0.25">
      <c r="A255" s="6" t="s">
        <v>197</v>
      </c>
      <c r="B255" s="6">
        <f>VLOOKUP(A255,[2]Metadata_isolates!$A$1:$B$370,2,FALSE)</f>
        <v>377</v>
      </c>
      <c r="C255" s="7">
        <v>3956.9</v>
      </c>
      <c r="D255" s="6">
        <v>21.6</v>
      </c>
      <c r="E255" s="7">
        <v>2866.5</v>
      </c>
      <c r="F255" s="6">
        <v>25</v>
      </c>
      <c r="G255" s="7">
        <v>180360</v>
      </c>
      <c r="H255" s="7">
        <v>5264</v>
      </c>
      <c r="I255" s="7">
        <v>3540.9</v>
      </c>
      <c r="J255" s="7">
        <v>713675345</v>
      </c>
      <c r="K255" s="6">
        <v>99.7</v>
      </c>
      <c r="L255" s="6">
        <v>97.7</v>
      </c>
      <c r="M255" s="6">
        <v>87.2</v>
      </c>
      <c r="N255" s="6">
        <v>50.4</v>
      </c>
      <c r="O255" s="6">
        <v>8.6</v>
      </c>
      <c r="P255" s="8">
        <f t="shared" si="3"/>
        <v>151.84581808510637</v>
      </c>
      <c r="Q255" s="6"/>
      <c r="R255" s="6"/>
    </row>
    <row r="256" spans="1:18" x14ac:dyDescent="0.25">
      <c r="A256" s="6" t="s">
        <v>356</v>
      </c>
      <c r="B256" s="6">
        <f>VLOOKUP(A256,[2]Metadata_isolates!$A$1:$B$370,2,FALSE)</f>
        <v>377</v>
      </c>
      <c r="C256" s="7">
        <v>4296.8999999999996</v>
      </c>
      <c r="D256" s="6">
        <v>17.100000000000001</v>
      </c>
      <c r="E256" s="7">
        <v>3109</v>
      </c>
      <c r="F256" s="6">
        <v>20.9</v>
      </c>
      <c r="G256" s="7">
        <v>167177</v>
      </c>
      <c r="H256" s="7">
        <v>5746</v>
      </c>
      <c r="I256" s="7">
        <v>5763.8</v>
      </c>
      <c r="J256" s="7">
        <v>718337350</v>
      </c>
      <c r="K256" s="6">
        <v>96.1</v>
      </c>
      <c r="L256" s="6">
        <v>90.1</v>
      </c>
      <c r="M256" s="6">
        <v>61.6</v>
      </c>
      <c r="N256" s="6">
        <v>6.8</v>
      </c>
      <c r="O256" s="6">
        <v>0</v>
      </c>
      <c r="P256" s="8">
        <f t="shared" si="3"/>
        <v>152.83773404255319</v>
      </c>
      <c r="Q256" s="6"/>
      <c r="R256" s="6"/>
    </row>
    <row r="257" spans="1:18" x14ac:dyDescent="0.25">
      <c r="A257" s="6" t="s">
        <v>162</v>
      </c>
      <c r="B257" s="6">
        <f>VLOOKUP(A257,[2]Metadata_isolates!$A$1:$B$370,2,FALSE)</f>
        <v>377</v>
      </c>
      <c r="C257" s="7">
        <v>5680.2</v>
      </c>
      <c r="D257" s="6">
        <v>20.399999999999999</v>
      </c>
      <c r="E257" s="7">
        <v>4065</v>
      </c>
      <c r="F257" s="6">
        <v>23.8</v>
      </c>
      <c r="G257" s="7">
        <v>127099</v>
      </c>
      <c r="H257" s="7">
        <v>8126</v>
      </c>
      <c r="I257" s="7">
        <v>5142.6000000000004</v>
      </c>
      <c r="J257" s="7">
        <v>721948239</v>
      </c>
      <c r="K257" s="6">
        <v>99.7</v>
      </c>
      <c r="L257" s="6">
        <v>96.2</v>
      </c>
      <c r="M257" s="6">
        <v>79.2</v>
      </c>
      <c r="N257" s="6">
        <v>37.700000000000003</v>
      </c>
      <c r="O257" s="6">
        <v>4.3</v>
      </c>
      <c r="P257" s="8">
        <f t="shared" ref="P257:P320" si="4">J257/4700000</f>
        <v>153.60600829787234</v>
      </c>
      <c r="Q257" s="6"/>
      <c r="R257" s="6"/>
    </row>
    <row r="258" spans="1:18" x14ac:dyDescent="0.25">
      <c r="A258" s="6" t="s">
        <v>294</v>
      </c>
      <c r="B258" s="6">
        <f>VLOOKUP(A258,[2]Metadata_isolates!$A$1:$B$370,2,FALSE)</f>
        <v>377</v>
      </c>
      <c r="C258" s="7">
        <v>6694</v>
      </c>
      <c r="D258" s="6">
        <v>18.100000000000001</v>
      </c>
      <c r="E258" s="7">
        <v>4909</v>
      </c>
      <c r="F258" s="6">
        <v>22.2</v>
      </c>
      <c r="G258" s="7">
        <v>108094</v>
      </c>
      <c r="H258" s="7">
        <v>9130</v>
      </c>
      <c r="I258" s="7">
        <v>6710.4</v>
      </c>
      <c r="J258" s="7">
        <v>723582891</v>
      </c>
      <c r="K258" s="6">
        <v>97.1</v>
      </c>
      <c r="L258" s="6">
        <v>91.5</v>
      </c>
      <c r="M258" s="6">
        <v>74.3</v>
      </c>
      <c r="N258" s="6">
        <v>15.7</v>
      </c>
      <c r="O258" s="6">
        <v>0</v>
      </c>
      <c r="P258" s="8">
        <f t="shared" si="4"/>
        <v>153.95380659574468</v>
      </c>
      <c r="Q258" s="6"/>
      <c r="R258" s="6"/>
    </row>
    <row r="259" spans="1:18" x14ac:dyDescent="0.25">
      <c r="A259" s="6" t="s">
        <v>483</v>
      </c>
      <c r="B259" s="6">
        <f>VLOOKUP(A259,[2]Metadata_isolates!$A$1:$B$370,2,FALSE)</f>
        <v>377</v>
      </c>
      <c r="C259" s="7">
        <v>6149.5</v>
      </c>
      <c r="D259" s="6">
        <v>20.100000000000001</v>
      </c>
      <c r="E259" s="7">
        <v>4415</v>
      </c>
      <c r="F259" s="6">
        <v>23</v>
      </c>
      <c r="G259" s="7">
        <v>118163</v>
      </c>
      <c r="H259" s="7">
        <v>8338</v>
      </c>
      <c r="I259" s="7">
        <v>5377.3</v>
      </c>
      <c r="J259" s="7">
        <v>726637488</v>
      </c>
      <c r="K259" s="6">
        <v>99.8</v>
      </c>
      <c r="L259" s="6">
        <v>95.6</v>
      </c>
      <c r="M259" s="6">
        <v>76.099999999999994</v>
      </c>
      <c r="N259" s="6">
        <v>27.4</v>
      </c>
      <c r="O259" s="6">
        <v>1.9</v>
      </c>
      <c r="P259" s="8">
        <f t="shared" si="4"/>
        <v>154.60372085106383</v>
      </c>
      <c r="Q259" s="6"/>
      <c r="R259" s="6"/>
    </row>
    <row r="260" spans="1:18" x14ac:dyDescent="0.25">
      <c r="A260" s="6" t="s">
        <v>287</v>
      </c>
      <c r="B260" s="6">
        <f>VLOOKUP(A260,[2]Metadata_isolates!$A$1:$B$370,2,FALSE)</f>
        <v>377</v>
      </c>
      <c r="C260" s="7">
        <v>4531.3999999999996</v>
      </c>
      <c r="D260" s="6">
        <v>21.9</v>
      </c>
      <c r="E260" s="7">
        <v>3320</v>
      </c>
      <c r="F260" s="6">
        <v>25.2</v>
      </c>
      <c r="G260" s="7">
        <v>160658</v>
      </c>
      <c r="H260" s="7">
        <v>6167</v>
      </c>
      <c r="I260" s="7">
        <v>3860.9</v>
      </c>
      <c r="J260" s="7">
        <v>728013113</v>
      </c>
      <c r="K260" s="6">
        <v>99.8</v>
      </c>
      <c r="L260" s="6">
        <v>98</v>
      </c>
      <c r="M260" s="6">
        <v>87.7</v>
      </c>
      <c r="N260" s="6">
        <v>52.1</v>
      </c>
      <c r="O260" s="6">
        <v>8.4</v>
      </c>
      <c r="P260" s="8">
        <f t="shared" si="4"/>
        <v>154.89640702127659</v>
      </c>
      <c r="Q260" s="6"/>
      <c r="R260" s="6"/>
    </row>
    <row r="261" spans="1:18" x14ac:dyDescent="0.25">
      <c r="A261" s="6" t="s">
        <v>301</v>
      </c>
      <c r="B261" s="6">
        <f>VLOOKUP(A261,[2]Metadata_isolates!$A$1:$B$370,2,FALSE)</f>
        <v>377</v>
      </c>
      <c r="C261" s="7">
        <v>5742.3</v>
      </c>
      <c r="D261" s="6">
        <v>17.899999999999999</v>
      </c>
      <c r="E261" s="7">
        <v>4211</v>
      </c>
      <c r="F261" s="6">
        <v>21.7</v>
      </c>
      <c r="G261" s="7">
        <v>127381</v>
      </c>
      <c r="H261" s="7">
        <v>7858</v>
      </c>
      <c r="I261" s="7">
        <v>8905.7999999999993</v>
      </c>
      <c r="J261" s="7">
        <v>731461382</v>
      </c>
      <c r="K261" s="6">
        <v>97.1</v>
      </c>
      <c r="L261" s="6">
        <v>91.5</v>
      </c>
      <c r="M261" s="6">
        <v>70</v>
      </c>
      <c r="N261" s="6">
        <v>12.3</v>
      </c>
      <c r="O261" s="6">
        <v>0</v>
      </c>
      <c r="P261" s="8">
        <f t="shared" si="4"/>
        <v>155.63008127659575</v>
      </c>
      <c r="Q261" s="6"/>
      <c r="R261" s="6"/>
    </row>
    <row r="262" spans="1:18" x14ac:dyDescent="0.25">
      <c r="A262" s="6" t="s">
        <v>383</v>
      </c>
      <c r="B262" s="6">
        <f>VLOOKUP(A262,[2]Metadata_isolates!$A$1:$B$370,2,FALSE)</f>
        <v>377</v>
      </c>
      <c r="C262" s="7">
        <v>2960</v>
      </c>
      <c r="D262" s="6">
        <v>20.8</v>
      </c>
      <c r="E262" s="7">
        <v>2294</v>
      </c>
      <c r="F262" s="6">
        <v>24.2</v>
      </c>
      <c r="G262" s="7">
        <v>247891</v>
      </c>
      <c r="H262" s="7">
        <v>3590</v>
      </c>
      <c r="I262" s="7">
        <v>2261.8000000000002</v>
      </c>
      <c r="J262" s="7">
        <v>733761814</v>
      </c>
      <c r="K262" s="6">
        <v>99.4</v>
      </c>
      <c r="L262" s="6">
        <v>96.9</v>
      </c>
      <c r="M262" s="6">
        <v>84.2</v>
      </c>
      <c r="N262" s="6">
        <v>40.9</v>
      </c>
      <c r="O262" s="6">
        <v>7</v>
      </c>
      <c r="P262" s="8">
        <f t="shared" si="4"/>
        <v>156.11953489361701</v>
      </c>
      <c r="Q262" s="6"/>
      <c r="R262" s="6"/>
    </row>
    <row r="263" spans="1:18" x14ac:dyDescent="0.25">
      <c r="A263" s="6" t="s">
        <v>141</v>
      </c>
      <c r="B263" s="6">
        <f>VLOOKUP(A263,[2]Metadata_isolates!$A$1:$B$370,2,FALSE)</f>
        <v>377</v>
      </c>
      <c r="C263" s="7">
        <v>4600.7</v>
      </c>
      <c r="D263" s="6">
        <v>20.7</v>
      </c>
      <c r="E263" s="7">
        <v>3140</v>
      </c>
      <c r="F263" s="6">
        <v>24.1</v>
      </c>
      <c r="G263" s="7">
        <v>160240</v>
      </c>
      <c r="H263" s="7">
        <v>6511</v>
      </c>
      <c r="I263" s="7">
        <v>4605.5</v>
      </c>
      <c r="J263" s="7">
        <v>737210728</v>
      </c>
      <c r="K263" s="6">
        <v>99.7</v>
      </c>
      <c r="L263" s="6">
        <v>96.6</v>
      </c>
      <c r="M263" s="6">
        <v>79.900000000000006</v>
      </c>
      <c r="N263" s="6">
        <v>42</v>
      </c>
      <c r="O263" s="6">
        <v>7.5</v>
      </c>
      <c r="P263" s="8">
        <f t="shared" si="4"/>
        <v>156.85334638297871</v>
      </c>
      <c r="Q263" s="6"/>
      <c r="R263" s="6"/>
    </row>
    <row r="264" spans="1:18" x14ac:dyDescent="0.25">
      <c r="A264" s="6" t="s">
        <v>159</v>
      </c>
      <c r="B264" s="6">
        <f>VLOOKUP(A264,[2]Metadata_isolates!$A$1:$B$370,2,FALSE)</f>
        <v>377</v>
      </c>
      <c r="C264" s="7">
        <v>4527.3</v>
      </c>
      <c r="D264" s="6">
        <v>20.8</v>
      </c>
      <c r="E264" s="7">
        <v>3143</v>
      </c>
      <c r="F264" s="6">
        <v>24.2</v>
      </c>
      <c r="G264" s="7">
        <v>163056</v>
      </c>
      <c r="H264" s="7">
        <v>6317</v>
      </c>
      <c r="I264" s="7">
        <v>4290</v>
      </c>
      <c r="J264" s="7">
        <v>738199785</v>
      </c>
      <c r="K264" s="6">
        <v>99.7</v>
      </c>
      <c r="L264" s="6">
        <v>97.1</v>
      </c>
      <c r="M264" s="6">
        <v>80.900000000000006</v>
      </c>
      <c r="N264" s="6">
        <v>42.1</v>
      </c>
      <c r="O264" s="6">
        <v>6.7</v>
      </c>
      <c r="P264" s="8">
        <f t="shared" si="4"/>
        <v>157.06378404255318</v>
      </c>
      <c r="Q264" s="6"/>
      <c r="R264" s="6"/>
    </row>
    <row r="265" spans="1:18" x14ac:dyDescent="0.25">
      <c r="A265" s="6" t="s">
        <v>212</v>
      </c>
      <c r="B265" s="6">
        <f>VLOOKUP(A265,[2]Metadata_isolates!$A$1:$B$370,2,FALSE)</f>
        <v>377</v>
      </c>
      <c r="C265" s="7">
        <v>4124.8999999999996</v>
      </c>
      <c r="D265" s="6">
        <v>21.5</v>
      </c>
      <c r="E265" s="7">
        <v>3070</v>
      </c>
      <c r="F265" s="6">
        <v>25</v>
      </c>
      <c r="G265" s="7">
        <v>179012</v>
      </c>
      <c r="H265" s="7">
        <v>5491</v>
      </c>
      <c r="I265" s="7">
        <v>3603.8</v>
      </c>
      <c r="J265" s="7">
        <v>738414323</v>
      </c>
      <c r="K265" s="6">
        <v>99.7</v>
      </c>
      <c r="L265" s="6">
        <v>97.4</v>
      </c>
      <c r="M265" s="6">
        <v>87</v>
      </c>
      <c r="N265" s="6">
        <v>50</v>
      </c>
      <c r="O265" s="6">
        <v>7.9</v>
      </c>
      <c r="P265" s="8">
        <f t="shared" si="4"/>
        <v>157.10943042553191</v>
      </c>
      <c r="Q265" s="6"/>
      <c r="R265" s="6"/>
    </row>
    <row r="266" spans="1:18" x14ac:dyDescent="0.25">
      <c r="A266" s="6" t="s">
        <v>326</v>
      </c>
      <c r="B266" s="6">
        <f>VLOOKUP(A266,[2]Metadata_isolates!$A$1:$B$370,2,FALSE)</f>
        <v>377</v>
      </c>
      <c r="C266" s="7">
        <v>5259.7</v>
      </c>
      <c r="D266" s="6">
        <v>17.7</v>
      </c>
      <c r="E266" s="7">
        <v>3892</v>
      </c>
      <c r="F266" s="6">
        <v>21.5</v>
      </c>
      <c r="G266" s="7">
        <v>141105</v>
      </c>
      <c r="H266" s="7">
        <v>7060</v>
      </c>
      <c r="I266" s="7">
        <v>5530</v>
      </c>
      <c r="J266" s="7">
        <v>742172802</v>
      </c>
      <c r="K266" s="6">
        <v>96.9</v>
      </c>
      <c r="L266" s="6">
        <v>91.1</v>
      </c>
      <c r="M266" s="6">
        <v>68.400000000000006</v>
      </c>
      <c r="N266" s="6">
        <v>10.5</v>
      </c>
      <c r="O266" s="6">
        <v>0</v>
      </c>
      <c r="P266" s="8">
        <f t="shared" si="4"/>
        <v>157.90910680851064</v>
      </c>
      <c r="Q266" s="6"/>
      <c r="R266" s="6"/>
    </row>
    <row r="267" spans="1:18" x14ac:dyDescent="0.25">
      <c r="A267" s="6" t="s">
        <v>230</v>
      </c>
      <c r="B267" s="6">
        <f>VLOOKUP(A267,[2]Metadata_isolates!$A$1:$B$370,2,FALSE)</f>
        <v>377</v>
      </c>
      <c r="C267" s="7">
        <v>3718</v>
      </c>
      <c r="D267" s="6">
        <v>21.7</v>
      </c>
      <c r="E267" s="7">
        <v>2751</v>
      </c>
      <c r="F267" s="6">
        <v>25</v>
      </c>
      <c r="G267" s="7">
        <v>200302</v>
      </c>
      <c r="H267" s="7">
        <v>4827</v>
      </c>
      <c r="I267" s="7">
        <v>3114.6</v>
      </c>
      <c r="J267" s="7">
        <v>744726869</v>
      </c>
      <c r="K267" s="6">
        <v>99.7</v>
      </c>
      <c r="L267" s="6">
        <v>97.8</v>
      </c>
      <c r="M267" s="6">
        <v>87.3</v>
      </c>
      <c r="N267" s="6">
        <v>49.6</v>
      </c>
      <c r="O267" s="6">
        <v>8.3000000000000007</v>
      </c>
      <c r="P267" s="8">
        <f t="shared" si="4"/>
        <v>158.45252531914895</v>
      </c>
      <c r="Q267" s="6"/>
      <c r="R267" s="6"/>
    </row>
    <row r="268" spans="1:18" x14ac:dyDescent="0.25">
      <c r="A268" s="6" t="s">
        <v>461</v>
      </c>
      <c r="B268" s="6">
        <f>VLOOKUP(A268,[2]Metadata_isolates!$A$1:$B$370,2,FALSE)</f>
        <v>377</v>
      </c>
      <c r="C268" s="7">
        <v>6120</v>
      </c>
      <c r="D268" s="6">
        <v>21.9</v>
      </c>
      <c r="E268" s="7">
        <v>4419</v>
      </c>
      <c r="F268" s="6">
        <v>25.2</v>
      </c>
      <c r="G268" s="7">
        <v>121925</v>
      </c>
      <c r="H268" s="7">
        <v>8364</v>
      </c>
      <c r="I268" s="7">
        <v>5477.8</v>
      </c>
      <c r="J268" s="7">
        <v>746182703</v>
      </c>
      <c r="K268" s="6">
        <v>99.8</v>
      </c>
      <c r="L268" s="6">
        <v>97.9</v>
      </c>
      <c r="M268" s="6">
        <v>88.1</v>
      </c>
      <c r="N268" s="6">
        <v>51.5</v>
      </c>
      <c r="O268" s="6">
        <v>7.9</v>
      </c>
      <c r="P268" s="8">
        <f t="shared" si="4"/>
        <v>158.76227723404256</v>
      </c>
      <c r="Q268" s="6"/>
      <c r="R268" s="6"/>
    </row>
    <row r="269" spans="1:18" x14ac:dyDescent="0.25">
      <c r="A269" s="6" t="s">
        <v>450</v>
      </c>
      <c r="B269" s="6">
        <f>VLOOKUP(A269,[2]Metadata_isolates!$A$1:$B$370,2,FALSE)</f>
        <v>377</v>
      </c>
      <c r="C269" s="7">
        <v>6186.1</v>
      </c>
      <c r="D269" s="6">
        <v>22.1</v>
      </c>
      <c r="E269" s="7">
        <v>4574</v>
      </c>
      <c r="F269" s="6">
        <v>25.2</v>
      </c>
      <c r="G269" s="7">
        <v>121200</v>
      </c>
      <c r="H269" s="7">
        <v>8298</v>
      </c>
      <c r="I269" s="7">
        <v>5145.2</v>
      </c>
      <c r="J269" s="7">
        <v>749750964</v>
      </c>
      <c r="K269" s="6">
        <v>99.8</v>
      </c>
      <c r="L269" s="6">
        <v>98.1</v>
      </c>
      <c r="M269" s="6">
        <v>88.5</v>
      </c>
      <c r="N269" s="6">
        <v>52.1</v>
      </c>
      <c r="O269" s="6">
        <v>7.9</v>
      </c>
      <c r="P269" s="8">
        <f t="shared" si="4"/>
        <v>159.52148170212766</v>
      </c>
      <c r="Q269" s="6"/>
      <c r="R269" s="6"/>
    </row>
    <row r="270" spans="1:18" x14ac:dyDescent="0.25">
      <c r="A270" s="6" t="s">
        <v>120</v>
      </c>
      <c r="B270" s="6">
        <f>VLOOKUP(A270,[2]Metadata_isolates!$A$1:$B$370,2,FALSE)</f>
        <v>1499</v>
      </c>
      <c r="C270" s="7">
        <v>5339.4</v>
      </c>
      <c r="D270" s="6">
        <v>21.3</v>
      </c>
      <c r="E270" s="7">
        <v>3677</v>
      </c>
      <c r="F270" s="6">
        <v>24.6</v>
      </c>
      <c r="G270" s="7">
        <v>140663</v>
      </c>
      <c r="H270" s="7">
        <v>7603</v>
      </c>
      <c r="I270" s="7">
        <v>5444.4</v>
      </c>
      <c r="J270" s="7">
        <v>751052159</v>
      </c>
      <c r="K270" s="6">
        <v>99.8</v>
      </c>
      <c r="L270" s="6">
        <v>97.4</v>
      </c>
      <c r="M270" s="6">
        <v>83.3</v>
      </c>
      <c r="N270" s="6">
        <v>45.5</v>
      </c>
      <c r="O270" s="6">
        <v>7.4</v>
      </c>
      <c r="P270" s="8">
        <f t="shared" si="4"/>
        <v>159.79833170212765</v>
      </c>
      <c r="Q270" s="6"/>
      <c r="R270" s="6"/>
    </row>
    <row r="271" spans="1:18" x14ac:dyDescent="0.25">
      <c r="A271" s="6" t="s">
        <v>210</v>
      </c>
      <c r="B271" s="6">
        <f>VLOOKUP(A271,[2]Metadata_isolates!$A$1:$B$370,2,FALSE)</f>
        <v>377</v>
      </c>
      <c r="C271" s="7">
        <v>4199.7</v>
      </c>
      <c r="D271" s="6">
        <v>21.6</v>
      </c>
      <c r="E271" s="7">
        <v>3104</v>
      </c>
      <c r="F271" s="6">
        <v>25</v>
      </c>
      <c r="G271" s="7">
        <v>179269</v>
      </c>
      <c r="H271" s="7">
        <v>5633</v>
      </c>
      <c r="I271" s="7">
        <v>3492.7</v>
      </c>
      <c r="J271" s="7">
        <v>752884229</v>
      </c>
      <c r="K271" s="6">
        <v>99.7</v>
      </c>
      <c r="L271" s="6">
        <v>97.7</v>
      </c>
      <c r="M271" s="6">
        <v>86.7</v>
      </c>
      <c r="N271" s="6">
        <v>49.9</v>
      </c>
      <c r="O271" s="6">
        <v>8.1</v>
      </c>
      <c r="P271" s="8">
        <f t="shared" si="4"/>
        <v>160.18813382978723</v>
      </c>
      <c r="Q271" s="6"/>
      <c r="R271" s="6"/>
    </row>
    <row r="272" spans="1:18" x14ac:dyDescent="0.25">
      <c r="A272" s="6" t="s">
        <v>443</v>
      </c>
      <c r="B272" s="6">
        <f>VLOOKUP(A272,[2]Metadata_isolates!$A$1:$B$370,2,FALSE)</f>
        <v>377</v>
      </c>
      <c r="C272" s="7">
        <v>3567.7</v>
      </c>
      <c r="D272" s="6">
        <v>21.2</v>
      </c>
      <c r="E272" s="7">
        <v>2663</v>
      </c>
      <c r="F272" s="6">
        <v>24.5</v>
      </c>
      <c r="G272" s="7">
        <v>211057</v>
      </c>
      <c r="H272" s="7">
        <v>4586</v>
      </c>
      <c r="I272" s="7">
        <v>3121.6</v>
      </c>
      <c r="J272" s="7">
        <v>752986050</v>
      </c>
      <c r="K272" s="6">
        <v>99.6</v>
      </c>
      <c r="L272" s="6">
        <v>97.3</v>
      </c>
      <c r="M272" s="6">
        <v>86.1</v>
      </c>
      <c r="N272" s="6">
        <v>44.5</v>
      </c>
      <c r="O272" s="6">
        <v>7.1</v>
      </c>
      <c r="P272" s="8">
        <f t="shared" si="4"/>
        <v>160.20979787234043</v>
      </c>
      <c r="Q272" s="6"/>
      <c r="R272" s="6"/>
    </row>
    <row r="273" spans="1:18" x14ac:dyDescent="0.25">
      <c r="A273" s="6" t="s">
        <v>186</v>
      </c>
      <c r="B273" s="6">
        <f>VLOOKUP(A273,[2]Metadata_isolates!$A$1:$B$370,2,FALSE)</f>
        <v>377</v>
      </c>
      <c r="C273" s="7">
        <v>4665.3</v>
      </c>
      <c r="D273" s="6">
        <v>18</v>
      </c>
      <c r="E273" s="7">
        <v>3368</v>
      </c>
      <c r="F273" s="6">
        <v>21.2</v>
      </c>
      <c r="G273" s="7">
        <v>161903</v>
      </c>
      <c r="H273" s="7">
        <v>6360</v>
      </c>
      <c r="I273" s="7">
        <v>5540.6</v>
      </c>
      <c r="J273" s="7">
        <v>755319431</v>
      </c>
      <c r="K273" s="6">
        <v>97.8</v>
      </c>
      <c r="L273" s="6">
        <v>92.7</v>
      </c>
      <c r="M273" s="6">
        <v>65</v>
      </c>
      <c r="N273" s="6">
        <v>8.6999999999999993</v>
      </c>
      <c r="O273" s="6">
        <v>0</v>
      </c>
      <c r="P273" s="8">
        <f t="shared" si="4"/>
        <v>160.70626191489362</v>
      </c>
      <c r="Q273" s="6"/>
      <c r="R273" s="6"/>
    </row>
    <row r="274" spans="1:18" x14ac:dyDescent="0.25">
      <c r="A274" s="6" t="s">
        <v>374</v>
      </c>
      <c r="B274" s="6">
        <f>VLOOKUP(A274,[2]Metadata_isolates!$A$1:$B$370,2,FALSE)</f>
        <v>377</v>
      </c>
      <c r="C274" s="7">
        <v>3194</v>
      </c>
      <c r="D274" s="6">
        <v>16.600000000000001</v>
      </c>
      <c r="E274" s="7">
        <v>2347</v>
      </c>
      <c r="F274" s="6">
        <v>20.100000000000001</v>
      </c>
      <c r="G274" s="7">
        <v>236660</v>
      </c>
      <c r="H274" s="7">
        <v>3962</v>
      </c>
      <c r="I274" s="7">
        <v>5666.6</v>
      </c>
      <c r="J274" s="7">
        <v>755903322</v>
      </c>
      <c r="K274" s="6">
        <v>96</v>
      </c>
      <c r="L274" s="6">
        <v>89.4</v>
      </c>
      <c r="M274" s="6">
        <v>51.7</v>
      </c>
      <c r="N274" s="6">
        <v>2.2999999999999998</v>
      </c>
      <c r="O274" s="6">
        <v>0</v>
      </c>
      <c r="P274" s="8">
        <f t="shared" si="4"/>
        <v>160.8304940425532</v>
      </c>
      <c r="Q274" s="6"/>
      <c r="R274" s="6"/>
    </row>
    <row r="275" spans="1:18" x14ac:dyDescent="0.25">
      <c r="A275" s="6" t="s">
        <v>313</v>
      </c>
      <c r="B275" s="6">
        <f>VLOOKUP(A275,[2]Metadata_isolates!$A$1:$B$370,2,FALSE)</f>
        <v>377</v>
      </c>
      <c r="C275" s="7">
        <v>4216</v>
      </c>
      <c r="D275" s="6">
        <v>17.5</v>
      </c>
      <c r="E275" s="7">
        <v>3041</v>
      </c>
      <c r="F275" s="6">
        <v>21</v>
      </c>
      <c r="G275" s="7">
        <v>181222</v>
      </c>
      <c r="H275" s="7">
        <v>5676</v>
      </c>
      <c r="I275" s="7">
        <v>4868.6000000000004</v>
      </c>
      <c r="J275" s="7">
        <v>764023308</v>
      </c>
      <c r="K275" s="6">
        <v>97</v>
      </c>
      <c r="L275" s="6">
        <v>91.4</v>
      </c>
      <c r="M275" s="6">
        <v>63</v>
      </c>
      <c r="N275" s="6">
        <v>7.9</v>
      </c>
      <c r="O275" s="6">
        <v>0</v>
      </c>
      <c r="P275" s="8">
        <f t="shared" si="4"/>
        <v>162.55815063829786</v>
      </c>
      <c r="Q275" s="6"/>
      <c r="R275" s="6"/>
    </row>
    <row r="276" spans="1:18" x14ac:dyDescent="0.25">
      <c r="A276" s="6" t="s">
        <v>302</v>
      </c>
      <c r="B276" s="6">
        <f>VLOOKUP(A276,[2]Metadata_isolates!$A$1:$B$370,2,FALSE)</f>
        <v>377</v>
      </c>
      <c r="C276" s="7">
        <v>4883.2</v>
      </c>
      <c r="D276" s="6">
        <v>17.100000000000001</v>
      </c>
      <c r="E276" s="7">
        <v>3393</v>
      </c>
      <c r="F276" s="6">
        <v>21</v>
      </c>
      <c r="G276" s="7">
        <v>156682</v>
      </c>
      <c r="H276" s="7">
        <v>7093</v>
      </c>
      <c r="I276" s="7">
        <v>7191</v>
      </c>
      <c r="J276" s="7">
        <v>765102692</v>
      </c>
      <c r="K276" s="6">
        <v>96.1</v>
      </c>
      <c r="L276" s="6">
        <v>90</v>
      </c>
      <c r="M276" s="6">
        <v>61.4</v>
      </c>
      <c r="N276" s="6">
        <v>9.9</v>
      </c>
      <c r="O276" s="6">
        <v>0</v>
      </c>
      <c r="P276" s="8">
        <f t="shared" si="4"/>
        <v>162.78780680851065</v>
      </c>
      <c r="Q276" s="6"/>
      <c r="R276" s="6"/>
    </row>
    <row r="277" spans="1:18" x14ac:dyDescent="0.25">
      <c r="A277" s="6" t="s">
        <v>403</v>
      </c>
      <c r="B277" s="6">
        <f>VLOOKUP(A277,[2]Metadata_isolates!$A$1:$B$370,2,FALSE)</f>
        <v>377</v>
      </c>
      <c r="C277" s="7">
        <v>7995.3</v>
      </c>
      <c r="D277" s="6">
        <v>22.2</v>
      </c>
      <c r="E277" s="7">
        <v>5582</v>
      </c>
      <c r="F277" s="6">
        <v>25.2</v>
      </c>
      <c r="G277" s="7">
        <v>95804</v>
      </c>
      <c r="H277" s="7">
        <v>10929</v>
      </c>
      <c r="I277" s="7">
        <v>7484.4</v>
      </c>
      <c r="J277" s="7">
        <v>765986160</v>
      </c>
      <c r="K277" s="6">
        <v>99.9</v>
      </c>
      <c r="L277" s="6">
        <v>98.3</v>
      </c>
      <c r="M277" s="6">
        <v>88.4</v>
      </c>
      <c r="N277" s="6">
        <v>52.1</v>
      </c>
      <c r="O277" s="6">
        <v>8.3000000000000007</v>
      </c>
      <c r="P277" s="8">
        <f t="shared" si="4"/>
        <v>162.97577872340426</v>
      </c>
      <c r="Q277" s="6"/>
      <c r="R277" s="6"/>
    </row>
    <row r="278" spans="1:18" x14ac:dyDescent="0.25">
      <c r="A278" s="6" t="s">
        <v>249</v>
      </c>
      <c r="B278" s="6">
        <f>VLOOKUP(A278,[2]Metadata_isolates!$A$1:$B$370,2,FALSE)</f>
        <v>377</v>
      </c>
      <c r="C278" s="7">
        <v>3599.1</v>
      </c>
      <c r="D278" s="6">
        <v>21.2</v>
      </c>
      <c r="E278" s="7">
        <v>2736</v>
      </c>
      <c r="F278" s="6">
        <v>24.5</v>
      </c>
      <c r="G278" s="7">
        <v>213673</v>
      </c>
      <c r="H278" s="7">
        <v>4605</v>
      </c>
      <c r="I278" s="7">
        <v>2983.7</v>
      </c>
      <c r="J278" s="7">
        <v>769037469</v>
      </c>
      <c r="K278" s="6">
        <v>99.6</v>
      </c>
      <c r="L278" s="6">
        <v>97.4</v>
      </c>
      <c r="M278" s="6">
        <v>86.2</v>
      </c>
      <c r="N278" s="6">
        <v>44.5</v>
      </c>
      <c r="O278" s="6">
        <v>6.5</v>
      </c>
      <c r="P278" s="8">
        <f t="shared" si="4"/>
        <v>163.62499340425532</v>
      </c>
      <c r="Q278" s="6"/>
      <c r="R278" s="6"/>
    </row>
    <row r="279" spans="1:18" x14ac:dyDescent="0.25">
      <c r="A279" s="6" t="s">
        <v>467</v>
      </c>
      <c r="B279" s="6">
        <f>VLOOKUP(A279,[2]Metadata_isolates!$A$1:$B$370,2,FALSE)</f>
        <v>377</v>
      </c>
      <c r="C279" s="7">
        <v>4505.8</v>
      </c>
      <c r="D279" s="6">
        <v>21.9</v>
      </c>
      <c r="E279" s="7">
        <v>3170</v>
      </c>
      <c r="F279" s="6">
        <v>25</v>
      </c>
      <c r="G279" s="7">
        <v>170797</v>
      </c>
      <c r="H279" s="7">
        <v>6193</v>
      </c>
      <c r="I279" s="7">
        <v>4357.8</v>
      </c>
      <c r="J279" s="7">
        <v>769583729</v>
      </c>
      <c r="K279" s="6">
        <v>99.8</v>
      </c>
      <c r="L279" s="6">
        <v>98</v>
      </c>
      <c r="M279" s="6">
        <v>87.3</v>
      </c>
      <c r="N279" s="6">
        <v>50.4</v>
      </c>
      <c r="O279" s="6">
        <v>9.1</v>
      </c>
      <c r="P279" s="8">
        <f t="shared" si="4"/>
        <v>163.74121893617021</v>
      </c>
      <c r="Q279" s="6"/>
      <c r="R279" s="6"/>
    </row>
    <row r="280" spans="1:18" x14ac:dyDescent="0.25">
      <c r="A280" s="6" t="s">
        <v>406</v>
      </c>
      <c r="B280" s="6">
        <f>VLOOKUP(A280,[2]Metadata_isolates!$A$1:$B$370,2,FALSE)</f>
        <v>377</v>
      </c>
      <c r="C280" s="7">
        <v>7904.5</v>
      </c>
      <c r="D280" s="6">
        <v>22.3</v>
      </c>
      <c r="E280" s="7">
        <v>5310</v>
      </c>
      <c r="F280" s="6">
        <v>25.3</v>
      </c>
      <c r="G280" s="7">
        <v>97543</v>
      </c>
      <c r="H280" s="7">
        <v>11026</v>
      </c>
      <c r="I280" s="7">
        <v>7933.6</v>
      </c>
      <c r="J280" s="7">
        <v>771025082</v>
      </c>
      <c r="K280" s="6">
        <v>99.9</v>
      </c>
      <c r="L280" s="6">
        <v>98.5</v>
      </c>
      <c r="M280" s="6">
        <v>88.7</v>
      </c>
      <c r="N280" s="6">
        <v>52.8</v>
      </c>
      <c r="O280" s="6">
        <v>8.5</v>
      </c>
      <c r="P280" s="8">
        <f t="shared" si="4"/>
        <v>164.04788978723406</v>
      </c>
      <c r="Q280" s="6"/>
      <c r="R280" s="6"/>
    </row>
    <row r="281" spans="1:18" x14ac:dyDescent="0.25">
      <c r="A281" s="6" t="s">
        <v>453</v>
      </c>
      <c r="B281" s="6">
        <f>VLOOKUP(A281,[2]Metadata_isolates!$A$1:$B$370,2,FALSE)</f>
        <v>377</v>
      </c>
      <c r="C281" s="7">
        <v>7074.2</v>
      </c>
      <c r="D281" s="6">
        <v>22.1</v>
      </c>
      <c r="E281" s="7">
        <v>5111</v>
      </c>
      <c r="F281" s="6">
        <v>25.1</v>
      </c>
      <c r="G281" s="7">
        <v>110100</v>
      </c>
      <c r="H281" s="7">
        <v>9574</v>
      </c>
      <c r="I281" s="7">
        <v>6245.8</v>
      </c>
      <c r="J281" s="7">
        <v>778865554</v>
      </c>
      <c r="K281" s="6">
        <v>99.9</v>
      </c>
      <c r="L281" s="6">
        <v>98.3</v>
      </c>
      <c r="M281" s="6">
        <v>88.2</v>
      </c>
      <c r="N281" s="6">
        <v>51.2</v>
      </c>
      <c r="O281" s="6">
        <v>7.7</v>
      </c>
      <c r="P281" s="8">
        <f t="shared" si="4"/>
        <v>165.71607531914893</v>
      </c>
      <c r="Q281" s="6"/>
      <c r="R281" s="6"/>
    </row>
    <row r="282" spans="1:18" x14ac:dyDescent="0.25">
      <c r="A282" s="6" t="s">
        <v>468</v>
      </c>
      <c r="B282" s="6">
        <f>VLOOKUP(A282,[2]Metadata_isolates!$A$1:$B$370,2,FALSE)</f>
        <v>377</v>
      </c>
      <c r="C282" s="7">
        <v>5320.9</v>
      </c>
      <c r="D282" s="6">
        <v>21.9</v>
      </c>
      <c r="E282" s="7">
        <v>3848</v>
      </c>
      <c r="F282" s="6">
        <v>25</v>
      </c>
      <c r="G282" s="7">
        <v>147313</v>
      </c>
      <c r="H282" s="7">
        <v>7184</v>
      </c>
      <c r="I282" s="7">
        <v>4737.1000000000004</v>
      </c>
      <c r="J282" s="7">
        <v>783834980</v>
      </c>
      <c r="K282" s="6">
        <v>99.8</v>
      </c>
      <c r="L282" s="6">
        <v>98</v>
      </c>
      <c r="M282" s="6">
        <v>87.1</v>
      </c>
      <c r="N282" s="6">
        <v>49.9</v>
      </c>
      <c r="O282" s="6">
        <v>8.1999999999999993</v>
      </c>
      <c r="P282" s="8">
        <f t="shared" si="4"/>
        <v>166.77340000000001</v>
      </c>
      <c r="Q282" s="6"/>
      <c r="R282" s="6"/>
    </row>
    <row r="283" spans="1:18" x14ac:dyDescent="0.25">
      <c r="A283" s="6" t="s">
        <v>366</v>
      </c>
      <c r="B283" s="6">
        <f>VLOOKUP(A283,[2]Metadata_isolates!$A$1:$B$370,2,FALSE)</f>
        <v>377</v>
      </c>
      <c r="C283" s="7">
        <v>4079.3</v>
      </c>
      <c r="D283" s="6">
        <v>16.8</v>
      </c>
      <c r="E283" s="7">
        <v>2971</v>
      </c>
      <c r="F283" s="6">
        <v>20.7</v>
      </c>
      <c r="G283" s="7">
        <v>193705</v>
      </c>
      <c r="H283" s="7">
        <v>5419</v>
      </c>
      <c r="I283" s="7">
        <v>6994.3</v>
      </c>
      <c r="J283" s="7">
        <v>790178561</v>
      </c>
      <c r="K283" s="6">
        <v>95.8</v>
      </c>
      <c r="L283" s="6">
        <v>89.3</v>
      </c>
      <c r="M283" s="6">
        <v>59</v>
      </c>
      <c r="N283" s="6">
        <v>5.6</v>
      </c>
      <c r="O283" s="6">
        <v>0</v>
      </c>
      <c r="P283" s="8">
        <f t="shared" si="4"/>
        <v>168.12309808510639</v>
      </c>
      <c r="Q283" s="6"/>
      <c r="R283" s="6"/>
    </row>
    <row r="284" spans="1:18" x14ac:dyDescent="0.25">
      <c r="A284" s="6" t="s">
        <v>332</v>
      </c>
      <c r="B284" s="6">
        <f>VLOOKUP(A284,[2]Metadata_isolates!$A$1:$B$370,2,FALSE)</f>
        <v>377</v>
      </c>
      <c r="C284" s="7">
        <v>5048</v>
      </c>
      <c r="D284" s="6">
        <v>17.600000000000001</v>
      </c>
      <c r="E284" s="7">
        <v>3724</v>
      </c>
      <c r="F284" s="6">
        <v>21.4</v>
      </c>
      <c r="G284" s="7">
        <v>157512</v>
      </c>
      <c r="H284" s="7">
        <v>6753</v>
      </c>
      <c r="I284" s="7">
        <v>5876.9</v>
      </c>
      <c r="J284" s="7">
        <v>795120601</v>
      </c>
      <c r="K284" s="6">
        <v>96.8</v>
      </c>
      <c r="L284" s="6">
        <v>90.9</v>
      </c>
      <c r="M284" s="6">
        <v>67.099999999999994</v>
      </c>
      <c r="N284" s="6">
        <v>9.6999999999999993</v>
      </c>
      <c r="O284" s="6">
        <v>0</v>
      </c>
      <c r="P284" s="8">
        <f t="shared" si="4"/>
        <v>169.1745959574468</v>
      </c>
      <c r="Q284" s="6"/>
      <c r="R284" s="6"/>
    </row>
    <row r="285" spans="1:18" x14ac:dyDescent="0.25">
      <c r="A285" s="6" t="s">
        <v>433</v>
      </c>
      <c r="B285" s="6">
        <f>VLOOKUP(A285,[2]Metadata_isolates!$A$1:$B$370,2,FALSE)</f>
        <v>377</v>
      </c>
      <c r="C285" s="7">
        <v>4681.1000000000004</v>
      </c>
      <c r="D285" s="6">
        <v>21.3</v>
      </c>
      <c r="E285" s="7">
        <v>3374</v>
      </c>
      <c r="F285" s="6">
        <v>24.5</v>
      </c>
      <c r="G285" s="7">
        <v>171853</v>
      </c>
      <c r="H285" s="7">
        <v>6409</v>
      </c>
      <c r="I285" s="7">
        <v>4089.9</v>
      </c>
      <c r="J285" s="7">
        <v>804457580</v>
      </c>
      <c r="K285" s="6">
        <v>99.7</v>
      </c>
      <c r="L285" s="6">
        <v>97.6</v>
      </c>
      <c r="M285" s="6">
        <v>85</v>
      </c>
      <c r="N285" s="6">
        <v>44.2</v>
      </c>
      <c r="O285" s="6">
        <v>6.7</v>
      </c>
      <c r="P285" s="8">
        <f t="shared" si="4"/>
        <v>171.16118723404256</v>
      </c>
      <c r="Q285" s="6"/>
      <c r="R285" s="6"/>
    </row>
    <row r="286" spans="1:18" x14ac:dyDescent="0.25">
      <c r="A286" s="6" t="s">
        <v>446</v>
      </c>
      <c r="B286" s="6">
        <f>VLOOKUP(A286,[2]Metadata_isolates!$A$1:$B$370,2,FALSE)</f>
        <v>377</v>
      </c>
      <c r="C286" s="7">
        <v>6448.6</v>
      </c>
      <c r="D286" s="6">
        <v>22.2</v>
      </c>
      <c r="E286" s="7">
        <v>4760</v>
      </c>
      <c r="F286" s="6">
        <v>25.3</v>
      </c>
      <c r="G286" s="7">
        <v>125212</v>
      </c>
      <c r="H286" s="7">
        <v>8626</v>
      </c>
      <c r="I286" s="7">
        <v>5385.5</v>
      </c>
      <c r="J286" s="7">
        <v>807443123</v>
      </c>
      <c r="K286" s="6">
        <v>99.8</v>
      </c>
      <c r="L286" s="6">
        <v>98.2</v>
      </c>
      <c r="M286" s="6">
        <v>88.9</v>
      </c>
      <c r="N286" s="6">
        <v>53</v>
      </c>
      <c r="O286" s="6">
        <v>7.7</v>
      </c>
      <c r="P286" s="8">
        <f t="shared" si="4"/>
        <v>171.79640914893616</v>
      </c>
      <c r="Q286" s="6"/>
      <c r="R286" s="6"/>
    </row>
    <row r="287" spans="1:18" x14ac:dyDescent="0.25">
      <c r="A287" s="6" t="s">
        <v>378</v>
      </c>
      <c r="B287" s="6">
        <f>VLOOKUP(A287,[2]Metadata_isolates!$A$1:$B$370,2,FALSE)</f>
        <v>377</v>
      </c>
      <c r="C287" s="7">
        <v>3500.2</v>
      </c>
      <c r="D287" s="6">
        <v>16.7</v>
      </c>
      <c r="E287" s="7">
        <v>2526</v>
      </c>
      <c r="F287" s="6">
        <v>20.3</v>
      </c>
      <c r="G287" s="7">
        <v>231967</v>
      </c>
      <c r="H287" s="7">
        <v>4495</v>
      </c>
      <c r="I287" s="7">
        <v>5580.9</v>
      </c>
      <c r="J287" s="7">
        <v>811925833</v>
      </c>
      <c r="K287" s="6">
        <v>95.9</v>
      </c>
      <c r="L287" s="6">
        <v>89.3</v>
      </c>
      <c r="M287" s="6">
        <v>54.8</v>
      </c>
      <c r="N287" s="6">
        <v>3.3</v>
      </c>
      <c r="O287" s="6">
        <v>0</v>
      </c>
      <c r="P287" s="8">
        <f t="shared" si="4"/>
        <v>172.75017723404255</v>
      </c>
      <c r="Q287" s="6"/>
      <c r="R287" s="6"/>
    </row>
    <row r="288" spans="1:18" x14ac:dyDescent="0.25">
      <c r="A288" s="6" t="s">
        <v>321</v>
      </c>
      <c r="B288" s="6">
        <f>VLOOKUP(A288,[2]Metadata_isolates!$A$1:$B$370,2,FALSE)</f>
        <v>377</v>
      </c>
      <c r="C288" s="7">
        <v>4422</v>
      </c>
      <c r="D288" s="6">
        <v>17.399999999999999</v>
      </c>
      <c r="E288" s="7">
        <v>3133</v>
      </c>
      <c r="F288" s="6">
        <v>21.1</v>
      </c>
      <c r="G288" s="7">
        <v>183706</v>
      </c>
      <c r="H288" s="7">
        <v>6051</v>
      </c>
      <c r="I288" s="7">
        <v>6080.4</v>
      </c>
      <c r="J288" s="7">
        <v>812357030</v>
      </c>
      <c r="K288" s="6">
        <v>96.6</v>
      </c>
      <c r="L288" s="6">
        <v>90.8</v>
      </c>
      <c r="M288" s="6">
        <v>64.099999999999994</v>
      </c>
      <c r="N288" s="6">
        <v>8.5</v>
      </c>
      <c r="O288" s="6">
        <v>0</v>
      </c>
      <c r="P288" s="8">
        <f t="shared" si="4"/>
        <v>172.84192127659574</v>
      </c>
      <c r="Q288" s="6"/>
      <c r="R288" s="6"/>
    </row>
    <row r="289" spans="1:18" x14ac:dyDescent="0.25">
      <c r="A289" s="6" t="s">
        <v>240</v>
      </c>
      <c r="B289" s="6">
        <f>VLOOKUP(A289,[2]Metadata_isolates!$A$1:$B$370,2,FALSE)</f>
        <v>377</v>
      </c>
      <c r="C289" s="7">
        <v>3249.4</v>
      </c>
      <c r="D289" s="6">
        <v>21.8</v>
      </c>
      <c r="E289" s="7">
        <v>2447</v>
      </c>
      <c r="F289" s="6">
        <v>25.1</v>
      </c>
      <c r="G289" s="7">
        <v>252991</v>
      </c>
      <c r="H289" s="7">
        <v>4056</v>
      </c>
      <c r="I289" s="7">
        <v>2586.6</v>
      </c>
      <c r="J289" s="7">
        <v>822079791</v>
      </c>
      <c r="K289" s="6">
        <v>99.7</v>
      </c>
      <c r="L289" s="6">
        <v>97.9</v>
      </c>
      <c r="M289" s="6">
        <v>88.1</v>
      </c>
      <c r="N289" s="6">
        <v>51</v>
      </c>
      <c r="O289" s="6">
        <v>9.5</v>
      </c>
      <c r="P289" s="8">
        <f t="shared" si="4"/>
        <v>174.91059382978725</v>
      </c>
      <c r="Q289" s="6"/>
      <c r="R289" s="6"/>
    </row>
    <row r="290" spans="1:18" x14ac:dyDescent="0.25">
      <c r="A290" s="6" t="s">
        <v>244</v>
      </c>
      <c r="B290" s="6">
        <f>VLOOKUP(A290,[2]Metadata_isolates!$A$1:$B$370,2,FALSE)</f>
        <v>377</v>
      </c>
      <c r="C290" s="7">
        <v>5152.1000000000004</v>
      </c>
      <c r="D290" s="6">
        <v>18</v>
      </c>
      <c r="E290" s="7">
        <v>3723</v>
      </c>
      <c r="F290" s="6">
        <v>21.5</v>
      </c>
      <c r="G290" s="7">
        <v>159869</v>
      </c>
      <c r="H290" s="7">
        <v>7066</v>
      </c>
      <c r="I290" s="7">
        <v>6003.7</v>
      </c>
      <c r="J290" s="7">
        <v>823664006</v>
      </c>
      <c r="K290" s="6">
        <v>97.5</v>
      </c>
      <c r="L290" s="6">
        <v>92</v>
      </c>
      <c r="M290" s="6">
        <v>67.900000000000006</v>
      </c>
      <c r="N290" s="6">
        <v>10.5</v>
      </c>
      <c r="O290" s="6">
        <v>0</v>
      </c>
      <c r="P290" s="8">
        <f t="shared" si="4"/>
        <v>175.24766085106384</v>
      </c>
      <c r="Q290" s="6"/>
      <c r="R290" s="6"/>
    </row>
    <row r="291" spans="1:18" x14ac:dyDescent="0.25">
      <c r="A291" s="6" t="s">
        <v>329</v>
      </c>
      <c r="B291" s="6">
        <f>VLOOKUP(A291,[2]Metadata_isolates!$A$1:$B$370,2,FALSE)</f>
        <v>377</v>
      </c>
      <c r="C291" s="7">
        <v>5776.6</v>
      </c>
      <c r="D291" s="6">
        <v>17.7</v>
      </c>
      <c r="E291" s="7">
        <v>4164</v>
      </c>
      <c r="F291" s="6">
        <v>21.6</v>
      </c>
      <c r="G291" s="7">
        <v>143947</v>
      </c>
      <c r="H291" s="7">
        <v>8093</v>
      </c>
      <c r="I291" s="7">
        <v>6288.8</v>
      </c>
      <c r="J291" s="7">
        <v>831522362</v>
      </c>
      <c r="K291" s="6">
        <v>96.9</v>
      </c>
      <c r="L291" s="6">
        <v>91.1</v>
      </c>
      <c r="M291" s="6">
        <v>68.8</v>
      </c>
      <c r="N291" s="6">
        <v>12</v>
      </c>
      <c r="O291" s="6">
        <v>0</v>
      </c>
      <c r="P291" s="8">
        <f t="shared" si="4"/>
        <v>176.91965148936171</v>
      </c>
      <c r="Q291" s="6"/>
      <c r="R291" s="6"/>
    </row>
    <row r="292" spans="1:18" x14ac:dyDescent="0.25">
      <c r="A292" s="6" t="s">
        <v>198</v>
      </c>
      <c r="B292" s="6">
        <f>VLOOKUP(A292,[2]Metadata_isolates!$A$1:$B$370,2,FALSE)</f>
        <v>377</v>
      </c>
      <c r="C292" s="7">
        <v>4687.8999999999996</v>
      </c>
      <c r="D292" s="6">
        <v>17.3</v>
      </c>
      <c r="E292" s="7">
        <v>3355</v>
      </c>
      <c r="F292" s="6">
        <v>20.7</v>
      </c>
      <c r="G292" s="7">
        <v>177566</v>
      </c>
      <c r="H292" s="7">
        <v>6424</v>
      </c>
      <c r="I292" s="7">
        <v>7938</v>
      </c>
      <c r="J292" s="7">
        <v>832412288</v>
      </c>
      <c r="K292" s="6">
        <v>96.9</v>
      </c>
      <c r="L292" s="6">
        <v>90.9</v>
      </c>
      <c r="M292" s="6">
        <v>59.3</v>
      </c>
      <c r="N292" s="6">
        <v>2.8</v>
      </c>
      <c r="O292" s="6">
        <v>0</v>
      </c>
      <c r="P292" s="8">
        <f t="shared" si="4"/>
        <v>177.1089974468085</v>
      </c>
      <c r="Q292" s="6"/>
      <c r="R292" s="6"/>
    </row>
    <row r="293" spans="1:18" x14ac:dyDescent="0.25">
      <c r="A293" s="6" t="s">
        <v>296</v>
      </c>
      <c r="B293" s="6">
        <f>VLOOKUP(A293,[2]Metadata_isolates!$A$1:$B$370,2,FALSE)</f>
        <v>377</v>
      </c>
      <c r="C293" s="7">
        <v>4642.6000000000004</v>
      </c>
      <c r="D293" s="6">
        <v>17.8</v>
      </c>
      <c r="E293" s="7">
        <v>3317</v>
      </c>
      <c r="F293" s="6">
        <v>21.1</v>
      </c>
      <c r="G293" s="7">
        <v>182607</v>
      </c>
      <c r="H293" s="7">
        <v>6332</v>
      </c>
      <c r="I293" s="7">
        <v>5106.3</v>
      </c>
      <c r="J293" s="7">
        <v>847773085</v>
      </c>
      <c r="K293" s="6">
        <v>97.5</v>
      </c>
      <c r="L293" s="6">
        <v>92</v>
      </c>
      <c r="M293" s="6">
        <v>64.2</v>
      </c>
      <c r="N293" s="6">
        <v>8.5</v>
      </c>
      <c r="O293" s="6">
        <v>0</v>
      </c>
      <c r="P293" s="8">
        <f t="shared" si="4"/>
        <v>180.37725212765957</v>
      </c>
      <c r="Q293" s="6"/>
      <c r="R293" s="6"/>
    </row>
    <row r="294" spans="1:18" x14ac:dyDescent="0.25">
      <c r="A294" s="6" t="s">
        <v>435</v>
      </c>
      <c r="B294" s="6">
        <f>VLOOKUP(A294,[2]Metadata_isolates!$A$1:$B$370,2,FALSE)</f>
        <v>377</v>
      </c>
      <c r="C294" s="7">
        <v>3886.3</v>
      </c>
      <c r="D294" s="6">
        <v>21</v>
      </c>
      <c r="E294" s="7">
        <v>2743</v>
      </c>
      <c r="F294" s="6">
        <v>24.3</v>
      </c>
      <c r="G294" s="7">
        <v>218306</v>
      </c>
      <c r="H294" s="7">
        <v>5167</v>
      </c>
      <c r="I294" s="7">
        <v>3622.7</v>
      </c>
      <c r="J294" s="7">
        <v>848394930</v>
      </c>
      <c r="K294" s="6">
        <v>99.6</v>
      </c>
      <c r="L294" s="6">
        <v>97.2</v>
      </c>
      <c r="M294" s="6">
        <v>84.4</v>
      </c>
      <c r="N294" s="6">
        <v>42.2</v>
      </c>
      <c r="O294" s="6">
        <v>6</v>
      </c>
      <c r="P294" s="8">
        <f t="shared" si="4"/>
        <v>180.50955957446808</v>
      </c>
      <c r="Q294" s="6"/>
      <c r="R294" s="6"/>
    </row>
    <row r="295" spans="1:18" x14ac:dyDescent="0.25">
      <c r="A295" s="6" t="s">
        <v>147</v>
      </c>
      <c r="B295" s="6">
        <f>VLOOKUP(A295,[2]Metadata_isolates!$A$1:$B$370,2,FALSE)</f>
        <v>377</v>
      </c>
      <c r="C295" s="7">
        <v>5535</v>
      </c>
      <c r="D295" s="6">
        <v>20.9</v>
      </c>
      <c r="E295" s="7">
        <v>3897</v>
      </c>
      <c r="F295" s="6">
        <v>24</v>
      </c>
      <c r="G295" s="7">
        <v>154287</v>
      </c>
      <c r="H295" s="7">
        <v>7671</v>
      </c>
      <c r="I295" s="7">
        <v>5327.7</v>
      </c>
      <c r="J295" s="7">
        <v>853986127</v>
      </c>
      <c r="K295" s="6">
        <v>99.8</v>
      </c>
      <c r="L295" s="6">
        <v>97.2</v>
      </c>
      <c r="M295" s="6">
        <v>80.3</v>
      </c>
      <c r="N295" s="6">
        <v>40.4</v>
      </c>
      <c r="O295" s="6">
        <v>6.3</v>
      </c>
      <c r="P295" s="8">
        <f t="shared" si="4"/>
        <v>181.69917595744681</v>
      </c>
      <c r="Q295" s="6"/>
      <c r="R295" s="6"/>
    </row>
    <row r="296" spans="1:18" x14ac:dyDescent="0.25">
      <c r="A296" s="6" t="s">
        <v>278</v>
      </c>
      <c r="B296" s="6">
        <f>VLOOKUP(A296,[2]Metadata_isolates!$A$1:$B$370,2,FALSE)</f>
        <v>377</v>
      </c>
      <c r="C296" s="7">
        <v>3767.5</v>
      </c>
      <c r="D296" s="6">
        <v>21.8</v>
      </c>
      <c r="E296" s="7">
        <v>2822</v>
      </c>
      <c r="F296" s="6">
        <v>25.1</v>
      </c>
      <c r="G296" s="7">
        <v>228347</v>
      </c>
      <c r="H296" s="7">
        <v>4882</v>
      </c>
      <c r="I296" s="7">
        <v>3185.3</v>
      </c>
      <c r="J296" s="7">
        <v>860308678</v>
      </c>
      <c r="K296" s="6">
        <v>99.7</v>
      </c>
      <c r="L296" s="6">
        <v>97.8</v>
      </c>
      <c r="M296" s="6">
        <v>88.7</v>
      </c>
      <c r="N296" s="6">
        <v>51.6</v>
      </c>
      <c r="O296" s="6">
        <v>8.1</v>
      </c>
      <c r="P296" s="8">
        <f t="shared" si="4"/>
        <v>183.04439957446809</v>
      </c>
      <c r="Q296" s="6"/>
      <c r="R296" s="6"/>
    </row>
    <row r="297" spans="1:18" x14ac:dyDescent="0.25">
      <c r="A297" s="6" t="s">
        <v>460</v>
      </c>
      <c r="B297" s="6">
        <f>VLOOKUP(A297,[2]Metadata_isolates!$A$1:$B$370,2,FALSE)</f>
        <v>377</v>
      </c>
      <c r="C297" s="7">
        <v>5979.7</v>
      </c>
      <c r="D297" s="6">
        <v>21.9</v>
      </c>
      <c r="E297" s="7">
        <v>4404</v>
      </c>
      <c r="F297" s="6">
        <v>25.1</v>
      </c>
      <c r="G297" s="7">
        <v>144198</v>
      </c>
      <c r="H297" s="7">
        <v>8016</v>
      </c>
      <c r="I297" s="7">
        <v>5076.6000000000004</v>
      </c>
      <c r="J297" s="7">
        <v>862264354</v>
      </c>
      <c r="K297" s="6">
        <v>99.8</v>
      </c>
      <c r="L297" s="6">
        <v>97.9</v>
      </c>
      <c r="M297" s="6">
        <v>87.9</v>
      </c>
      <c r="N297" s="6">
        <v>50.8</v>
      </c>
      <c r="O297" s="6">
        <v>7.8</v>
      </c>
      <c r="P297" s="8">
        <f t="shared" si="4"/>
        <v>183.46050085106384</v>
      </c>
      <c r="Q297" s="6"/>
      <c r="R297" s="6"/>
    </row>
    <row r="298" spans="1:18" x14ac:dyDescent="0.25">
      <c r="A298" s="6" t="s">
        <v>234</v>
      </c>
      <c r="B298" s="6">
        <f>VLOOKUP(A298,[2]Metadata_isolates!$A$1:$B$370,2,FALSE)</f>
        <v>377</v>
      </c>
      <c r="C298" s="7">
        <v>4157.3</v>
      </c>
      <c r="D298" s="6">
        <v>21.9</v>
      </c>
      <c r="E298" s="7">
        <v>3067</v>
      </c>
      <c r="F298" s="6">
        <v>25.2</v>
      </c>
      <c r="G298" s="7">
        <v>207699</v>
      </c>
      <c r="H298" s="7">
        <v>5560</v>
      </c>
      <c r="I298" s="7">
        <v>3521</v>
      </c>
      <c r="J298" s="7">
        <v>863462924</v>
      </c>
      <c r="K298" s="6">
        <v>99.7</v>
      </c>
      <c r="L298" s="6">
        <v>97.9</v>
      </c>
      <c r="M298" s="6">
        <v>88.6</v>
      </c>
      <c r="N298" s="6">
        <v>52.5</v>
      </c>
      <c r="O298" s="6">
        <v>8.4</v>
      </c>
      <c r="P298" s="8">
        <f t="shared" si="4"/>
        <v>183.71551574468086</v>
      </c>
      <c r="Q298" s="6"/>
      <c r="R298" s="6"/>
    </row>
    <row r="299" spans="1:18" x14ac:dyDescent="0.25">
      <c r="A299" s="6" t="s">
        <v>304</v>
      </c>
      <c r="B299" s="6">
        <f>VLOOKUP(A299,[2]Metadata_isolates!$A$1:$B$370,2,FALSE)</f>
        <v>377</v>
      </c>
      <c r="C299" s="7">
        <v>5157.5</v>
      </c>
      <c r="D299" s="6">
        <v>17.8</v>
      </c>
      <c r="E299" s="7">
        <v>3686</v>
      </c>
      <c r="F299" s="6">
        <v>21.6</v>
      </c>
      <c r="G299" s="7">
        <v>167871</v>
      </c>
      <c r="H299" s="7">
        <v>7084</v>
      </c>
      <c r="I299" s="7">
        <v>7077.6</v>
      </c>
      <c r="J299" s="7">
        <v>865787519</v>
      </c>
      <c r="K299" s="6">
        <v>97.1</v>
      </c>
      <c r="L299" s="6">
        <v>91.3</v>
      </c>
      <c r="M299" s="6">
        <v>68.5</v>
      </c>
      <c r="N299" s="6">
        <v>11.1</v>
      </c>
      <c r="O299" s="6">
        <v>0</v>
      </c>
      <c r="P299" s="8">
        <f t="shared" si="4"/>
        <v>184.21011042553192</v>
      </c>
      <c r="Q299" s="6"/>
      <c r="R299" s="6"/>
    </row>
    <row r="300" spans="1:18" x14ac:dyDescent="0.25">
      <c r="A300" s="6" t="s">
        <v>295</v>
      </c>
      <c r="B300" s="6">
        <f>VLOOKUP(A300,[2]Metadata_isolates!$A$1:$B$370,2,FALSE)</f>
        <v>377</v>
      </c>
      <c r="C300" s="7">
        <v>5844.8</v>
      </c>
      <c r="D300" s="6">
        <v>17.899999999999999</v>
      </c>
      <c r="E300" s="7">
        <v>4263</v>
      </c>
      <c r="F300" s="6">
        <v>21.8</v>
      </c>
      <c r="G300" s="7">
        <v>148204</v>
      </c>
      <c r="H300" s="7">
        <v>8042</v>
      </c>
      <c r="I300" s="7">
        <v>7198.7</v>
      </c>
      <c r="J300" s="7">
        <v>866223154</v>
      </c>
      <c r="K300" s="6">
        <v>97.2</v>
      </c>
      <c r="L300" s="6">
        <v>91.6</v>
      </c>
      <c r="M300" s="6">
        <v>70.599999999999994</v>
      </c>
      <c r="N300" s="6">
        <v>12.7</v>
      </c>
      <c r="O300" s="6">
        <v>0</v>
      </c>
      <c r="P300" s="8">
        <f t="shared" si="4"/>
        <v>184.30279872340427</v>
      </c>
      <c r="Q300" s="6"/>
      <c r="R300" s="6"/>
    </row>
    <row r="301" spans="1:18" x14ac:dyDescent="0.25">
      <c r="A301" s="6" t="s">
        <v>310</v>
      </c>
      <c r="B301" s="6">
        <f>VLOOKUP(A301,[2]Metadata_isolates!$A$1:$B$370,2,FALSE)</f>
        <v>377</v>
      </c>
      <c r="C301" s="7">
        <v>5116.8</v>
      </c>
      <c r="D301" s="6">
        <v>17.7</v>
      </c>
      <c r="E301" s="7">
        <v>3736</v>
      </c>
      <c r="F301" s="6">
        <v>21.4</v>
      </c>
      <c r="G301" s="7">
        <v>171889</v>
      </c>
      <c r="H301" s="7">
        <v>6955</v>
      </c>
      <c r="I301" s="7">
        <v>6423.4</v>
      </c>
      <c r="J301" s="7">
        <v>879529798</v>
      </c>
      <c r="K301" s="6">
        <v>97</v>
      </c>
      <c r="L301" s="6">
        <v>91.2</v>
      </c>
      <c r="M301" s="6">
        <v>66.8</v>
      </c>
      <c r="N301" s="6">
        <v>10.199999999999999</v>
      </c>
      <c r="O301" s="6">
        <v>0</v>
      </c>
      <c r="P301" s="8">
        <f t="shared" si="4"/>
        <v>187.13399957446808</v>
      </c>
      <c r="Q301" s="6"/>
      <c r="R301" s="6"/>
    </row>
    <row r="302" spans="1:18" x14ac:dyDescent="0.25">
      <c r="A302" s="6" t="s">
        <v>146</v>
      </c>
      <c r="B302" s="6">
        <f>VLOOKUP(A302,[2]Metadata_isolates!$A$1:$B$370,2,FALSE)</f>
        <v>377</v>
      </c>
      <c r="C302" s="7">
        <v>4404.8</v>
      </c>
      <c r="D302" s="6">
        <v>20.399999999999999</v>
      </c>
      <c r="E302" s="7">
        <v>3113</v>
      </c>
      <c r="F302" s="6">
        <v>23.6</v>
      </c>
      <c r="G302" s="7">
        <v>202528</v>
      </c>
      <c r="H302" s="7">
        <v>6030</v>
      </c>
      <c r="I302" s="7">
        <v>4429.2</v>
      </c>
      <c r="J302" s="7">
        <v>892088778</v>
      </c>
      <c r="K302" s="6">
        <v>99.7</v>
      </c>
      <c r="L302" s="6">
        <v>96.6</v>
      </c>
      <c r="M302" s="6">
        <v>78.8</v>
      </c>
      <c r="N302" s="6">
        <v>35.9</v>
      </c>
      <c r="O302" s="6">
        <v>4.8</v>
      </c>
      <c r="P302" s="8">
        <f t="shared" si="4"/>
        <v>189.80612297872341</v>
      </c>
      <c r="Q302" s="6"/>
      <c r="R302" s="6"/>
    </row>
    <row r="303" spans="1:18" x14ac:dyDescent="0.25">
      <c r="A303" s="6" t="s">
        <v>145</v>
      </c>
      <c r="B303" s="6">
        <f>VLOOKUP(A303,[2]Metadata_isolates!$A$1:$B$370,2,FALSE)</f>
        <v>1499</v>
      </c>
      <c r="C303" s="7">
        <v>5498.8</v>
      </c>
      <c r="D303" s="6">
        <v>21.1</v>
      </c>
      <c r="E303" s="7">
        <v>3760</v>
      </c>
      <c r="F303" s="6">
        <v>24.4</v>
      </c>
      <c r="G303" s="7">
        <v>162830</v>
      </c>
      <c r="H303" s="7">
        <v>7928</v>
      </c>
      <c r="I303" s="7">
        <v>5596.2</v>
      </c>
      <c r="J303" s="7">
        <v>895366075</v>
      </c>
      <c r="K303" s="6">
        <v>99.8</v>
      </c>
      <c r="L303" s="6">
        <v>97.2</v>
      </c>
      <c r="M303" s="6">
        <v>82.1</v>
      </c>
      <c r="N303" s="6">
        <v>44</v>
      </c>
      <c r="O303" s="6">
        <v>6.9</v>
      </c>
      <c r="P303" s="8">
        <f t="shared" si="4"/>
        <v>190.50342021276595</v>
      </c>
      <c r="Q303" s="6"/>
      <c r="R303" s="6"/>
    </row>
    <row r="304" spans="1:18" x14ac:dyDescent="0.25">
      <c r="A304" s="6" t="s">
        <v>437</v>
      </c>
      <c r="B304" s="6">
        <f>VLOOKUP(A304,[2]Metadata_isolates!$A$1:$B$370,2,FALSE)</f>
        <v>377</v>
      </c>
      <c r="C304" s="7">
        <v>3840.1</v>
      </c>
      <c r="D304" s="6">
        <v>20.9</v>
      </c>
      <c r="E304" s="7">
        <v>2847</v>
      </c>
      <c r="F304" s="6">
        <v>24.4</v>
      </c>
      <c r="G304" s="7">
        <v>233642</v>
      </c>
      <c r="H304" s="7">
        <v>5070</v>
      </c>
      <c r="I304" s="7">
        <v>3155.8</v>
      </c>
      <c r="J304" s="7">
        <v>897214811</v>
      </c>
      <c r="K304" s="6">
        <v>99.5</v>
      </c>
      <c r="L304" s="6">
        <v>96.9</v>
      </c>
      <c r="M304" s="6">
        <v>84.8</v>
      </c>
      <c r="N304" s="6">
        <v>43.3</v>
      </c>
      <c r="O304" s="6">
        <v>6.9</v>
      </c>
      <c r="P304" s="8">
        <f t="shared" si="4"/>
        <v>190.89676829787234</v>
      </c>
      <c r="Q304" s="6"/>
      <c r="R304" s="6"/>
    </row>
    <row r="305" spans="1:18" x14ac:dyDescent="0.25">
      <c r="A305" s="6" t="s">
        <v>178</v>
      </c>
      <c r="B305" s="6">
        <f>VLOOKUP(A305,[2]Metadata_isolates!$A$1:$B$370,2,FALSE)</f>
        <v>377</v>
      </c>
      <c r="C305" s="7">
        <v>4768.7</v>
      </c>
      <c r="D305" s="6">
        <v>17.399999999999999</v>
      </c>
      <c r="E305" s="7">
        <v>3267</v>
      </c>
      <c r="F305" s="6">
        <v>21.2</v>
      </c>
      <c r="G305" s="7">
        <v>189861</v>
      </c>
      <c r="H305" s="7">
        <v>6774</v>
      </c>
      <c r="I305" s="7">
        <v>5740</v>
      </c>
      <c r="J305" s="7">
        <v>905383252</v>
      </c>
      <c r="K305" s="6">
        <v>96.6</v>
      </c>
      <c r="L305" s="6">
        <v>91</v>
      </c>
      <c r="M305" s="6">
        <v>64.5</v>
      </c>
      <c r="N305" s="6">
        <v>9.6999999999999993</v>
      </c>
      <c r="O305" s="6">
        <v>0</v>
      </c>
      <c r="P305" s="8">
        <f t="shared" si="4"/>
        <v>192.6347344680851</v>
      </c>
      <c r="Q305" s="6"/>
      <c r="R305" s="6"/>
    </row>
    <row r="306" spans="1:18" x14ac:dyDescent="0.25">
      <c r="A306" s="6" t="s">
        <v>318</v>
      </c>
      <c r="B306" s="6">
        <f>VLOOKUP(A306,[2]Metadata_isolates!$A$1:$B$370,2,FALSE)</f>
        <v>377</v>
      </c>
      <c r="C306" s="7">
        <v>4926.6000000000004</v>
      </c>
      <c r="D306" s="6">
        <v>17.5</v>
      </c>
      <c r="E306" s="7">
        <v>3606</v>
      </c>
      <c r="F306" s="6">
        <v>21.3</v>
      </c>
      <c r="G306" s="7">
        <v>184357</v>
      </c>
      <c r="H306" s="7">
        <v>6770</v>
      </c>
      <c r="I306" s="7">
        <v>5525.6</v>
      </c>
      <c r="J306" s="7">
        <v>908261075</v>
      </c>
      <c r="K306" s="6">
        <v>96.7</v>
      </c>
      <c r="L306" s="6">
        <v>90.7</v>
      </c>
      <c r="M306" s="6">
        <v>64.900000000000006</v>
      </c>
      <c r="N306" s="6">
        <v>9.5</v>
      </c>
      <c r="O306" s="6">
        <v>0</v>
      </c>
      <c r="P306" s="8">
        <f t="shared" si="4"/>
        <v>193.24703723404255</v>
      </c>
      <c r="Q306" s="6"/>
      <c r="R306" s="6"/>
    </row>
    <row r="307" spans="1:18" x14ac:dyDescent="0.25">
      <c r="A307" s="6" t="s">
        <v>420</v>
      </c>
      <c r="B307" s="6">
        <f>VLOOKUP(A307,[2]Metadata_isolates!$A$1:$B$370,2,FALSE)</f>
        <v>377</v>
      </c>
      <c r="C307" s="7">
        <v>5392.6</v>
      </c>
      <c r="D307" s="6">
        <v>21.6</v>
      </c>
      <c r="E307" s="7">
        <v>3971</v>
      </c>
      <c r="F307" s="6">
        <v>24.6</v>
      </c>
      <c r="G307" s="7">
        <v>168978</v>
      </c>
      <c r="H307" s="7">
        <v>7250</v>
      </c>
      <c r="I307" s="7">
        <v>4524.1000000000004</v>
      </c>
      <c r="J307" s="7">
        <v>911230599</v>
      </c>
      <c r="K307" s="6">
        <v>99.8</v>
      </c>
      <c r="L307" s="6">
        <v>97.9</v>
      </c>
      <c r="M307" s="6">
        <v>86.1</v>
      </c>
      <c r="N307" s="6">
        <v>46.1</v>
      </c>
      <c r="O307" s="6">
        <v>6.7</v>
      </c>
      <c r="P307" s="8">
        <f t="shared" si="4"/>
        <v>193.87885085106382</v>
      </c>
      <c r="Q307" s="6"/>
      <c r="R307" s="6"/>
    </row>
    <row r="308" spans="1:18" x14ac:dyDescent="0.25">
      <c r="A308" s="6" t="s">
        <v>424</v>
      </c>
      <c r="B308" s="6">
        <f>VLOOKUP(A308,[2]Metadata_isolates!$A$1:$B$370,2,FALSE)</f>
        <v>377</v>
      </c>
      <c r="C308" s="7">
        <v>3436.1</v>
      </c>
      <c r="D308" s="6">
        <v>20.8</v>
      </c>
      <c r="E308" s="7">
        <v>2569</v>
      </c>
      <c r="F308" s="6">
        <v>24.2</v>
      </c>
      <c r="G308" s="7">
        <v>266842</v>
      </c>
      <c r="H308" s="7">
        <v>4403</v>
      </c>
      <c r="I308" s="7">
        <v>3040.7</v>
      </c>
      <c r="J308" s="7">
        <v>916887454</v>
      </c>
      <c r="K308" s="6">
        <v>99.5</v>
      </c>
      <c r="L308" s="6">
        <v>96.8</v>
      </c>
      <c r="M308" s="6">
        <v>84.2</v>
      </c>
      <c r="N308" s="6">
        <v>41.5</v>
      </c>
      <c r="O308" s="6">
        <v>6.7</v>
      </c>
      <c r="P308" s="8">
        <f t="shared" si="4"/>
        <v>195.0824370212766</v>
      </c>
      <c r="Q308" s="6"/>
      <c r="R308" s="6"/>
    </row>
    <row r="309" spans="1:18" x14ac:dyDescent="0.25">
      <c r="A309" s="6" t="s">
        <v>385</v>
      </c>
      <c r="B309" s="6">
        <f>VLOOKUP(A309,[2]Metadata_isolates!$A$1:$B$370,2,FALSE)</f>
        <v>377</v>
      </c>
      <c r="C309" s="7">
        <v>3583.9</v>
      </c>
      <c r="D309" s="6">
        <v>21.2</v>
      </c>
      <c r="E309" s="7">
        <v>2686</v>
      </c>
      <c r="F309" s="6">
        <v>24.5</v>
      </c>
      <c r="G309" s="7">
        <v>256661</v>
      </c>
      <c r="H309" s="7">
        <v>4607</v>
      </c>
      <c r="I309" s="7">
        <v>2904.7</v>
      </c>
      <c r="J309" s="7">
        <v>919847894</v>
      </c>
      <c r="K309" s="6">
        <v>99.6</v>
      </c>
      <c r="L309" s="6">
        <v>97.2</v>
      </c>
      <c r="M309" s="6">
        <v>85.3</v>
      </c>
      <c r="N309" s="6">
        <v>44.6</v>
      </c>
      <c r="O309" s="6">
        <v>7.7</v>
      </c>
      <c r="P309" s="8">
        <f t="shared" si="4"/>
        <v>195.71231787234044</v>
      </c>
      <c r="Q309" s="6"/>
      <c r="R309" s="6"/>
    </row>
    <row r="310" spans="1:18" x14ac:dyDescent="0.25">
      <c r="A310" s="6" t="s">
        <v>194</v>
      </c>
      <c r="B310" s="6">
        <f>VLOOKUP(A310,[2]Metadata_isolates!$A$1:$B$370,2,FALSE)</f>
        <v>377</v>
      </c>
      <c r="C310" s="7">
        <v>3707.2</v>
      </c>
      <c r="D310" s="6">
        <v>21.8</v>
      </c>
      <c r="E310" s="7">
        <v>2742</v>
      </c>
      <c r="F310" s="6">
        <v>25.2</v>
      </c>
      <c r="G310" s="7">
        <v>251340</v>
      </c>
      <c r="H310" s="7">
        <v>4818</v>
      </c>
      <c r="I310" s="7">
        <v>3369.5</v>
      </c>
      <c r="J310" s="7">
        <v>931774172</v>
      </c>
      <c r="K310" s="6">
        <v>99.7</v>
      </c>
      <c r="L310" s="6">
        <v>97.9</v>
      </c>
      <c r="M310" s="6">
        <v>87.4</v>
      </c>
      <c r="N310" s="6">
        <v>52.1</v>
      </c>
      <c r="O310" s="6">
        <v>9.8000000000000007</v>
      </c>
      <c r="P310" s="8">
        <f t="shared" si="4"/>
        <v>198.24982382978723</v>
      </c>
      <c r="Q310" s="6"/>
      <c r="R310" s="6"/>
    </row>
    <row r="311" spans="1:18" x14ac:dyDescent="0.25">
      <c r="A311" s="6" t="s">
        <v>297</v>
      </c>
      <c r="B311" s="6">
        <f>VLOOKUP(A311,[2]Metadata_isolates!$A$1:$B$370,2,FALSE)</f>
        <v>377</v>
      </c>
      <c r="C311" s="7">
        <v>5755.1</v>
      </c>
      <c r="D311" s="6">
        <v>18</v>
      </c>
      <c r="E311" s="7">
        <v>4194</v>
      </c>
      <c r="F311" s="6">
        <v>21.7</v>
      </c>
      <c r="G311" s="7">
        <v>163315</v>
      </c>
      <c r="H311" s="7">
        <v>7834</v>
      </c>
      <c r="I311" s="7">
        <v>7879.3</v>
      </c>
      <c r="J311" s="7">
        <v>939893343</v>
      </c>
      <c r="K311" s="6">
        <v>97.3</v>
      </c>
      <c r="L311" s="6">
        <v>91.9</v>
      </c>
      <c r="M311" s="6">
        <v>70.599999999999994</v>
      </c>
      <c r="N311" s="6">
        <v>12.1</v>
      </c>
      <c r="O311" s="6">
        <v>0</v>
      </c>
      <c r="P311" s="8">
        <f t="shared" si="4"/>
        <v>199.9773070212766</v>
      </c>
      <c r="Q311" s="6"/>
      <c r="R311" s="6"/>
    </row>
    <row r="312" spans="1:18" x14ac:dyDescent="0.25">
      <c r="A312" s="6" t="s">
        <v>325</v>
      </c>
      <c r="B312" s="6">
        <f>VLOOKUP(A312,[2]Metadata_isolates!$A$1:$B$370,2,FALSE)</f>
        <v>377</v>
      </c>
      <c r="C312" s="7">
        <v>5283.6</v>
      </c>
      <c r="D312" s="6">
        <v>18</v>
      </c>
      <c r="E312" s="7">
        <v>3867</v>
      </c>
      <c r="F312" s="6">
        <v>21.6</v>
      </c>
      <c r="G312" s="7">
        <v>178861</v>
      </c>
      <c r="H312" s="7">
        <v>7225</v>
      </c>
      <c r="I312" s="7">
        <v>5255.8</v>
      </c>
      <c r="J312" s="7">
        <v>945025248</v>
      </c>
      <c r="K312" s="6">
        <v>97.5</v>
      </c>
      <c r="L312" s="6">
        <v>92.1</v>
      </c>
      <c r="M312" s="6">
        <v>69.2</v>
      </c>
      <c r="N312" s="6">
        <v>11.1</v>
      </c>
      <c r="O312" s="6">
        <v>0</v>
      </c>
      <c r="P312" s="8">
        <f t="shared" si="4"/>
        <v>201.06920170212766</v>
      </c>
      <c r="Q312" s="6"/>
      <c r="R312" s="6"/>
    </row>
    <row r="313" spans="1:18" x14ac:dyDescent="0.25">
      <c r="A313" s="6" t="s">
        <v>290</v>
      </c>
      <c r="B313" s="6">
        <f>VLOOKUP(A313,[2]Metadata_isolates!$A$1:$B$370,2,FALSE)</f>
        <v>377</v>
      </c>
      <c r="C313" s="7">
        <v>3827.8</v>
      </c>
      <c r="D313" s="6">
        <v>17.7</v>
      </c>
      <c r="E313" s="7">
        <v>2764</v>
      </c>
      <c r="F313" s="6">
        <v>20.7</v>
      </c>
      <c r="G313" s="7">
        <v>247281</v>
      </c>
      <c r="H313" s="7">
        <v>5019</v>
      </c>
      <c r="I313" s="7">
        <v>5656.5</v>
      </c>
      <c r="J313" s="7">
        <v>946537720</v>
      </c>
      <c r="K313" s="6">
        <v>97.8</v>
      </c>
      <c r="L313" s="6">
        <v>92.7</v>
      </c>
      <c r="M313" s="6">
        <v>59.1</v>
      </c>
      <c r="N313" s="6">
        <v>5.2</v>
      </c>
      <c r="O313" s="6">
        <v>0</v>
      </c>
      <c r="P313" s="8">
        <f t="shared" si="4"/>
        <v>201.39100425531916</v>
      </c>
      <c r="Q313" s="6"/>
      <c r="R313" s="6"/>
    </row>
    <row r="314" spans="1:18" x14ac:dyDescent="0.25">
      <c r="A314" s="6" t="s">
        <v>336</v>
      </c>
      <c r="B314" s="6">
        <f>VLOOKUP(A314,[2]Metadata_isolates!$A$1:$B$370,2,FALSE)</f>
        <v>377</v>
      </c>
      <c r="C314" s="7">
        <v>3892.8</v>
      </c>
      <c r="D314" s="6">
        <v>17.100000000000001</v>
      </c>
      <c r="E314" s="7">
        <v>2708</v>
      </c>
      <c r="F314" s="6">
        <v>20.6</v>
      </c>
      <c r="G314" s="7">
        <v>243773</v>
      </c>
      <c r="H314" s="7">
        <v>5180</v>
      </c>
      <c r="I314" s="7">
        <v>5356.4</v>
      </c>
      <c r="J314" s="7">
        <v>948950708</v>
      </c>
      <c r="K314" s="6">
        <v>96.2</v>
      </c>
      <c r="L314" s="6">
        <v>90.3</v>
      </c>
      <c r="M314" s="6">
        <v>58.5</v>
      </c>
      <c r="N314" s="6">
        <v>5.8</v>
      </c>
      <c r="O314" s="6">
        <v>0</v>
      </c>
      <c r="P314" s="8">
        <f t="shared" si="4"/>
        <v>201.90440595744681</v>
      </c>
      <c r="Q314" s="6"/>
      <c r="R314" s="6"/>
    </row>
    <row r="315" spans="1:18" x14ac:dyDescent="0.25">
      <c r="A315" s="6" t="s">
        <v>425</v>
      </c>
      <c r="B315" s="6">
        <f>VLOOKUP(A315,[2]Metadata_isolates!$A$1:$B$370,2,FALSE)</f>
        <v>377</v>
      </c>
      <c r="C315" s="7">
        <v>4843.3999999999996</v>
      </c>
      <c r="D315" s="6">
        <v>21.8</v>
      </c>
      <c r="E315" s="7">
        <v>3511</v>
      </c>
      <c r="F315" s="6">
        <v>25</v>
      </c>
      <c r="G315" s="7">
        <v>196474</v>
      </c>
      <c r="H315" s="7">
        <v>6544</v>
      </c>
      <c r="I315" s="7">
        <v>4385.8999999999996</v>
      </c>
      <c r="J315" s="7">
        <v>951605836</v>
      </c>
      <c r="K315" s="6">
        <v>99.8</v>
      </c>
      <c r="L315" s="6">
        <v>98</v>
      </c>
      <c r="M315" s="6">
        <v>86.5</v>
      </c>
      <c r="N315" s="6">
        <v>49.5</v>
      </c>
      <c r="O315" s="6">
        <v>8.6999999999999993</v>
      </c>
      <c r="P315" s="8">
        <f t="shared" si="4"/>
        <v>202.46932680851063</v>
      </c>
      <c r="Q315" s="6"/>
      <c r="R315" s="6"/>
    </row>
    <row r="316" spans="1:18" x14ac:dyDescent="0.25">
      <c r="A316" s="6" t="s">
        <v>472</v>
      </c>
      <c r="B316" s="6">
        <f>VLOOKUP(A316,[2]Metadata_isolates!$A$1:$B$370,2,FALSE)</f>
        <v>377</v>
      </c>
      <c r="C316" s="7">
        <v>4604.7</v>
      </c>
      <c r="D316" s="6">
        <v>21.8</v>
      </c>
      <c r="E316" s="7">
        <v>3338</v>
      </c>
      <c r="F316" s="6">
        <v>25.1</v>
      </c>
      <c r="G316" s="7">
        <v>207558</v>
      </c>
      <c r="H316" s="7">
        <v>6236</v>
      </c>
      <c r="I316" s="7">
        <v>4026</v>
      </c>
      <c r="J316" s="7">
        <v>955750566</v>
      </c>
      <c r="K316" s="6">
        <v>99.8</v>
      </c>
      <c r="L316" s="6">
        <v>97.8</v>
      </c>
      <c r="M316" s="6">
        <v>87.2</v>
      </c>
      <c r="N316" s="6">
        <v>50.9</v>
      </c>
      <c r="O316" s="6">
        <v>9.3000000000000007</v>
      </c>
      <c r="P316" s="8">
        <f t="shared" si="4"/>
        <v>203.35118425531914</v>
      </c>
      <c r="Q316" s="6"/>
      <c r="R316" s="6"/>
    </row>
    <row r="317" spans="1:18" x14ac:dyDescent="0.25">
      <c r="A317" s="6" t="s">
        <v>357</v>
      </c>
      <c r="B317" s="6">
        <f>VLOOKUP(A317,[2]Metadata_isolates!$A$1:$B$370,2,FALSE)</f>
        <v>377</v>
      </c>
      <c r="C317" s="7">
        <v>3782.3</v>
      </c>
      <c r="D317" s="6">
        <v>17.100000000000001</v>
      </c>
      <c r="E317" s="7">
        <v>2741</v>
      </c>
      <c r="F317" s="6">
        <v>20.6</v>
      </c>
      <c r="G317" s="7">
        <v>252714</v>
      </c>
      <c r="H317" s="7">
        <v>4945</v>
      </c>
      <c r="I317" s="7">
        <v>5290.2</v>
      </c>
      <c r="J317" s="7">
        <v>955831910</v>
      </c>
      <c r="K317" s="6">
        <v>96.4</v>
      </c>
      <c r="L317" s="6">
        <v>90.3</v>
      </c>
      <c r="M317" s="6">
        <v>58.4</v>
      </c>
      <c r="N317" s="6">
        <v>5.0999999999999996</v>
      </c>
      <c r="O317" s="6">
        <v>0</v>
      </c>
      <c r="P317" s="8">
        <f t="shared" si="4"/>
        <v>203.3684914893617</v>
      </c>
      <c r="Q317" s="6"/>
      <c r="R317" s="6"/>
    </row>
    <row r="318" spans="1:18" x14ac:dyDescent="0.25">
      <c r="A318" s="6" t="s">
        <v>404</v>
      </c>
      <c r="B318" s="6">
        <f>VLOOKUP(A318,[2]Metadata_isolates!$A$1:$B$370,2,FALSE)</f>
        <v>377</v>
      </c>
      <c r="C318" s="7">
        <v>8197.7000000000007</v>
      </c>
      <c r="D318" s="6">
        <v>22.5</v>
      </c>
      <c r="E318" s="7">
        <v>5778</v>
      </c>
      <c r="F318" s="6">
        <v>25.5</v>
      </c>
      <c r="G318" s="7">
        <v>117153</v>
      </c>
      <c r="H318" s="7">
        <v>11244</v>
      </c>
      <c r="I318" s="7">
        <v>7442.6</v>
      </c>
      <c r="J318" s="7">
        <v>960386136</v>
      </c>
      <c r="K318" s="6">
        <v>99.9</v>
      </c>
      <c r="L318" s="6">
        <v>98.5</v>
      </c>
      <c r="M318" s="6">
        <v>90</v>
      </c>
      <c r="N318" s="6">
        <v>55.4</v>
      </c>
      <c r="O318" s="6">
        <v>8.6</v>
      </c>
      <c r="P318" s="8">
        <f t="shared" si="4"/>
        <v>204.33747574468086</v>
      </c>
      <c r="Q318" s="6"/>
      <c r="R318" s="6"/>
    </row>
    <row r="319" spans="1:18" x14ac:dyDescent="0.25">
      <c r="A319" s="6" t="s">
        <v>410</v>
      </c>
      <c r="B319" s="6">
        <f>VLOOKUP(A319,[2]Metadata_isolates!$A$1:$B$370,2,FALSE)</f>
        <v>377</v>
      </c>
      <c r="C319" s="7">
        <v>4286.7</v>
      </c>
      <c r="D319" s="6">
        <v>21.8</v>
      </c>
      <c r="E319" s="7">
        <v>3091</v>
      </c>
      <c r="F319" s="6">
        <v>24.9</v>
      </c>
      <c r="G319" s="7">
        <v>227717</v>
      </c>
      <c r="H319" s="7">
        <v>5758</v>
      </c>
      <c r="I319" s="7">
        <v>3785.5</v>
      </c>
      <c r="J319" s="7">
        <v>976145118</v>
      </c>
      <c r="K319" s="6">
        <v>99.8</v>
      </c>
      <c r="L319" s="6">
        <v>98.1</v>
      </c>
      <c r="M319" s="6">
        <v>86.6</v>
      </c>
      <c r="N319" s="6">
        <v>49.3</v>
      </c>
      <c r="O319" s="6">
        <v>8.9</v>
      </c>
      <c r="P319" s="8">
        <f t="shared" si="4"/>
        <v>207.69045063829788</v>
      </c>
      <c r="Q319" s="6"/>
      <c r="R319" s="6"/>
    </row>
    <row r="320" spans="1:18" x14ac:dyDescent="0.25">
      <c r="A320" s="6" t="s">
        <v>475</v>
      </c>
      <c r="B320" s="6">
        <f>VLOOKUP(A320,[2]Metadata_isolates!$A$1:$B$370,2,FALSE)</f>
        <v>377</v>
      </c>
      <c r="C320" s="7">
        <v>6138.9</v>
      </c>
      <c r="D320" s="6">
        <v>22</v>
      </c>
      <c r="E320" s="7">
        <v>4474</v>
      </c>
      <c r="F320" s="6">
        <v>25</v>
      </c>
      <c r="G320" s="7">
        <v>159853</v>
      </c>
      <c r="H320" s="7">
        <v>8407</v>
      </c>
      <c r="I320" s="7">
        <v>5435.5</v>
      </c>
      <c r="J320" s="7">
        <v>981319370</v>
      </c>
      <c r="K320" s="6">
        <v>99.9</v>
      </c>
      <c r="L320" s="6">
        <v>98.2</v>
      </c>
      <c r="M320" s="6">
        <v>87.5</v>
      </c>
      <c r="N320" s="6">
        <v>50</v>
      </c>
      <c r="O320" s="6">
        <v>7.6</v>
      </c>
      <c r="P320" s="8">
        <f t="shared" si="4"/>
        <v>208.79135531914895</v>
      </c>
      <c r="Q320" s="6"/>
      <c r="R320" s="6"/>
    </row>
    <row r="321" spans="1:18" x14ac:dyDescent="0.25">
      <c r="A321" s="6" t="s">
        <v>254</v>
      </c>
      <c r="B321" s="6">
        <f>VLOOKUP(A321,[2]Metadata_isolates!$A$1:$B$370,2,FALSE)</f>
        <v>377</v>
      </c>
      <c r="C321" s="7">
        <v>3981.5</v>
      </c>
      <c r="D321" s="6">
        <v>21.7</v>
      </c>
      <c r="E321" s="7">
        <v>2966</v>
      </c>
      <c r="F321" s="6">
        <v>25</v>
      </c>
      <c r="G321" s="7">
        <v>250264</v>
      </c>
      <c r="H321" s="7">
        <v>5242</v>
      </c>
      <c r="I321" s="7">
        <v>3353.7</v>
      </c>
      <c r="J321" s="7">
        <v>996417572</v>
      </c>
      <c r="K321" s="6">
        <v>99.7</v>
      </c>
      <c r="L321" s="6">
        <v>97.7</v>
      </c>
      <c r="M321" s="6">
        <v>87.9</v>
      </c>
      <c r="N321" s="6">
        <v>50.4</v>
      </c>
      <c r="O321" s="6">
        <v>8</v>
      </c>
      <c r="P321" s="8">
        <f t="shared" ref="P321:P370" si="5">J321/4700000</f>
        <v>212.00373872340427</v>
      </c>
      <c r="Q321" s="6"/>
      <c r="R321" s="6"/>
    </row>
    <row r="322" spans="1:18" x14ac:dyDescent="0.25">
      <c r="A322" s="6" t="s">
        <v>139</v>
      </c>
      <c r="B322" s="6">
        <f>VLOOKUP(A322,[2]Metadata_isolates!$A$1:$B$370,2,FALSE)</f>
        <v>377</v>
      </c>
      <c r="C322" s="7">
        <v>7695.8</v>
      </c>
      <c r="D322" s="6">
        <v>20.3</v>
      </c>
      <c r="E322" s="7">
        <v>5644</v>
      </c>
      <c r="F322" s="6">
        <v>23.2</v>
      </c>
      <c r="G322" s="7">
        <v>130715</v>
      </c>
      <c r="H322" s="7">
        <v>10396</v>
      </c>
      <c r="I322" s="7">
        <v>6374.2</v>
      </c>
      <c r="J322" s="7">
        <v>1005962937</v>
      </c>
      <c r="K322" s="6">
        <v>99.9</v>
      </c>
      <c r="L322" s="6">
        <v>96</v>
      </c>
      <c r="M322" s="6">
        <v>78.400000000000006</v>
      </c>
      <c r="N322" s="6">
        <v>27.9</v>
      </c>
      <c r="O322" s="6">
        <v>1.4</v>
      </c>
      <c r="P322" s="8">
        <f t="shared" si="5"/>
        <v>214.0346674468085</v>
      </c>
      <c r="Q322" s="6"/>
      <c r="R322" s="6"/>
    </row>
    <row r="323" spans="1:18" x14ac:dyDescent="0.25">
      <c r="A323" s="6" t="s">
        <v>345</v>
      </c>
      <c r="B323" s="6">
        <f>VLOOKUP(A323,[2]Metadata_isolates!$A$1:$B$370,2,FALSE)</f>
        <v>377</v>
      </c>
      <c r="C323" s="7">
        <v>4460.8</v>
      </c>
      <c r="D323" s="6">
        <v>17.100000000000001</v>
      </c>
      <c r="E323" s="7">
        <v>3248</v>
      </c>
      <c r="F323" s="6">
        <v>21</v>
      </c>
      <c r="G323" s="7">
        <v>226159</v>
      </c>
      <c r="H323" s="7">
        <v>6052</v>
      </c>
      <c r="I323" s="7">
        <v>5751.6</v>
      </c>
      <c r="J323" s="7">
        <v>1008853519</v>
      </c>
      <c r="K323" s="6">
        <v>96</v>
      </c>
      <c r="L323" s="6">
        <v>89.7</v>
      </c>
      <c r="M323" s="6">
        <v>62.3</v>
      </c>
      <c r="N323" s="6">
        <v>7.7</v>
      </c>
      <c r="O323" s="6">
        <v>0</v>
      </c>
      <c r="P323" s="8">
        <f t="shared" si="5"/>
        <v>214.64968489361704</v>
      </c>
      <c r="Q323" s="6"/>
      <c r="R323" s="6"/>
    </row>
    <row r="324" spans="1:18" x14ac:dyDescent="0.25">
      <c r="A324" s="6" t="s">
        <v>143</v>
      </c>
      <c r="B324" s="6">
        <f>VLOOKUP(A324,[2]Metadata_isolates!$A$1:$B$370,2,FALSE)</f>
        <v>377</v>
      </c>
      <c r="C324" s="7">
        <v>4256.8999999999996</v>
      </c>
      <c r="D324" s="6">
        <v>20.6</v>
      </c>
      <c r="E324" s="7">
        <v>2925</v>
      </c>
      <c r="F324" s="6">
        <v>23.8</v>
      </c>
      <c r="G324" s="7">
        <v>238827</v>
      </c>
      <c r="H324" s="7">
        <v>5843</v>
      </c>
      <c r="I324" s="7">
        <v>4215.1000000000004</v>
      </c>
      <c r="J324" s="7">
        <v>1016670923</v>
      </c>
      <c r="K324" s="6">
        <v>99.7</v>
      </c>
      <c r="L324" s="6">
        <v>96.7</v>
      </c>
      <c r="M324" s="6">
        <v>79.7</v>
      </c>
      <c r="N324" s="6">
        <v>38.5</v>
      </c>
      <c r="O324" s="6">
        <v>5.7</v>
      </c>
      <c r="P324" s="8">
        <f t="shared" si="5"/>
        <v>216.31296234042554</v>
      </c>
      <c r="Q324" s="6"/>
      <c r="R324" s="6"/>
    </row>
    <row r="325" spans="1:18" x14ac:dyDescent="0.25">
      <c r="A325" s="6" t="s">
        <v>448</v>
      </c>
      <c r="B325" s="6">
        <f>VLOOKUP(A325,[2]Metadata_isolates!$A$1:$B$370,2,FALSE)</f>
        <v>377</v>
      </c>
      <c r="C325" s="7">
        <v>5682.9</v>
      </c>
      <c r="D325" s="6">
        <v>21.7</v>
      </c>
      <c r="E325" s="7">
        <v>4119</v>
      </c>
      <c r="F325" s="6">
        <v>24.8</v>
      </c>
      <c r="G325" s="7">
        <v>178985</v>
      </c>
      <c r="H325" s="7">
        <v>7786</v>
      </c>
      <c r="I325" s="7">
        <v>5127.5</v>
      </c>
      <c r="J325" s="7">
        <v>1017152419</v>
      </c>
      <c r="K325" s="6">
        <v>99.8</v>
      </c>
      <c r="L325" s="6">
        <v>98</v>
      </c>
      <c r="M325" s="6">
        <v>86.1</v>
      </c>
      <c r="N325" s="6">
        <v>47.6</v>
      </c>
      <c r="O325" s="6">
        <v>7.5</v>
      </c>
      <c r="P325" s="8">
        <f t="shared" si="5"/>
        <v>216.41540829787235</v>
      </c>
      <c r="Q325" s="6"/>
      <c r="R325" s="6"/>
    </row>
    <row r="326" spans="1:18" x14ac:dyDescent="0.25">
      <c r="A326" s="6" t="s">
        <v>274</v>
      </c>
      <c r="B326" s="6">
        <f>VLOOKUP(A326,[2]Metadata_isolates!$A$1:$B$370,2,FALSE)</f>
        <v>377</v>
      </c>
      <c r="C326" s="7">
        <v>4267.7</v>
      </c>
      <c r="D326" s="6">
        <v>22</v>
      </c>
      <c r="E326" s="7">
        <v>3148</v>
      </c>
      <c r="F326" s="6">
        <v>25.3</v>
      </c>
      <c r="G326" s="7">
        <v>238538</v>
      </c>
      <c r="H326" s="7">
        <v>5732</v>
      </c>
      <c r="I326" s="7">
        <v>3619</v>
      </c>
      <c r="J326" s="7">
        <v>1018011279</v>
      </c>
      <c r="K326" s="6">
        <v>99.8</v>
      </c>
      <c r="L326" s="6">
        <v>97.9</v>
      </c>
      <c r="M326" s="6">
        <v>88.6</v>
      </c>
      <c r="N326" s="6">
        <v>53.4</v>
      </c>
      <c r="O326" s="6">
        <v>8.6999999999999993</v>
      </c>
      <c r="P326" s="8">
        <f t="shared" si="5"/>
        <v>216.59814446808511</v>
      </c>
      <c r="Q326" s="6"/>
      <c r="R326" s="6"/>
    </row>
    <row r="327" spans="1:18" x14ac:dyDescent="0.25">
      <c r="A327" s="6" t="s">
        <v>451</v>
      </c>
      <c r="B327" s="6">
        <f>VLOOKUP(A327,[2]Metadata_isolates!$A$1:$B$370,2,FALSE)</f>
        <v>2640</v>
      </c>
      <c r="C327" s="7">
        <v>5696.9</v>
      </c>
      <c r="D327" s="6">
        <v>22</v>
      </c>
      <c r="E327" s="7">
        <v>4179</v>
      </c>
      <c r="F327" s="6">
        <v>25.2</v>
      </c>
      <c r="G327" s="7">
        <v>180461</v>
      </c>
      <c r="H327" s="7">
        <v>7608</v>
      </c>
      <c r="I327" s="7">
        <v>5158.1000000000004</v>
      </c>
      <c r="J327" s="7">
        <v>1028076448</v>
      </c>
      <c r="K327" s="6">
        <v>99.8</v>
      </c>
      <c r="L327" s="6">
        <v>98.1</v>
      </c>
      <c r="M327" s="6">
        <v>88.2</v>
      </c>
      <c r="N327" s="6">
        <v>52.5</v>
      </c>
      <c r="O327" s="6">
        <v>8.6999999999999993</v>
      </c>
      <c r="P327" s="8">
        <f t="shared" si="5"/>
        <v>218.73966978723405</v>
      </c>
      <c r="Q327" s="6"/>
      <c r="R327" s="6"/>
    </row>
    <row r="328" spans="1:18" x14ac:dyDescent="0.25">
      <c r="A328" s="6" t="s">
        <v>412</v>
      </c>
      <c r="B328" s="6">
        <f>VLOOKUP(A328,[2]Metadata_isolates!$A$1:$B$370,2,FALSE)</f>
        <v>377</v>
      </c>
      <c r="C328" s="7">
        <v>4793.2</v>
      </c>
      <c r="D328" s="6">
        <v>21.5</v>
      </c>
      <c r="E328" s="7">
        <v>3553</v>
      </c>
      <c r="F328" s="6">
        <v>24.5</v>
      </c>
      <c r="G328" s="7">
        <v>221555</v>
      </c>
      <c r="H328" s="7">
        <v>6403</v>
      </c>
      <c r="I328" s="7">
        <v>4045.1</v>
      </c>
      <c r="J328" s="7">
        <v>1061946885</v>
      </c>
      <c r="K328" s="6">
        <v>99.8</v>
      </c>
      <c r="L328" s="6">
        <v>97.9</v>
      </c>
      <c r="M328" s="6">
        <v>84.7</v>
      </c>
      <c r="N328" s="6">
        <v>45.6</v>
      </c>
      <c r="O328" s="6">
        <v>8</v>
      </c>
      <c r="P328" s="8">
        <f t="shared" si="5"/>
        <v>225.94614574468085</v>
      </c>
      <c r="Q328" s="6"/>
      <c r="R328" s="6"/>
    </row>
    <row r="329" spans="1:18" x14ac:dyDescent="0.25">
      <c r="A329" s="6" t="s">
        <v>317</v>
      </c>
      <c r="B329" s="6">
        <f>VLOOKUP(A329,[2]Metadata_isolates!$A$1:$B$370,2,FALSE)</f>
        <v>377</v>
      </c>
      <c r="C329" s="7">
        <v>4522.1000000000004</v>
      </c>
      <c r="D329" s="6">
        <v>17.600000000000001</v>
      </c>
      <c r="E329" s="7">
        <v>3280</v>
      </c>
      <c r="F329" s="6">
        <v>21.2</v>
      </c>
      <c r="G329" s="7">
        <v>236296</v>
      </c>
      <c r="H329" s="7">
        <v>6147</v>
      </c>
      <c r="I329" s="7">
        <v>5712.8</v>
      </c>
      <c r="J329" s="7">
        <v>1068546999</v>
      </c>
      <c r="K329" s="6">
        <v>96.9</v>
      </c>
      <c r="L329" s="6">
        <v>91.3</v>
      </c>
      <c r="M329" s="6">
        <v>64.2</v>
      </c>
      <c r="N329" s="6">
        <v>8.6999999999999993</v>
      </c>
      <c r="O329" s="6">
        <v>0</v>
      </c>
      <c r="P329" s="8">
        <f t="shared" si="5"/>
        <v>227.35042531914894</v>
      </c>
      <c r="Q329" s="6"/>
      <c r="R329" s="6"/>
    </row>
    <row r="330" spans="1:18" x14ac:dyDescent="0.25">
      <c r="A330" s="6" t="s">
        <v>309</v>
      </c>
      <c r="B330" s="6">
        <f>VLOOKUP(A330,[2]Metadata_isolates!$A$1:$B$370,2,FALSE)</f>
        <v>377</v>
      </c>
      <c r="C330" s="7">
        <v>4400.6000000000004</v>
      </c>
      <c r="D330" s="6">
        <v>17.7</v>
      </c>
      <c r="E330" s="7">
        <v>3191</v>
      </c>
      <c r="F330" s="6">
        <v>21.2</v>
      </c>
      <c r="G330" s="7">
        <v>249019</v>
      </c>
      <c r="H330" s="7">
        <v>5903</v>
      </c>
      <c r="I330" s="7">
        <v>5878.4</v>
      </c>
      <c r="J330" s="7">
        <v>1095827156</v>
      </c>
      <c r="K330" s="6">
        <v>97.2</v>
      </c>
      <c r="L330" s="6">
        <v>91.4</v>
      </c>
      <c r="M330" s="6">
        <v>64.7</v>
      </c>
      <c r="N330" s="6">
        <v>8.5</v>
      </c>
      <c r="O330" s="6">
        <v>0</v>
      </c>
      <c r="P330" s="8">
        <f t="shared" si="5"/>
        <v>233.15471404255319</v>
      </c>
      <c r="Q330" s="6"/>
      <c r="R330" s="6"/>
    </row>
    <row r="331" spans="1:18" x14ac:dyDescent="0.25">
      <c r="A331" s="6" t="s">
        <v>169</v>
      </c>
      <c r="B331" s="6" t="str">
        <f>VLOOKUP(A331,[2]Metadata_isolates!$A$1:$B$370,2,FALSE)</f>
        <v>-</v>
      </c>
      <c r="C331" s="7">
        <v>5679.3</v>
      </c>
      <c r="D331" s="6">
        <v>21</v>
      </c>
      <c r="E331" s="7">
        <v>4080</v>
      </c>
      <c r="F331" s="6">
        <v>24.3</v>
      </c>
      <c r="G331" s="7">
        <v>193445</v>
      </c>
      <c r="H331" s="7">
        <v>7923</v>
      </c>
      <c r="I331" s="7">
        <v>5840.6</v>
      </c>
      <c r="J331" s="7">
        <v>1098622568</v>
      </c>
      <c r="K331" s="6">
        <v>99.8</v>
      </c>
      <c r="L331" s="6">
        <v>97.1</v>
      </c>
      <c r="M331" s="6">
        <v>81.7</v>
      </c>
      <c r="N331" s="6">
        <v>43.7</v>
      </c>
      <c r="O331" s="6">
        <v>6.8</v>
      </c>
      <c r="P331" s="8">
        <f t="shared" si="5"/>
        <v>233.74948255319148</v>
      </c>
      <c r="Q331" s="6"/>
      <c r="R331" s="6"/>
    </row>
    <row r="332" spans="1:18" x14ac:dyDescent="0.25">
      <c r="A332" s="6" t="s">
        <v>331</v>
      </c>
      <c r="B332" s="6">
        <f>VLOOKUP(A332,[2]Metadata_isolates!$A$1:$B$370,2,FALSE)</f>
        <v>377</v>
      </c>
      <c r="C332" s="7">
        <v>4429.6000000000004</v>
      </c>
      <c r="D332" s="6">
        <v>17.8</v>
      </c>
      <c r="E332" s="7">
        <v>3145</v>
      </c>
      <c r="F332" s="6">
        <v>21.1</v>
      </c>
      <c r="G332" s="7">
        <v>248586</v>
      </c>
      <c r="H332" s="7">
        <v>6010</v>
      </c>
      <c r="I332" s="7">
        <v>4337</v>
      </c>
      <c r="J332" s="7">
        <v>1101139035</v>
      </c>
      <c r="K332" s="6">
        <v>97.3</v>
      </c>
      <c r="L332" s="6">
        <v>91.9</v>
      </c>
      <c r="M332" s="6">
        <v>63.8</v>
      </c>
      <c r="N332" s="6">
        <v>8.1</v>
      </c>
      <c r="O332" s="6">
        <v>0</v>
      </c>
      <c r="P332" s="8">
        <f t="shared" si="5"/>
        <v>234.28490106382978</v>
      </c>
      <c r="Q332" s="6"/>
      <c r="R332" s="6"/>
    </row>
    <row r="333" spans="1:18" x14ac:dyDescent="0.25">
      <c r="A333" s="6" t="s">
        <v>122</v>
      </c>
      <c r="B333" s="6">
        <f>VLOOKUP(A333,[2]Metadata_isolates!$A$1:$B$370,2,FALSE)</f>
        <v>1499</v>
      </c>
      <c r="C333" s="7">
        <v>6210.4</v>
      </c>
      <c r="D333" s="6">
        <v>21.3</v>
      </c>
      <c r="E333" s="7">
        <v>4427</v>
      </c>
      <c r="F333" s="6">
        <v>24.6</v>
      </c>
      <c r="G333" s="7">
        <v>179461</v>
      </c>
      <c r="H333" s="7">
        <v>8644</v>
      </c>
      <c r="I333" s="7">
        <v>6363.3</v>
      </c>
      <c r="J333" s="7">
        <v>1114519694</v>
      </c>
      <c r="K333" s="6">
        <v>99.8</v>
      </c>
      <c r="L333" s="6">
        <v>97.5</v>
      </c>
      <c r="M333" s="6">
        <v>83.9</v>
      </c>
      <c r="N333" s="6">
        <v>46</v>
      </c>
      <c r="O333" s="6">
        <v>6.7</v>
      </c>
      <c r="P333" s="8">
        <f t="shared" si="5"/>
        <v>237.13184978723405</v>
      </c>
      <c r="Q333" s="6"/>
      <c r="R333" s="6"/>
    </row>
    <row r="334" spans="1:18" x14ac:dyDescent="0.25">
      <c r="A334" s="6" t="s">
        <v>245</v>
      </c>
      <c r="B334" s="6">
        <f>VLOOKUP(A334,[2]Metadata_isolates!$A$1:$B$370,2,FALSE)</f>
        <v>377</v>
      </c>
      <c r="C334" s="7">
        <v>4210.7</v>
      </c>
      <c r="D334" s="6">
        <v>21.7</v>
      </c>
      <c r="E334" s="7">
        <v>3000</v>
      </c>
      <c r="F334" s="6">
        <v>25.1</v>
      </c>
      <c r="G334" s="7">
        <v>267171</v>
      </c>
      <c r="H334" s="7">
        <v>5743</v>
      </c>
      <c r="I334" s="7">
        <v>3973.4</v>
      </c>
      <c r="J334" s="7">
        <v>1124972599</v>
      </c>
      <c r="K334" s="6">
        <v>99.7</v>
      </c>
      <c r="L334" s="6">
        <v>97.6</v>
      </c>
      <c r="M334" s="6">
        <v>87.7</v>
      </c>
      <c r="N334" s="6">
        <v>51.7</v>
      </c>
      <c r="O334" s="6">
        <v>8.1</v>
      </c>
      <c r="P334" s="8">
        <f t="shared" si="5"/>
        <v>239.35587212765958</v>
      </c>
      <c r="Q334" s="6"/>
      <c r="R334" s="6"/>
    </row>
    <row r="335" spans="1:18" x14ac:dyDescent="0.25">
      <c r="A335" s="6" t="s">
        <v>337</v>
      </c>
      <c r="B335" s="6">
        <f>VLOOKUP(A335,[2]Metadata_isolates!$A$1:$B$370,2,FALSE)</f>
        <v>377</v>
      </c>
      <c r="C335" s="7">
        <v>5211.5</v>
      </c>
      <c r="D335" s="6">
        <v>17.7</v>
      </c>
      <c r="E335" s="7">
        <v>3755</v>
      </c>
      <c r="F335" s="6">
        <v>21.4</v>
      </c>
      <c r="G335" s="7">
        <v>218766</v>
      </c>
      <c r="H335" s="7">
        <v>7209</v>
      </c>
      <c r="I335" s="7">
        <v>5477.5</v>
      </c>
      <c r="J335" s="7">
        <v>1140106177</v>
      </c>
      <c r="K335" s="6">
        <v>97</v>
      </c>
      <c r="L335" s="6">
        <v>91.2</v>
      </c>
      <c r="M335" s="6">
        <v>67</v>
      </c>
      <c r="N335" s="6">
        <v>10.4</v>
      </c>
      <c r="O335" s="6">
        <v>0</v>
      </c>
      <c r="P335" s="8">
        <f t="shared" si="5"/>
        <v>242.57578234042552</v>
      </c>
      <c r="Q335" s="6"/>
      <c r="R335" s="6"/>
    </row>
    <row r="336" spans="1:18" x14ac:dyDescent="0.25">
      <c r="A336" s="6" t="s">
        <v>322</v>
      </c>
      <c r="B336" s="6">
        <f>VLOOKUP(A336,[2]Metadata_isolates!$A$1:$B$370,2,FALSE)</f>
        <v>377</v>
      </c>
      <c r="C336" s="7">
        <v>4699.5</v>
      </c>
      <c r="D336" s="6">
        <v>17.600000000000001</v>
      </c>
      <c r="E336" s="7">
        <v>3354</v>
      </c>
      <c r="F336" s="6">
        <v>21.2</v>
      </c>
      <c r="G336" s="7">
        <v>243999</v>
      </c>
      <c r="H336" s="7">
        <v>6439</v>
      </c>
      <c r="I336" s="7">
        <v>6700.4</v>
      </c>
      <c r="J336" s="7">
        <v>1146664094</v>
      </c>
      <c r="K336" s="6">
        <v>97.1</v>
      </c>
      <c r="L336" s="6">
        <v>91.5</v>
      </c>
      <c r="M336" s="6">
        <v>64.5</v>
      </c>
      <c r="N336" s="6">
        <v>8.6</v>
      </c>
      <c r="O336" s="6">
        <v>0</v>
      </c>
      <c r="P336" s="8">
        <f t="shared" si="5"/>
        <v>243.97108382978723</v>
      </c>
      <c r="Q336" s="6"/>
      <c r="R336" s="6"/>
    </row>
    <row r="337" spans="1:18" x14ac:dyDescent="0.25">
      <c r="A337" s="6" t="s">
        <v>365</v>
      </c>
      <c r="B337" s="6">
        <f>VLOOKUP(A337,[2]Metadata_isolates!$A$1:$B$370,2,FALSE)</f>
        <v>377</v>
      </c>
      <c r="C337" s="7">
        <v>3813.4</v>
      </c>
      <c r="D337" s="6">
        <v>16.8</v>
      </c>
      <c r="E337" s="7">
        <v>2797</v>
      </c>
      <c r="F337" s="6">
        <v>20.7</v>
      </c>
      <c r="G337" s="7">
        <v>303218</v>
      </c>
      <c r="H337" s="7">
        <v>4994</v>
      </c>
      <c r="I337" s="7">
        <v>5041.8999999999996</v>
      </c>
      <c r="J337" s="7">
        <v>1156283824</v>
      </c>
      <c r="K337" s="6">
        <v>95.8</v>
      </c>
      <c r="L337" s="6">
        <v>89.5</v>
      </c>
      <c r="M337" s="6">
        <v>59.3</v>
      </c>
      <c r="N337" s="6">
        <v>5.5</v>
      </c>
      <c r="O337" s="6">
        <v>0</v>
      </c>
      <c r="P337" s="8">
        <f t="shared" si="5"/>
        <v>246.01783489361702</v>
      </c>
      <c r="Q337" s="6"/>
      <c r="R337" s="6"/>
    </row>
    <row r="338" spans="1:18" x14ac:dyDescent="0.25">
      <c r="A338" s="6" t="s">
        <v>193</v>
      </c>
      <c r="B338" s="6">
        <f>VLOOKUP(A338,[2]Metadata_isolates!$A$1:$B$370,2,FALSE)</f>
        <v>377</v>
      </c>
      <c r="C338" s="7">
        <v>4241.3999999999996</v>
      </c>
      <c r="D338" s="6">
        <v>22.1</v>
      </c>
      <c r="E338" s="7">
        <v>3160</v>
      </c>
      <c r="F338" s="6">
        <v>25.4</v>
      </c>
      <c r="G338" s="7">
        <v>274615</v>
      </c>
      <c r="H338" s="7">
        <v>5635</v>
      </c>
      <c r="I338" s="7">
        <v>3529</v>
      </c>
      <c r="J338" s="7">
        <v>1164742872</v>
      </c>
      <c r="K338" s="6">
        <v>99.8</v>
      </c>
      <c r="L338" s="6">
        <v>98</v>
      </c>
      <c r="M338" s="6">
        <v>89.1</v>
      </c>
      <c r="N338" s="6">
        <v>54.1</v>
      </c>
      <c r="O338" s="6">
        <v>9</v>
      </c>
      <c r="P338" s="8">
        <f t="shared" si="5"/>
        <v>247.81763234042552</v>
      </c>
      <c r="Q338" s="6"/>
      <c r="R338" s="6"/>
    </row>
    <row r="339" spans="1:18" x14ac:dyDescent="0.25">
      <c r="A339" s="6" t="s">
        <v>204</v>
      </c>
      <c r="B339" s="6">
        <f>VLOOKUP(A339,[2]Metadata_isolates!$A$1:$B$370,2,FALSE)</f>
        <v>377</v>
      </c>
      <c r="C339" s="7">
        <v>4098.1000000000004</v>
      </c>
      <c r="D339" s="6">
        <v>21.7</v>
      </c>
      <c r="E339" s="7">
        <v>3019</v>
      </c>
      <c r="F339" s="6">
        <v>25.1</v>
      </c>
      <c r="G339" s="7">
        <v>284841</v>
      </c>
      <c r="H339" s="7">
        <v>5458</v>
      </c>
      <c r="I339" s="7">
        <v>3440.3</v>
      </c>
      <c r="J339" s="7">
        <v>1167301265</v>
      </c>
      <c r="K339" s="6">
        <v>99.7</v>
      </c>
      <c r="L339" s="6">
        <v>97.8</v>
      </c>
      <c r="M339" s="6">
        <v>87.2</v>
      </c>
      <c r="N339" s="6">
        <v>50.8</v>
      </c>
      <c r="O339" s="6">
        <v>8.4</v>
      </c>
      <c r="P339" s="8">
        <f t="shared" si="5"/>
        <v>248.36197127659574</v>
      </c>
      <c r="Q339" s="6"/>
      <c r="R339" s="6"/>
    </row>
    <row r="340" spans="1:18" x14ac:dyDescent="0.25">
      <c r="A340" s="6" t="s">
        <v>288</v>
      </c>
      <c r="B340" s="6">
        <f>VLOOKUP(A340,[2]Metadata_isolates!$A$1:$B$370,2,FALSE)</f>
        <v>377</v>
      </c>
      <c r="C340" s="7">
        <v>4126.1000000000004</v>
      </c>
      <c r="D340" s="6">
        <v>21.8</v>
      </c>
      <c r="E340" s="7">
        <v>2998</v>
      </c>
      <c r="F340" s="6">
        <v>25.2</v>
      </c>
      <c r="G340" s="7">
        <v>283505</v>
      </c>
      <c r="H340" s="7">
        <v>5503</v>
      </c>
      <c r="I340" s="7">
        <v>3818.5</v>
      </c>
      <c r="J340" s="7">
        <v>1169756953</v>
      </c>
      <c r="K340" s="6">
        <v>99.8</v>
      </c>
      <c r="L340" s="6">
        <v>97.8</v>
      </c>
      <c r="M340" s="6">
        <v>87.8</v>
      </c>
      <c r="N340" s="6">
        <v>51.8</v>
      </c>
      <c r="O340" s="6">
        <v>8.6999999999999993</v>
      </c>
      <c r="P340" s="8">
        <f t="shared" si="5"/>
        <v>248.88445808510639</v>
      </c>
      <c r="Q340" s="6"/>
      <c r="R340" s="6"/>
    </row>
    <row r="341" spans="1:18" x14ac:dyDescent="0.25">
      <c r="A341" s="6" t="s">
        <v>187</v>
      </c>
      <c r="B341" s="6">
        <f>VLOOKUP(A341,[2]Metadata_isolates!$A$1:$B$370,2,FALSE)</f>
        <v>377</v>
      </c>
      <c r="C341" s="7">
        <v>4389.6000000000004</v>
      </c>
      <c r="D341" s="6">
        <v>17.600000000000001</v>
      </c>
      <c r="E341" s="7">
        <v>3090</v>
      </c>
      <c r="F341" s="6">
        <v>21.1</v>
      </c>
      <c r="G341" s="7">
        <v>275751</v>
      </c>
      <c r="H341" s="7">
        <v>5988</v>
      </c>
      <c r="I341" s="7">
        <v>5175.3999999999996</v>
      </c>
      <c r="J341" s="7">
        <v>1210447091</v>
      </c>
      <c r="K341" s="6">
        <v>97</v>
      </c>
      <c r="L341" s="6">
        <v>91.4</v>
      </c>
      <c r="M341" s="6">
        <v>63.8</v>
      </c>
      <c r="N341" s="6">
        <v>8.4</v>
      </c>
      <c r="O341" s="6">
        <v>0</v>
      </c>
      <c r="P341" s="8">
        <f t="shared" si="5"/>
        <v>257.54193425531918</v>
      </c>
      <c r="Q341" s="6"/>
      <c r="R341" s="6"/>
    </row>
    <row r="342" spans="1:18" x14ac:dyDescent="0.25">
      <c r="A342" s="6" t="s">
        <v>273</v>
      </c>
      <c r="B342" s="6">
        <f>VLOOKUP(A342,[2]Metadata_isolates!$A$1:$B$370,2,FALSE)</f>
        <v>377</v>
      </c>
      <c r="C342" s="7">
        <v>4028.7</v>
      </c>
      <c r="D342" s="6">
        <v>21.8</v>
      </c>
      <c r="E342" s="7">
        <v>2987</v>
      </c>
      <c r="F342" s="6">
        <v>25.2</v>
      </c>
      <c r="G342" s="7">
        <v>300693</v>
      </c>
      <c r="H342" s="7">
        <v>5331</v>
      </c>
      <c r="I342" s="7">
        <v>3500.5</v>
      </c>
      <c r="J342" s="7">
        <v>1211394892</v>
      </c>
      <c r="K342" s="6">
        <v>99.7</v>
      </c>
      <c r="L342" s="6">
        <v>97.8</v>
      </c>
      <c r="M342" s="6">
        <v>87.7</v>
      </c>
      <c r="N342" s="6">
        <v>52.1</v>
      </c>
      <c r="O342" s="6">
        <v>8.9</v>
      </c>
      <c r="P342" s="8">
        <f t="shared" si="5"/>
        <v>257.74359404255318</v>
      </c>
      <c r="Q342" s="6"/>
      <c r="R342" s="6"/>
    </row>
    <row r="343" spans="1:18" x14ac:dyDescent="0.25">
      <c r="A343" s="6" t="s">
        <v>272</v>
      </c>
      <c r="B343" s="6">
        <f>VLOOKUP(A343,[2]Metadata_isolates!$A$1:$B$370,2,FALSE)</f>
        <v>377</v>
      </c>
      <c r="C343" s="7">
        <v>3646.1</v>
      </c>
      <c r="D343" s="6">
        <v>21.4</v>
      </c>
      <c r="E343" s="7">
        <v>2705</v>
      </c>
      <c r="F343" s="6">
        <v>24.7</v>
      </c>
      <c r="G343" s="7">
        <v>337881</v>
      </c>
      <c r="H343" s="7">
        <v>4698</v>
      </c>
      <c r="I343" s="7">
        <v>3106.4</v>
      </c>
      <c r="J343" s="7">
        <v>1231953464</v>
      </c>
      <c r="K343" s="6">
        <v>99.7</v>
      </c>
      <c r="L343" s="6">
        <v>97.6</v>
      </c>
      <c r="M343" s="6">
        <v>85.5</v>
      </c>
      <c r="N343" s="6">
        <v>47</v>
      </c>
      <c r="O343" s="6">
        <v>7.9</v>
      </c>
      <c r="P343" s="8">
        <f t="shared" si="5"/>
        <v>262.11775829787234</v>
      </c>
      <c r="Q343" s="6"/>
      <c r="R343" s="6"/>
    </row>
    <row r="344" spans="1:18" x14ac:dyDescent="0.25">
      <c r="A344" s="6" t="s">
        <v>344</v>
      </c>
      <c r="B344" s="6">
        <f>VLOOKUP(A344,[2]Metadata_isolates!$A$1:$B$370,2,FALSE)</f>
        <v>377</v>
      </c>
      <c r="C344" s="7">
        <v>3847</v>
      </c>
      <c r="D344" s="6">
        <v>17</v>
      </c>
      <c r="E344" s="7">
        <v>2800</v>
      </c>
      <c r="F344" s="6">
        <v>20.8</v>
      </c>
      <c r="G344" s="7">
        <v>323064</v>
      </c>
      <c r="H344" s="7">
        <v>5028</v>
      </c>
      <c r="I344" s="7">
        <v>6420.3</v>
      </c>
      <c r="J344" s="7">
        <v>1242836549</v>
      </c>
      <c r="K344" s="6">
        <v>96</v>
      </c>
      <c r="L344" s="6">
        <v>89.8</v>
      </c>
      <c r="M344" s="6">
        <v>60.1</v>
      </c>
      <c r="N344" s="6">
        <v>5.7</v>
      </c>
      <c r="O344" s="6">
        <v>0</v>
      </c>
      <c r="P344" s="8">
        <f t="shared" si="5"/>
        <v>264.43330829787232</v>
      </c>
      <c r="Q344" s="6"/>
      <c r="R344" s="6"/>
    </row>
    <row r="345" spans="1:18" x14ac:dyDescent="0.25">
      <c r="A345" s="6" t="s">
        <v>268</v>
      </c>
      <c r="B345" s="6">
        <f>VLOOKUP(A345,[2]Metadata_isolates!$A$1:$B$370,2,FALSE)</f>
        <v>377</v>
      </c>
      <c r="C345" s="7">
        <v>5110.6000000000004</v>
      </c>
      <c r="D345" s="6">
        <v>18</v>
      </c>
      <c r="E345" s="7">
        <v>3702</v>
      </c>
      <c r="F345" s="6">
        <v>21.6</v>
      </c>
      <c r="G345" s="7">
        <v>246955</v>
      </c>
      <c r="H345" s="7">
        <v>6970</v>
      </c>
      <c r="I345" s="7">
        <v>5477.1</v>
      </c>
      <c r="J345" s="7">
        <v>1262099442</v>
      </c>
      <c r="K345" s="6">
        <v>97.3</v>
      </c>
      <c r="L345" s="6">
        <v>92</v>
      </c>
      <c r="M345" s="6">
        <v>69.099999999999994</v>
      </c>
      <c r="N345" s="6">
        <v>11.3</v>
      </c>
      <c r="O345" s="6">
        <v>0</v>
      </c>
      <c r="P345" s="8">
        <f t="shared" si="5"/>
        <v>268.53179617021277</v>
      </c>
      <c r="Q345" s="6"/>
      <c r="R345" s="6"/>
    </row>
    <row r="346" spans="1:18" x14ac:dyDescent="0.25">
      <c r="A346" s="6" t="s">
        <v>481</v>
      </c>
      <c r="B346" s="6">
        <f>VLOOKUP(A346,[2]Metadata_isolates!$A$1:$B$370,2,FALSE)</f>
        <v>377</v>
      </c>
      <c r="C346" s="7">
        <v>6333.6</v>
      </c>
      <c r="D346" s="6">
        <v>20.3</v>
      </c>
      <c r="E346" s="7">
        <v>4507</v>
      </c>
      <c r="F346" s="6">
        <v>23.2</v>
      </c>
      <c r="G346" s="7">
        <v>202148</v>
      </c>
      <c r="H346" s="7">
        <v>8702</v>
      </c>
      <c r="I346" s="7">
        <v>5594.5</v>
      </c>
      <c r="J346" s="7">
        <v>1280325095</v>
      </c>
      <c r="K346" s="6">
        <v>99.9</v>
      </c>
      <c r="L346" s="6">
        <v>96</v>
      </c>
      <c r="M346" s="6">
        <v>78.3</v>
      </c>
      <c r="N346" s="6">
        <v>28.8</v>
      </c>
      <c r="O346" s="6">
        <v>1.9</v>
      </c>
      <c r="P346" s="8">
        <f t="shared" si="5"/>
        <v>272.40959468085106</v>
      </c>
      <c r="Q346" s="6"/>
      <c r="R346" s="6"/>
    </row>
    <row r="347" spans="1:18" x14ac:dyDescent="0.25">
      <c r="A347" s="6" t="s">
        <v>243</v>
      </c>
      <c r="B347" s="6">
        <f>VLOOKUP(A347,[2]Metadata_isolates!$A$1:$B$370,2,FALSE)</f>
        <v>377</v>
      </c>
      <c r="C347" s="7">
        <v>3865.3</v>
      </c>
      <c r="D347" s="6">
        <v>21.8</v>
      </c>
      <c r="E347" s="7">
        <v>2737</v>
      </c>
      <c r="F347" s="6">
        <v>25</v>
      </c>
      <c r="G347" s="7">
        <v>333633</v>
      </c>
      <c r="H347" s="7">
        <v>5154</v>
      </c>
      <c r="I347" s="7">
        <v>3494.8</v>
      </c>
      <c r="J347" s="7">
        <v>1289607502</v>
      </c>
      <c r="K347" s="6">
        <v>99.8</v>
      </c>
      <c r="L347" s="6">
        <v>97.9</v>
      </c>
      <c r="M347" s="6">
        <v>87.8</v>
      </c>
      <c r="N347" s="6">
        <v>50.4</v>
      </c>
      <c r="O347" s="6">
        <v>7.4</v>
      </c>
      <c r="P347" s="8">
        <f t="shared" si="5"/>
        <v>274.38457489361701</v>
      </c>
      <c r="Q347" s="6"/>
      <c r="R347" s="6"/>
    </row>
    <row r="348" spans="1:18" x14ac:dyDescent="0.25">
      <c r="A348" s="6" t="s">
        <v>239</v>
      </c>
      <c r="B348" s="6">
        <f>VLOOKUP(A348,[2]Metadata_isolates!$A$1:$B$370,2,FALSE)</f>
        <v>377</v>
      </c>
      <c r="C348" s="7">
        <v>4844.3999999999996</v>
      </c>
      <c r="D348" s="6">
        <v>17.7</v>
      </c>
      <c r="E348" s="7">
        <v>3491</v>
      </c>
      <c r="F348" s="6">
        <v>21.4</v>
      </c>
      <c r="G348" s="7">
        <v>279077</v>
      </c>
      <c r="H348" s="7">
        <v>6573</v>
      </c>
      <c r="I348" s="7">
        <v>5865.1</v>
      </c>
      <c r="J348" s="7">
        <v>1351965038</v>
      </c>
      <c r="K348" s="6">
        <v>96.9</v>
      </c>
      <c r="L348" s="6">
        <v>91.3</v>
      </c>
      <c r="M348" s="6">
        <v>67.2</v>
      </c>
      <c r="N348" s="6">
        <v>10.1</v>
      </c>
      <c r="O348" s="6">
        <v>0</v>
      </c>
      <c r="P348" s="8">
        <f t="shared" si="5"/>
        <v>287.65213574468083</v>
      </c>
      <c r="Q348" s="6"/>
      <c r="R348" s="6"/>
    </row>
    <row r="349" spans="1:18" x14ac:dyDescent="0.25">
      <c r="A349" s="6" t="s">
        <v>459</v>
      </c>
      <c r="B349" s="6">
        <f>VLOOKUP(A349,[2]Metadata_isolates!$A$1:$B$370,2,FALSE)</f>
        <v>377</v>
      </c>
      <c r="C349" s="7">
        <v>5643.7</v>
      </c>
      <c r="D349" s="6">
        <v>21.7</v>
      </c>
      <c r="E349" s="7">
        <v>4131</v>
      </c>
      <c r="F349" s="6">
        <v>24.8</v>
      </c>
      <c r="G349" s="7">
        <v>239753</v>
      </c>
      <c r="H349" s="7">
        <v>7569</v>
      </c>
      <c r="I349" s="7">
        <v>4833.1000000000004</v>
      </c>
      <c r="J349" s="7">
        <v>1353085573</v>
      </c>
      <c r="K349" s="6">
        <v>99.8</v>
      </c>
      <c r="L349" s="6">
        <v>98</v>
      </c>
      <c r="M349" s="6">
        <v>86.4</v>
      </c>
      <c r="N349" s="6">
        <v>47.8</v>
      </c>
      <c r="O349" s="6">
        <v>7.5</v>
      </c>
      <c r="P349" s="8">
        <f t="shared" si="5"/>
        <v>287.89054744680851</v>
      </c>
      <c r="Q349" s="6"/>
      <c r="R349" s="6"/>
    </row>
    <row r="350" spans="1:18" x14ac:dyDescent="0.25">
      <c r="A350" s="6" t="s">
        <v>161</v>
      </c>
      <c r="B350" s="6">
        <f>VLOOKUP(A350,[2]Metadata_isolates!$A$1:$B$370,2,FALSE)</f>
        <v>377</v>
      </c>
      <c r="C350" s="7">
        <v>5808.6</v>
      </c>
      <c r="D350" s="6">
        <v>21</v>
      </c>
      <c r="E350" s="7">
        <v>4141</v>
      </c>
      <c r="F350" s="6">
        <v>24.4</v>
      </c>
      <c r="G350" s="7">
        <v>233623</v>
      </c>
      <c r="H350" s="7">
        <v>8072</v>
      </c>
      <c r="I350" s="7">
        <v>5435.1</v>
      </c>
      <c r="J350" s="7">
        <v>1357014659</v>
      </c>
      <c r="K350" s="6">
        <v>99.8</v>
      </c>
      <c r="L350" s="6">
        <v>97.1</v>
      </c>
      <c r="M350" s="6">
        <v>81.8</v>
      </c>
      <c r="N350" s="6">
        <v>43.7</v>
      </c>
      <c r="O350" s="6">
        <v>6.6</v>
      </c>
      <c r="P350" s="8">
        <f t="shared" si="5"/>
        <v>288.72652319148938</v>
      </c>
      <c r="Q350" s="6"/>
      <c r="R350" s="6"/>
    </row>
    <row r="351" spans="1:18" x14ac:dyDescent="0.25">
      <c r="A351" s="6" t="s">
        <v>457</v>
      </c>
      <c r="B351" s="6">
        <f>VLOOKUP(A351,[2]Metadata_isolates!$A$1:$B$370,2,FALSE)</f>
        <v>377</v>
      </c>
      <c r="C351" s="7">
        <v>5937.3</v>
      </c>
      <c r="D351" s="6">
        <v>22.3</v>
      </c>
      <c r="E351" s="7">
        <v>4279</v>
      </c>
      <c r="F351" s="6">
        <v>25.3</v>
      </c>
      <c r="G351" s="7">
        <v>241341</v>
      </c>
      <c r="H351" s="7">
        <v>8045</v>
      </c>
      <c r="I351" s="7">
        <v>5285.7</v>
      </c>
      <c r="J351" s="7">
        <v>1432917935</v>
      </c>
      <c r="K351" s="6">
        <v>99.9</v>
      </c>
      <c r="L351" s="6">
        <v>98.3</v>
      </c>
      <c r="M351" s="6">
        <v>89.1</v>
      </c>
      <c r="N351" s="6">
        <v>53.4</v>
      </c>
      <c r="O351" s="6">
        <v>8.6999999999999993</v>
      </c>
      <c r="P351" s="8">
        <f t="shared" si="5"/>
        <v>304.87615638297871</v>
      </c>
      <c r="Q351" s="6"/>
      <c r="R351" s="6"/>
    </row>
    <row r="352" spans="1:18" x14ac:dyDescent="0.25">
      <c r="A352" s="6" t="s">
        <v>280</v>
      </c>
      <c r="B352" s="6">
        <f>VLOOKUP(A352,[2]Metadata_isolates!$A$1:$B$370,2,FALSE)</f>
        <v>377</v>
      </c>
      <c r="C352" s="7">
        <v>3588</v>
      </c>
      <c r="D352" s="6">
        <v>21.9</v>
      </c>
      <c r="E352" s="7">
        <v>2583</v>
      </c>
      <c r="F352" s="6">
        <v>25.2</v>
      </c>
      <c r="G352" s="7">
        <v>412277</v>
      </c>
      <c r="H352" s="7">
        <v>4629</v>
      </c>
      <c r="I352" s="7">
        <v>3227.6</v>
      </c>
      <c r="J352" s="7">
        <v>1479232393</v>
      </c>
      <c r="K352" s="6">
        <v>99.8</v>
      </c>
      <c r="L352" s="6">
        <v>98</v>
      </c>
      <c r="M352" s="6">
        <v>88.2</v>
      </c>
      <c r="N352" s="6">
        <v>52.3</v>
      </c>
      <c r="O352" s="6">
        <v>9.6</v>
      </c>
      <c r="P352" s="8">
        <f t="shared" si="5"/>
        <v>314.73029638297874</v>
      </c>
      <c r="Q352" s="6"/>
      <c r="R352" s="6"/>
    </row>
    <row r="353" spans="1:18" x14ac:dyDescent="0.25">
      <c r="A353" s="6" t="s">
        <v>407</v>
      </c>
      <c r="B353" s="6">
        <f>VLOOKUP(A353,[2]Metadata_isolates!$A$1:$B$370,2,FALSE)</f>
        <v>377</v>
      </c>
      <c r="C353" s="7">
        <v>6811.1</v>
      </c>
      <c r="D353" s="6">
        <v>22.5</v>
      </c>
      <c r="E353" s="7">
        <v>4514</v>
      </c>
      <c r="F353" s="6">
        <v>25.4</v>
      </c>
      <c r="G353" s="7">
        <v>224126</v>
      </c>
      <c r="H353" s="7">
        <v>9603</v>
      </c>
      <c r="I353" s="7">
        <v>6976.1</v>
      </c>
      <c r="J353" s="7">
        <v>1526550226</v>
      </c>
      <c r="K353" s="6">
        <v>99.9</v>
      </c>
      <c r="L353" s="6">
        <v>98.7</v>
      </c>
      <c r="M353" s="6">
        <v>89.2</v>
      </c>
      <c r="N353" s="6">
        <v>53.9</v>
      </c>
      <c r="O353" s="6">
        <v>9.3000000000000007</v>
      </c>
      <c r="P353" s="8">
        <f t="shared" si="5"/>
        <v>324.79792042553191</v>
      </c>
      <c r="Q353" s="6"/>
      <c r="R353" s="6"/>
    </row>
    <row r="354" spans="1:18" x14ac:dyDescent="0.25">
      <c r="A354" s="6" t="s">
        <v>405</v>
      </c>
      <c r="B354" s="6">
        <f>VLOOKUP(A354,[2]Metadata_isolates!$A$1:$B$370,2,FALSE)</f>
        <v>377</v>
      </c>
      <c r="C354" s="7">
        <v>8682.5</v>
      </c>
      <c r="D354" s="6">
        <v>22.4</v>
      </c>
      <c r="E354" s="7">
        <v>6162</v>
      </c>
      <c r="F354" s="6">
        <v>25.4</v>
      </c>
      <c r="G354" s="7">
        <v>186203</v>
      </c>
      <c r="H354" s="7">
        <v>11659</v>
      </c>
      <c r="I354" s="7">
        <v>7817.6</v>
      </c>
      <c r="J354" s="7">
        <v>1616712478</v>
      </c>
      <c r="K354" s="6">
        <v>99.9</v>
      </c>
      <c r="L354" s="6">
        <v>98.5</v>
      </c>
      <c r="M354" s="6">
        <v>89.1</v>
      </c>
      <c r="N354" s="6">
        <v>54.3</v>
      </c>
      <c r="O354" s="6">
        <v>8.1999999999999993</v>
      </c>
      <c r="P354" s="8">
        <f t="shared" si="5"/>
        <v>343.98137829787237</v>
      </c>
      <c r="Q354" s="6"/>
      <c r="R354" s="6"/>
    </row>
    <row r="355" spans="1:18" x14ac:dyDescent="0.25">
      <c r="A355" s="6" t="s">
        <v>208</v>
      </c>
      <c r="B355" s="6">
        <f>VLOOKUP(A355,[2]Metadata_isolates!$A$1:$B$370,2,FALSE)</f>
        <v>377</v>
      </c>
      <c r="C355" s="7">
        <v>7702.5</v>
      </c>
      <c r="D355" s="6">
        <v>23</v>
      </c>
      <c r="E355" s="7">
        <v>5234</v>
      </c>
      <c r="F355" s="6">
        <v>25.9</v>
      </c>
      <c r="G355" s="7">
        <v>209902</v>
      </c>
      <c r="H355" s="7">
        <v>10710</v>
      </c>
      <c r="I355" s="7">
        <v>7540.7</v>
      </c>
      <c r="J355" s="7">
        <v>1616762148</v>
      </c>
      <c r="K355" s="6">
        <v>99.9</v>
      </c>
      <c r="L355" s="6">
        <v>98.9</v>
      </c>
      <c r="M355" s="6">
        <v>91.9</v>
      </c>
      <c r="N355" s="6">
        <v>60.8</v>
      </c>
      <c r="O355" s="6">
        <v>8.8000000000000007</v>
      </c>
      <c r="P355" s="8">
        <f t="shared" si="5"/>
        <v>343.99194638297871</v>
      </c>
      <c r="Q355" s="6"/>
      <c r="R355" s="6"/>
    </row>
    <row r="356" spans="1:18" x14ac:dyDescent="0.25">
      <c r="A356" s="6" t="s">
        <v>172</v>
      </c>
      <c r="B356" s="6">
        <f>VLOOKUP(A356,[2]Metadata_isolates!$A$1:$B$370,2,FALSE)</f>
        <v>377</v>
      </c>
      <c r="C356" s="7">
        <v>5090.6000000000004</v>
      </c>
      <c r="D356" s="6">
        <v>21.1</v>
      </c>
      <c r="E356" s="7">
        <v>3571</v>
      </c>
      <c r="F356" s="6">
        <v>24.4</v>
      </c>
      <c r="G356" s="7">
        <v>321777</v>
      </c>
      <c r="H356" s="7">
        <v>7164</v>
      </c>
      <c r="I356" s="7">
        <v>4854.8</v>
      </c>
      <c r="J356" s="7">
        <v>1638022509</v>
      </c>
      <c r="K356" s="6">
        <v>99.8</v>
      </c>
      <c r="L356" s="6">
        <v>97.2</v>
      </c>
      <c r="M356" s="6">
        <v>82.3</v>
      </c>
      <c r="N356" s="6">
        <v>44.4</v>
      </c>
      <c r="O356" s="6">
        <v>7.2</v>
      </c>
      <c r="P356" s="8">
        <f t="shared" si="5"/>
        <v>348.51542744680853</v>
      </c>
      <c r="Q356" s="6"/>
      <c r="R356" s="6"/>
    </row>
    <row r="357" spans="1:18" x14ac:dyDescent="0.25">
      <c r="A357" s="6" t="s">
        <v>452</v>
      </c>
      <c r="B357" s="6">
        <f>VLOOKUP(A357,[2]Metadata_isolates!$A$1:$B$370,2,FALSE)</f>
        <v>377</v>
      </c>
      <c r="C357" s="7">
        <v>5421.7</v>
      </c>
      <c r="D357" s="6">
        <v>21.9</v>
      </c>
      <c r="E357" s="7">
        <v>3970</v>
      </c>
      <c r="F357" s="6">
        <v>25.1</v>
      </c>
      <c r="G357" s="7">
        <v>306155</v>
      </c>
      <c r="H357" s="7">
        <v>7271</v>
      </c>
      <c r="I357" s="7">
        <v>4618.3999999999996</v>
      </c>
      <c r="J357" s="7">
        <v>1659871386</v>
      </c>
      <c r="K357" s="6">
        <v>99.8</v>
      </c>
      <c r="L357" s="6">
        <v>98</v>
      </c>
      <c r="M357" s="6">
        <v>87.6</v>
      </c>
      <c r="N357" s="6">
        <v>50.6</v>
      </c>
      <c r="O357" s="6">
        <v>8.3000000000000007</v>
      </c>
      <c r="P357" s="8">
        <f t="shared" si="5"/>
        <v>353.16412468085105</v>
      </c>
      <c r="Q357" s="6"/>
      <c r="R357" s="6"/>
    </row>
    <row r="358" spans="1:18" x14ac:dyDescent="0.25">
      <c r="A358" s="6" t="s">
        <v>400</v>
      </c>
      <c r="B358" s="6">
        <f>VLOOKUP(A358,[2]Metadata_isolates!$A$1:$B$370,2,FALSE)</f>
        <v>377</v>
      </c>
      <c r="C358" s="7">
        <v>7601.5</v>
      </c>
      <c r="D358" s="6">
        <v>22.6</v>
      </c>
      <c r="E358" s="7">
        <v>5179</v>
      </c>
      <c r="F358" s="6">
        <v>25.5</v>
      </c>
      <c r="G358" s="7">
        <v>234688</v>
      </c>
      <c r="H358" s="7">
        <v>10499</v>
      </c>
      <c r="I358" s="7">
        <v>7379.7</v>
      </c>
      <c r="J358" s="7">
        <v>1783971216</v>
      </c>
      <c r="K358" s="6">
        <v>99.9</v>
      </c>
      <c r="L358" s="6">
        <v>98.7</v>
      </c>
      <c r="M358" s="6">
        <v>90</v>
      </c>
      <c r="N358" s="6">
        <v>54.8</v>
      </c>
      <c r="O358" s="6">
        <v>9</v>
      </c>
      <c r="P358" s="8">
        <f t="shared" si="5"/>
        <v>379.56834382978724</v>
      </c>
      <c r="Q358" s="6"/>
      <c r="R358" s="6"/>
    </row>
    <row r="359" spans="1:18" x14ac:dyDescent="0.25">
      <c r="A359" s="6" t="s">
        <v>262</v>
      </c>
      <c r="B359" s="6">
        <f>VLOOKUP(A359,[2]Metadata_isolates!$A$1:$B$370,2,FALSE)</f>
        <v>377</v>
      </c>
      <c r="C359" s="7">
        <v>4718.1000000000004</v>
      </c>
      <c r="D359" s="6">
        <v>17.8</v>
      </c>
      <c r="E359" s="7">
        <v>3407</v>
      </c>
      <c r="F359" s="6">
        <v>21.3</v>
      </c>
      <c r="G359" s="7">
        <v>409317</v>
      </c>
      <c r="H359" s="7">
        <v>6476</v>
      </c>
      <c r="I359" s="7">
        <v>6443.9</v>
      </c>
      <c r="J359" s="7">
        <v>1931202526</v>
      </c>
      <c r="K359" s="6">
        <v>97.5</v>
      </c>
      <c r="L359" s="6">
        <v>91.9</v>
      </c>
      <c r="M359" s="6">
        <v>65.400000000000006</v>
      </c>
      <c r="N359" s="6">
        <v>9.3000000000000007</v>
      </c>
      <c r="O359" s="6">
        <v>0</v>
      </c>
      <c r="P359" s="8">
        <f t="shared" si="5"/>
        <v>410.89415446808511</v>
      </c>
      <c r="Q359" s="6"/>
      <c r="R359" s="6"/>
    </row>
    <row r="360" spans="1:18" x14ac:dyDescent="0.25">
      <c r="A360" s="6" t="s">
        <v>401</v>
      </c>
      <c r="B360" s="6">
        <f>VLOOKUP(A360,[2]Metadata_isolates!$A$1:$B$370,2,FALSE)</f>
        <v>377</v>
      </c>
      <c r="C360" s="7">
        <v>8432.5</v>
      </c>
      <c r="D360" s="6">
        <v>22.7</v>
      </c>
      <c r="E360" s="7">
        <v>5775</v>
      </c>
      <c r="F360" s="6">
        <v>25.6</v>
      </c>
      <c r="G360" s="7">
        <v>259187</v>
      </c>
      <c r="H360" s="7">
        <v>11617</v>
      </c>
      <c r="I360" s="7">
        <v>8205.9</v>
      </c>
      <c r="J360" s="7">
        <v>2185592362</v>
      </c>
      <c r="K360" s="6">
        <v>99.9</v>
      </c>
      <c r="L360" s="6">
        <v>98.8</v>
      </c>
      <c r="M360" s="6">
        <v>90.5</v>
      </c>
      <c r="N360" s="6">
        <v>56.2</v>
      </c>
      <c r="O360" s="6">
        <v>8.6999999999999993</v>
      </c>
      <c r="P360" s="8">
        <f t="shared" si="5"/>
        <v>465.01965148936171</v>
      </c>
      <c r="Q360" s="6"/>
      <c r="R360" s="6"/>
    </row>
    <row r="361" spans="1:18" x14ac:dyDescent="0.25">
      <c r="A361" s="6" t="s">
        <v>246</v>
      </c>
      <c r="B361" s="6">
        <f>VLOOKUP(A361,[2]Metadata_isolates!$A$1:$B$370,2,FALSE)</f>
        <v>377</v>
      </c>
      <c r="C361" s="7">
        <v>4800.8999999999996</v>
      </c>
      <c r="D361" s="6">
        <v>22.3</v>
      </c>
      <c r="E361" s="7">
        <v>3474</v>
      </c>
      <c r="F361" s="6">
        <v>25.5</v>
      </c>
      <c r="G361" s="7">
        <v>458615</v>
      </c>
      <c r="H361" s="7">
        <v>6523</v>
      </c>
      <c r="I361" s="7">
        <v>4389.8999999999996</v>
      </c>
      <c r="J361" s="7">
        <v>2201777571</v>
      </c>
      <c r="K361" s="6">
        <v>99.8</v>
      </c>
      <c r="L361" s="6">
        <v>98.3</v>
      </c>
      <c r="M361" s="6">
        <v>89.6</v>
      </c>
      <c r="N361" s="6">
        <v>55.6</v>
      </c>
      <c r="O361" s="6">
        <v>9.1999999999999993</v>
      </c>
      <c r="P361" s="8">
        <f t="shared" si="5"/>
        <v>468.46331297872342</v>
      </c>
      <c r="Q361" s="6"/>
      <c r="R361" s="6"/>
    </row>
    <row r="362" spans="1:18" x14ac:dyDescent="0.25">
      <c r="A362" s="6" t="s">
        <v>411</v>
      </c>
      <c r="B362" s="6">
        <f>VLOOKUP(A362,[2]Metadata_isolates!$A$1:$B$370,2,FALSE)</f>
        <v>377</v>
      </c>
      <c r="C362" s="7">
        <v>7571</v>
      </c>
      <c r="D362" s="6">
        <v>22.5</v>
      </c>
      <c r="E362" s="7">
        <v>5237</v>
      </c>
      <c r="F362" s="6">
        <v>25.3</v>
      </c>
      <c r="G362" s="7">
        <v>303824</v>
      </c>
      <c r="H362" s="7">
        <v>10325</v>
      </c>
      <c r="I362" s="7">
        <v>7172.6</v>
      </c>
      <c r="J362" s="7">
        <v>2300265316</v>
      </c>
      <c r="K362" s="6">
        <v>99.9</v>
      </c>
      <c r="L362" s="6">
        <v>98.7</v>
      </c>
      <c r="M362" s="6">
        <v>89.3</v>
      </c>
      <c r="N362" s="6">
        <v>53.5</v>
      </c>
      <c r="O362" s="6">
        <v>8.6</v>
      </c>
      <c r="P362" s="8">
        <f t="shared" si="5"/>
        <v>489.41815234042554</v>
      </c>
      <c r="Q362" s="6"/>
      <c r="R362" s="6"/>
    </row>
    <row r="363" spans="1:18" x14ac:dyDescent="0.25">
      <c r="A363" s="6" t="s">
        <v>408</v>
      </c>
      <c r="B363" s="6">
        <f>VLOOKUP(A363,[2]Metadata_isolates!$A$1:$B$370,2,FALSE)</f>
        <v>377</v>
      </c>
      <c r="C363" s="7">
        <v>5536.6</v>
      </c>
      <c r="D363" s="6">
        <v>22.3</v>
      </c>
      <c r="E363" s="7">
        <v>3673</v>
      </c>
      <c r="F363" s="6">
        <v>25.2</v>
      </c>
      <c r="G363" s="7">
        <v>417011</v>
      </c>
      <c r="H363" s="7">
        <v>7760</v>
      </c>
      <c r="I363" s="7">
        <v>5753.3</v>
      </c>
      <c r="J363" s="7">
        <v>2308826314</v>
      </c>
      <c r="K363" s="6">
        <v>99.9</v>
      </c>
      <c r="L363" s="6">
        <v>98.6</v>
      </c>
      <c r="M363" s="6">
        <v>88.2</v>
      </c>
      <c r="N363" s="6">
        <v>52</v>
      </c>
      <c r="O363" s="6">
        <v>9.6999999999999993</v>
      </c>
      <c r="P363" s="8">
        <f t="shared" si="5"/>
        <v>491.23964127659576</v>
      </c>
      <c r="Q363" s="6"/>
      <c r="R363" s="6"/>
    </row>
    <row r="364" spans="1:18" x14ac:dyDescent="0.25">
      <c r="A364" s="6" t="s">
        <v>409</v>
      </c>
      <c r="B364" s="6">
        <f>VLOOKUP(A364,[2]Metadata_isolates!$A$1:$B$370,2,FALSE)</f>
        <v>377</v>
      </c>
      <c r="C364" s="7">
        <v>6761.1</v>
      </c>
      <c r="D364" s="6">
        <v>22.7</v>
      </c>
      <c r="E364" s="7">
        <v>4608</v>
      </c>
      <c r="F364" s="6">
        <v>25.5</v>
      </c>
      <c r="G364" s="7">
        <v>366152</v>
      </c>
      <c r="H364" s="7">
        <v>9248</v>
      </c>
      <c r="I364" s="7">
        <v>6612</v>
      </c>
      <c r="J364" s="7">
        <v>2475574441</v>
      </c>
      <c r="K364" s="6">
        <v>99.9</v>
      </c>
      <c r="L364" s="6">
        <v>98.8</v>
      </c>
      <c r="M364" s="6">
        <v>90.1</v>
      </c>
      <c r="N364" s="6">
        <v>55.7</v>
      </c>
      <c r="O364" s="6">
        <v>9.6</v>
      </c>
      <c r="P364" s="8">
        <f t="shared" si="5"/>
        <v>526.71796617021278</v>
      </c>
      <c r="Q364" s="6"/>
      <c r="R364" s="6"/>
    </row>
    <row r="365" spans="1:18" x14ac:dyDescent="0.25">
      <c r="A365" s="6" t="s">
        <v>171</v>
      </c>
      <c r="B365" s="6">
        <f>VLOOKUP(A365,[2]Metadata_isolates!$A$1:$B$370,2,FALSE)</f>
        <v>377</v>
      </c>
      <c r="C365" s="7">
        <v>4087.5</v>
      </c>
      <c r="D365" s="6">
        <v>20.5</v>
      </c>
      <c r="E365" s="7">
        <v>3011</v>
      </c>
      <c r="F365" s="6">
        <v>24</v>
      </c>
      <c r="G365" s="7">
        <v>613763</v>
      </c>
      <c r="H365" s="7">
        <v>5446</v>
      </c>
      <c r="I365" s="7">
        <v>3472.9</v>
      </c>
      <c r="J365" s="7">
        <v>2508738526</v>
      </c>
      <c r="K365" s="6">
        <v>99.6</v>
      </c>
      <c r="L365" s="6">
        <v>96.4</v>
      </c>
      <c r="M365" s="6">
        <v>80</v>
      </c>
      <c r="N365" s="6">
        <v>40.1</v>
      </c>
      <c r="O365" s="6">
        <v>5.6</v>
      </c>
      <c r="P365" s="8">
        <f t="shared" si="5"/>
        <v>533.77415446808516</v>
      </c>
      <c r="Q365" s="6"/>
      <c r="R365" s="6"/>
    </row>
    <row r="366" spans="1:18" x14ac:dyDescent="0.25">
      <c r="A366" s="6" t="s">
        <v>399</v>
      </c>
      <c r="B366" s="6">
        <f>VLOOKUP(A366,[2]Metadata_isolates!$A$1:$B$370,2,FALSE)</f>
        <v>377</v>
      </c>
      <c r="C366" s="7">
        <v>8214.1</v>
      </c>
      <c r="D366" s="6">
        <v>22.6</v>
      </c>
      <c r="E366" s="7">
        <v>5737</v>
      </c>
      <c r="F366" s="6">
        <v>25.4</v>
      </c>
      <c r="G366" s="7">
        <v>331866</v>
      </c>
      <c r="H366" s="7">
        <v>11085</v>
      </c>
      <c r="I366" s="7">
        <v>7714.6</v>
      </c>
      <c r="J366" s="7">
        <v>2725969289</v>
      </c>
      <c r="K366" s="6">
        <v>99.9</v>
      </c>
      <c r="L366" s="6">
        <v>98.8</v>
      </c>
      <c r="M366" s="6">
        <v>89.8</v>
      </c>
      <c r="N366" s="6">
        <v>54.5</v>
      </c>
      <c r="O366" s="6">
        <v>8.9</v>
      </c>
      <c r="P366" s="8">
        <f t="shared" si="5"/>
        <v>579.99346574468086</v>
      </c>
      <c r="Q366" s="6"/>
      <c r="R366" s="6"/>
    </row>
    <row r="367" spans="1:18" x14ac:dyDescent="0.25">
      <c r="A367" s="6" t="s">
        <v>205</v>
      </c>
      <c r="B367" s="6">
        <f>VLOOKUP(A367,[2]Metadata_isolates!$A$1:$B$370,2,FALSE)</f>
        <v>377</v>
      </c>
      <c r="C367" s="7">
        <v>8602.4</v>
      </c>
      <c r="D367" s="6">
        <v>23</v>
      </c>
      <c r="E367" s="7">
        <v>5899</v>
      </c>
      <c r="F367" s="6">
        <v>25.9</v>
      </c>
      <c r="G367" s="7">
        <v>636199</v>
      </c>
      <c r="H367" s="7">
        <v>11946</v>
      </c>
      <c r="I367" s="7">
        <v>8081.2</v>
      </c>
      <c r="J367" s="7">
        <v>5472838582</v>
      </c>
      <c r="K367" s="6">
        <v>100</v>
      </c>
      <c r="L367" s="6">
        <v>98.8</v>
      </c>
      <c r="M367" s="6">
        <v>91.5</v>
      </c>
      <c r="N367" s="6">
        <v>60.3</v>
      </c>
      <c r="O367" s="6">
        <v>8.5</v>
      </c>
      <c r="P367" s="8">
        <f t="shared" si="5"/>
        <v>1164.4337408510639</v>
      </c>
      <c r="Q367" s="6"/>
      <c r="R367" s="6"/>
    </row>
    <row r="368" spans="1:18" x14ac:dyDescent="0.25">
      <c r="A368" s="6" t="s">
        <v>202</v>
      </c>
      <c r="B368" s="6">
        <f>VLOOKUP(A368,[2]Metadata_isolates!$A$1:$B$370,2,FALSE)</f>
        <v>377</v>
      </c>
      <c r="C368" s="7">
        <v>9905.2000000000007</v>
      </c>
      <c r="D368" s="6">
        <v>22.9</v>
      </c>
      <c r="E368" s="7">
        <v>7034</v>
      </c>
      <c r="F368" s="6">
        <v>25.7</v>
      </c>
      <c r="G368" s="7">
        <v>574674</v>
      </c>
      <c r="H368" s="7">
        <v>13301</v>
      </c>
      <c r="I368" s="7">
        <v>8834.7999999999993</v>
      </c>
      <c r="J368" s="7">
        <v>5692263460</v>
      </c>
      <c r="K368" s="6">
        <v>100</v>
      </c>
      <c r="L368" s="6">
        <v>98.8</v>
      </c>
      <c r="M368" s="6">
        <v>91.5</v>
      </c>
      <c r="N368" s="6">
        <v>58</v>
      </c>
      <c r="O368" s="6">
        <v>7</v>
      </c>
      <c r="P368" s="8">
        <f t="shared" si="5"/>
        <v>1211.119885106383</v>
      </c>
      <c r="Q368" s="6"/>
      <c r="R368" s="6"/>
    </row>
    <row r="369" spans="1:18" x14ac:dyDescent="0.25">
      <c r="A369" s="6" t="s">
        <v>203</v>
      </c>
      <c r="B369" s="6">
        <f>VLOOKUP(A369,[2]Metadata_isolates!$A$1:$B$370,2,FALSE)</f>
        <v>377</v>
      </c>
      <c r="C369" s="7">
        <v>8567.4</v>
      </c>
      <c r="D369" s="6">
        <v>23.2</v>
      </c>
      <c r="E369" s="7">
        <v>5928</v>
      </c>
      <c r="F369" s="6">
        <v>26</v>
      </c>
      <c r="G369" s="7">
        <v>723537</v>
      </c>
      <c r="H369" s="7">
        <v>11755</v>
      </c>
      <c r="I369" s="7">
        <v>8031</v>
      </c>
      <c r="J369" s="7">
        <v>6198859531</v>
      </c>
      <c r="K369" s="6">
        <v>100</v>
      </c>
      <c r="L369" s="6">
        <v>98.9</v>
      </c>
      <c r="M369" s="6">
        <v>92.2</v>
      </c>
      <c r="N369" s="6">
        <v>62</v>
      </c>
      <c r="O369" s="6">
        <v>8.4</v>
      </c>
      <c r="P369" s="8">
        <f t="shared" si="5"/>
        <v>1318.9062831914894</v>
      </c>
      <c r="Q369" s="6"/>
      <c r="R369" s="6"/>
    </row>
    <row r="370" spans="1:18" x14ac:dyDescent="0.25">
      <c r="A370" s="6" t="s">
        <v>200</v>
      </c>
      <c r="B370" s="6">
        <f>VLOOKUP(A370,[2]Metadata_isolates!$A$1:$B$370,2,FALSE)</f>
        <v>377</v>
      </c>
      <c r="C370" s="7">
        <v>8386.7000000000007</v>
      </c>
      <c r="D370" s="6">
        <v>23.1</v>
      </c>
      <c r="E370" s="7">
        <v>5841</v>
      </c>
      <c r="F370" s="6">
        <v>26</v>
      </c>
      <c r="G370" s="7">
        <v>831629</v>
      </c>
      <c r="H370" s="7">
        <v>11362</v>
      </c>
      <c r="I370" s="7">
        <v>7862.8</v>
      </c>
      <c r="J370" s="7">
        <v>6974623574</v>
      </c>
      <c r="K370" s="6">
        <v>100</v>
      </c>
      <c r="L370" s="6">
        <v>98.9</v>
      </c>
      <c r="M370" s="6">
        <v>92.1</v>
      </c>
      <c r="N370" s="6">
        <v>61.6</v>
      </c>
      <c r="O370" s="6">
        <v>8.5</v>
      </c>
      <c r="P370" s="8">
        <f t="shared" si="5"/>
        <v>1483.9624625531915</v>
      </c>
      <c r="Q370" s="6"/>
      <c r="R370" s="6"/>
    </row>
    <row r="371" spans="1:18" x14ac:dyDescent="0.25">
      <c r="C371" s="1"/>
      <c r="E371" s="1"/>
      <c r="G371" s="1"/>
      <c r="H371" s="1"/>
      <c r="I371" s="1"/>
      <c r="J371" s="1"/>
    </row>
  </sheetData>
  <autoFilter ref="A1:P371" xr:uid="{D2D9633E-3A61-4A4E-854A-873F7E5CD27A}"/>
  <sortState xmlns:xlrd2="http://schemas.microsoft.com/office/spreadsheetml/2017/richdata2" ref="A2:Q371">
    <sortCondition ref="P1:P3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43C1-33E7-4219-8889-C0451DE65DDD}">
  <dimension ref="A1:Q79"/>
  <sheetViews>
    <sheetView topLeftCell="A45" workbookViewId="0">
      <selection activeCell="F61" sqref="F6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13.140625" bestFit="1" customWidth="1"/>
    <col min="4" max="4" width="13.5703125" bestFit="1" customWidth="1"/>
    <col min="5" max="5" width="14.85546875" bestFit="1" customWidth="1"/>
    <col min="6" max="6" width="10.28515625" bestFit="1" customWidth="1"/>
    <col min="8" max="8" width="11.42578125" bestFit="1" customWidth="1"/>
    <col min="9" max="9" width="15.42578125" bestFit="1" customWidth="1"/>
    <col min="10" max="14" width="10.28515625" bestFit="1" customWidth="1"/>
    <col min="15" max="15" width="17.28515625" bestFit="1" customWidth="1"/>
  </cols>
  <sheetData>
    <row r="1" spans="1:16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17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</row>
    <row r="2" spans="1:16" x14ac:dyDescent="0.25">
      <c r="A2" s="3" t="s">
        <v>485</v>
      </c>
      <c r="B2" s="4">
        <v>1865.9</v>
      </c>
      <c r="C2" s="3">
        <v>17.3</v>
      </c>
      <c r="D2" s="4">
        <v>1510</v>
      </c>
      <c r="E2" s="3">
        <v>20.3</v>
      </c>
      <c r="F2" s="4">
        <v>60348</v>
      </c>
      <c r="G2" s="4">
        <v>1902</v>
      </c>
      <c r="H2" s="4">
        <v>1321.2</v>
      </c>
      <c r="I2" s="4">
        <v>112600802</v>
      </c>
      <c r="J2" s="3">
        <v>98.3</v>
      </c>
      <c r="K2" s="3">
        <v>88.8</v>
      </c>
      <c r="L2" s="3">
        <v>53.5</v>
      </c>
      <c r="M2" s="3">
        <v>9.3000000000000007</v>
      </c>
      <c r="N2" s="3">
        <v>0.8</v>
      </c>
      <c r="O2" s="5">
        <f t="shared" ref="O2:O33" si="0">I2/4700000</f>
        <v>23.957617446808509</v>
      </c>
      <c r="P2" t="s">
        <v>563</v>
      </c>
    </row>
    <row r="3" spans="1:16" x14ac:dyDescent="0.25">
      <c r="A3" s="3" t="s">
        <v>486</v>
      </c>
      <c r="B3" s="4">
        <v>1752.6</v>
      </c>
      <c r="C3" s="3">
        <v>17.100000000000001</v>
      </c>
      <c r="D3" s="4">
        <v>1470</v>
      </c>
      <c r="E3" s="3">
        <v>20.2</v>
      </c>
      <c r="F3" s="4">
        <v>66528</v>
      </c>
      <c r="G3" s="4">
        <v>1769</v>
      </c>
      <c r="H3" s="4">
        <v>1181.5999999999999</v>
      </c>
      <c r="I3" s="4">
        <v>116596132</v>
      </c>
      <c r="J3" s="3">
        <v>98.1</v>
      </c>
      <c r="K3" s="3">
        <v>88.1</v>
      </c>
      <c r="L3" s="3">
        <v>51.6</v>
      </c>
      <c r="M3" s="3">
        <v>9</v>
      </c>
      <c r="N3" s="3">
        <v>0.9</v>
      </c>
      <c r="O3" s="5">
        <f t="shared" si="0"/>
        <v>24.807687659574469</v>
      </c>
      <c r="P3" t="s">
        <v>563</v>
      </c>
    </row>
    <row r="4" spans="1:16" x14ac:dyDescent="0.25">
      <c r="A4" s="3" t="s">
        <v>487</v>
      </c>
      <c r="B4" s="4">
        <v>1992</v>
      </c>
      <c r="C4" s="3">
        <v>17.399999999999999</v>
      </c>
      <c r="D4" s="4">
        <v>1584</v>
      </c>
      <c r="E4" s="3">
        <v>20.5</v>
      </c>
      <c r="F4" s="4">
        <v>69521</v>
      </c>
      <c r="G4" s="4">
        <v>2079</v>
      </c>
      <c r="H4" s="4">
        <v>1409.9</v>
      </c>
      <c r="I4" s="4">
        <v>138485545</v>
      </c>
      <c r="J4" s="3">
        <v>98.4</v>
      </c>
      <c r="K4" s="3">
        <v>88.6</v>
      </c>
      <c r="L4" s="3">
        <v>54.9</v>
      </c>
      <c r="M4" s="3">
        <v>11.1</v>
      </c>
      <c r="N4" s="3">
        <v>1.1000000000000001</v>
      </c>
      <c r="O4" s="5">
        <f t="shared" si="0"/>
        <v>29.465009574468084</v>
      </c>
      <c r="P4" t="s">
        <v>563</v>
      </c>
    </row>
    <row r="5" spans="1:16" x14ac:dyDescent="0.25">
      <c r="A5" s="6" t="s">
        <v>488</v>
      </c>
      <c r="B5" s="7">
        <v>5399.5</v>
      </c>
      <c r="C5" s="6">
        <v>19.100000000000001</v>
      </c>
      <c r="D5" s="7">
        <v>3875</v>
      </c>
      <c r="E5" s="6">
        <v>22.1</v>
      </c>
      <c r="F5" s="7">
        <v>27653</v>
      </c>
      <c r="G5" s="7">
        <v>7883</v>
      </c>
      <c r="H5" s="7">
        <v>4901.8999999999996</v>
      </c>
      <c r="I5" s="7">
        <v>149312826</v>
      </c>
      <c r="J5" s="6">
        <v>99.5</v>
      </c>
      <c r="K5" s="6">
        <v>94.2</v>
      </c>
      <c r="L5" s="6">
        <v>69.900000000000006</v>
      </c>
      <c r="M5" s="6">
        <v>18.7</v>
      </c>
      <c r="N5" s="6">
        <v>1.1000000000000001</v>
      </c>
      <c r="O5" s="8">
        <f t="shared" si="0"/>
        <v>31.768686382978725</v>
      </c>
      <c r="P5" s="6"/>
    </row>
    <row r="6" spans="1:16" x14ac:dyDescent="0.25">
      <c r="A6" s="6" t="s">
        <v>489</v>
      </c>
      <c r="B6" s="7">
        <v>7719.7</v>
      </c>
      <c r="C6" s="6">
        <v>19.899999999999999</v>
      </c>
      <c r="D6" s="7">
        <v>5521</v>
      </c>
      <c r="E6" s="6">
        <v>22.8</v>
      </c>
      <c r="F6" s="7">
        <v>31011</v>
      </c>
      <c r="G6" s="7">
        <v>10999</v>
      </c>
      <c r="H6" s="7">
        <v>6747.9</v>
      </c>
      <c r="I6" s="7">
        <v>239396299</v>
      </c>
      <c r="J6" s="6">
        <v>99.9</v>
      </c>
      <c r="K6" s="6">
        <v>95.3</v>
      </c>
      <c r="L6" s="6">
        <v>75.599999999999994</v>
      </c>
      <c r="M6" s="6">
        <v>24.7</v>
      </c>
      <c r="N6" s="6">
        <v>1.1000000000000001</v>
      </c>
      <c r="O6" s="8">
        <f t="shared" si="0"/>
        <v>50.935382765957449</v>
      </c>
      <c r="P6" s="6"/>
    </row>
    <row r="7" spans="1:16" x14ac:dyDescent="0.25">
      <c r="A7" s="6" t="s">
        <v>490</v>
      </c>
      <c r="B7" s="7">
        <v>6153.9</v>
      </c>
      <c r="C7" s="6">
        <v>19.899999999999999</v>
      </c>
      <c r="D7" s="7">
        <v>4439</v>
      </c>
      <c r="E7" s="6">
        <v>22.7</v>
      </c>
      <c r="F7" s="7">
        <v>48186</v>
      </c>
      <c r="G7" s="7">
        <v>8607</v>
      </c>
      <c r="H7" s="7">
        <v>5350.6</v>
      </c>
      <c r="I7" s="7">
        <v>296533345</v>
      </c>
      <c r="J7" s="6">
        <v>99.8</v>
      </c>
      <c r="K7" s="6">
        <v>95.6</v>
      </c>
      <c r="L7" s="6">
        <v>76.099999999999994</v>
      </c>
      <c r="M7" s="6">
        <v>22</v>
      </c>
      <c r="N7" s="6">
        <v>1.1000000000000001</v>
      </c>
      <c r="O7" s="8">
        <f t="shared" si="0"/>
        <v>63.092201063829791</v>
      </c>
      <c r="P7" s="6"/>
    </row>
    <row r="8" spans="1:16" x14ac:dyDescent="0.25">
      <c r="A8" s="6" t="s">
        <v>491</v>
      </c>
      <c r="B8" s="7">
        <v>7887.3</v>
      </c>
      <c r="C8" s="6">
        <v>20.399999999999999</v>
      </c>
      <c r="D8" s="7">
        <v>5658</v>
      </c>
      <c r="E8" s="6">
        <v>23.3</v>
      </c>
      <c r="F8" s="7">
        <v>38704</v>
      </c>
      <c r="G8" s="7">
        <v>11108</v>
      </c>
      <c r="H8" s="7">
        <v>7310.7</v>
      </c>
      <c r="I8" s="7">
        <v>305271951</v>
      </c>
      <c r="J8" s="6">
        <v>99.8</v>
      </c>
      <c r="K8" s="6">
        <v>96.2</v>
      </c>
      <c r="L8" s="6">
        <v>78.599999999999994</v>
      </c>
      <c r="M8" s="6">
        <v>30.1</v>
      </c>
      <c r="N8" s="6">
        <v>1.9</v>
      </c>
      <c r="O8" s="8">
        <f t="shared" si="0"/>
        <v>64.951478936170219</v>
      </c>
      <c r="P8" s="6"/>
    </row>
    <row r="9" spans="1:16" x14ac:dyDescent="0.25">
      <c r="A9" s="6" t="s">
        <v>492</v>
      </c>
      <c r="B9" s="7">
        <v>5866.8</v>
      </c>
      <c r="C9" s="6">
        <v>19.7</v>
      </c>
      <c r="D9" s="7">
        <v>4132</v>
      </c>
      <c r="E9" s="6">
        <v>22.3</v>
      </c>
      <c r="F9" s="7">
        <v>52694</v>
      </c>
      <c r="G9" s="7">
        <v>8198</v>
      </c>
      <c r="H9" s="7">
        <v>5585</v>
      </c>
      <c r="I9" s="7">
        <v>309146196</v>
      </c>
      <c r="J9" s="6">
        <v>99.8</v>
      </c>
      <c r="K9" s="6">
        <v>95.5</v>
      </c>
      <c r="L9" s="6">
        <v>72</v>
      </c>
      <c r="M9" s="6">
        <v>20.100000000000001</v>
      </c>
      <c r="N9" s="6">
        <v>1</v>
      </c>
      <c r="O9" s="8">
        <f t="shared" si="0"/>
        <v>65.775786382978723</v>
      </c>
      <c r="P9" s="6"/>
    </row>
    <row r="10" spans="1:16" x14ac:dyDescent="0.25">
      <c r="A10" s="6" t="s">
        <v>493</v>
      </c>
      <c r="B10" s="7">
        <v>8872.1</v>
      </c>
      <c r="C10" s="6">
        <v>20.2</v>
      </c>
      <c r="D10" s="7">
        <v>6456.5</v>
      </c>
      <c r="E10" s="6">
        <v>23.2</v>
      </c>
      <c r="F10" s="7">
        <v>34962</v>
      </c>
      <c r="G10" s="7">
        <v>12342</v>
      </c>
      <c r="H10" s="7">
        <v>7631.9</v>
      </c>
      <c r="I10" s="7">
        <v>310185662</v>
      </c>
      <c r="J10" s="6">
        <v>99.9</v>
      </c>
      <c r="K10" s="6">
        <v>95.9</v>
      </c>
      <c r="L10" s="6">
        <v>78</v>
      </c>
      <c r="M10" s="6">
        <v>28.4</v>
      </c>
      <c r="N10" s="6">
        <v>1.4</v>
      </c>
      <c r="O10" s="8">
        <f t="shared" si="0"/>
        <v>65.996949361702121</v>
      </c>
      <c r="P10" s="6"/>
    </row>
    <row r="11" spans="1:16" x14ac:dyDescent="0.25">
      <c r="A11" s="6" t="s">
        <v>494</v>
      </c>
      <c r="B11" s="7">
        <v>6996.5</v>
      </c>
      <c r="C11" s="6">
        <v>20.2</v>
      </c>
      <c r="D11" s="7">
        <v>4989</v>
      </c>
      <c r="E11" s="6">
        <v>22.9</v>
      </c>
      <c r="F11" s="7">
        <v>46964</v>
      </c>
      <c r="G11" s="7">
        <v>9787</v>
      </c>
      <c r="H11" s="7">
        <v>6359.5</v>
      </c>
      <c r="I11" s="7">
        <v>328584897</v>
      </c>
      <c r="J11" s="6">
        <v>99.8</v>
      </c>
      <c r="K11" s="6">
        <v>96.2</v>
      </c>
      <c r="L11" s="6">
        <v>78.3</v>
      </c>
      <c r="M11" s="6">
        <v>23.8</v>
      </c>
      <c r="N11" s="6">
        <v>1</v>
      </c>
      <c r="O11" s="8">
        <f t="shared" si="0"/>
        <v>69.911680212765958</v>
      </c>
      <c r="P11" s="6"/>
    </row>
    <row r="12" spans="1:16" x14ac:dyDescent="0.25">
      <c r="A12" s="6" t="s">
        <v>495</v>
      </c>
      <c r="B12" s="7">
        <v>6712.3</v>
      </c>
      <c r="C12" s="6">
        <v>20</v>
      </c>
      <c r="D12" s="7">
        <v>4794</v>
      </c>
      <c r="E12" s="6">
        <v>23</v>
      </c>
      <c r="F12" s="7">
        <v>49804</v>
      </c>
      <c r="G12" s="7">
        <v>9449</v>
      </c>
      <c r="H12" s="7">
        <v>5963.5</v>
      </c>
      <c r="I12" s="7">
        <v>334301765</v>
      </c>
      <c r="J12" s="6">
        <v>99.8</v>
      </c>
      <c r="K12" s="6">
        <v>95.3</v>
      </c>
      <c r="L12" s="6">
        <v>76.3</v>
      </c>
      <c r="M12" s="6">
        <v>27.9</v>
      </c>
      <c r="N12" s="6">
        <v>1.8</v>
      </c>
      <c r="O12" s="8">
        <f t="shared" si="0"/>
        <v>71.128035106382981</v>
      </c>
      <c r="P12" s="6"/>
    </row>
    <row r="13" spans="1:16" x14ac:dyDescent="0.25">
      <c r="A13" s="6" t="s">
        <v>496</v>
      </c>
      <c r="B13" s="7">
        <v>5384.3</v>
      </c>
      <c r="C13" s="6">
        <v>20.100000000000001</v>
      </c>
      <c r="D13" s="7">
        <v>3835</v>
      </c>
      <c r="E13" s="6">
        <v>23</v>
      </c>
      <c r="F13" s="7">
        <v>63252</v>
      </c>
      <c r="G13" s="7">
        <v>7548</v>
      </c>
      <c r="H13" s="7">
        <v>4829.8999999999996</v>
      </c>
      <c r="I13" s="7">
        <v>340567867</v>
      </c>
      <c r="J13" s="6">
        <v>99.8</v>
      </c>
      <c r="K13" s="6">
        <v>95.9</v>
      </c>
      <c r="L13" s="6">
        <v>76.7</v>
      </c>
      <c r="M13" s="6">
        <v>26.8</v>
      </c>
      <c r="N13" s="6">
        <v>2</v>
      </c>
      <c r="O13" s="8">
        <f t="shared" si="0"/>
        <v>72.461248297872345</v>
      </c>
      <c r="P13" s="6"/>
    </row>
    <row r="14" spans="1:16" x14ac:dyDescent="0.25">
      <c r="A14" s="6" t="s">
        <v>497</v>
      </c>
      <c r="B14" s="7">
        <v>8137.6</v>
      </c>
      <c r="C14" s="6">
        <v>20.399999999999999</v>
      </c>
      <c r="D14" s="7">
        <v>5835</v>
      </c>
      <c r="E14" s="6">
        <v>23.3</v>
      </c>
      <c r="F14" s="7">
        <v>44649</v>
      </c>
      <c r="G14" s="7">
        <v>11350</v>
      </c>
      <c r="H14" s="7">
        <v>8680.2999999999993</v>
      </c>
      <c r="I14" s="7">
        <v>363334043</v>
      </c>
      <c r="J14" s="6">
        <v>99.8</v>
      </c>
      <c r="K14" s="6">
        <v>96.2</v>
      </c>
      <c r="L14" s="6">
        <v>79.099999999999994</v>
      </c>
      <c r="M14" s="6">
        <v>30.1</v>
      </c>
      <c r="N14" s="6">
        <v>1.7</v>
      </c>
      <c r="O14" s="8">
        <f t="shared" si="0"/>
        <v>77.305115531914893</v>
      </c>
      <c r="P14" s="6"/>
    </row>
    <row r="15" spans="1:16" x14ac:dyDescent="0.25">
      <c r="A15" s="6" t="s">
        <v>498</v>
      </c>
      <c r="B15" s="7">
        <v>5277.7</v>
      </c>
      <c r="C15" s="6">
        <v>19.5</v>
      </c>
      <c r="D15" s="7">
        <v>3682</v>
      </c>
      <c r="E15" s="6">
        <v>22.4</v>
      </c>
      <c r="F15" s="7">
        <v>69764</v>
      </c>
      <c r="G15" s="7">
        <v>7664</v>
      </c>
      <c r="H15" s="7">
        <v>4896.1000000000004</v>
      </c>
      <c r="I15" s="7">
        <v>368192783</v>
      </c>
      <c r="J15" s="6">
        <v>99.7</v>
      </c>
      <c r="K15" s="6">
        <v>94.9</v>
      </c>
      <c r="L15" s="6">
        <v>73.400000000000006</v>
      </c>
      <c r="M15" s="6">
        <v>19.899999999999999</v>
      </c>
      <c r="N15" s="6">
        <v>1.2</v>
      </c>
      <c r="O15" s="8">
        <f t="shared" si="0"/>
        <v>78.338890000000006</v>
      </c>
      <c r="P15" s="6"/>
    </row>
    <row r="16" spans="1:16" x14ac:dyDescent="0.25">
      <c r="A16" s="6" t="s">
        <v>499</v>
      </c>
      <c r="B16" s="7">
        <v>6107.2</v>
      </c>
      <c r="C16" s="6">
        <v>20.3</v>
      </c>
      <c r="D16" s="7">
        <v>4323</v>
      </c>
      <c r="E16" s="6">
        <v>23.3</v>
      </c>
      <c r="F16" s="7">
        <v>60327</v>
      </c>
      <c r="G16" s="7">
        <v>8680</v>
      </c>
      <c r="H16" s="7">
        <v>5530.8</v>
      </c>
      <c r="I16" s="7">
        <v>368428357</v>
      </c>
      <c r="J16" s="6">
        <v>99.8</v>
      </c>
      <c r="K16" s="6">
        <v>96.1</v>
      </c>
      <c r="L16" s="6">
        <v>78.5</v>
      </c>
      <c r="M16" s="6">
        <v>30.3</v>
      </c>
      <c r="N16" s="6">
        <v>2.2999999999999998</v>
      </c>
      <c r="O16" s="8">
        <f t="shared" si="0"/>
        <v>78.389012127659569</v>
      </c>
      <c r="P16" s="6"/>
    </row>
    <row r="17" spans="1:16" x14ac:dyDescent="0.25">
      <c r="A17" s="6" t="s">
        <v>500</v>
      </c>
      <c r="B17" s="7">
        <v>6117.3</v>
      </c>
      <c r="C17" s="6">
        <v>20.100000000000001</v>
      </c>
      <c r="D17" s="7">
        <v>4272</v>
      </c>
      <c r="E17" s="6">
        <v>23.1</v>
      </c>
      <c r="F17" s="7">
        <v>61322</v>
      </c>
      <c r="G17" s="7">
        <v>8726</v>
      </c>
      <c r="H17" s="7">
        <v>5604.6</v>
      </c>
      <c r="I17" s="7">
        <v>375122112</v>
      </c>
      <c r="J17" s="6">
        <v>99.8</v>
      </c>
      <c r="K17" s="6">
        <v>95.7</v>
      </c>
      <c r="L17" s="6">
        <v>77</v>
      </c>
      <c r="M17" s="6">
        <v>29</v>
      </c>
      <c r="N17" s="6">
        <v>2.1</v>
      </c>
      <c r="O17" s="8">
        <f t="shared" si="0"/>
        <v>79.813215319148938</v>
      </c>
      <c r="P17" s="6"/>
    </row>
    <row r="18" spans="1:16" x14ac:dyDescent="0.25">
      <c r="A18" s="6" t="s">
        <v>501</v>
      </c>
      <c r="B18" s="7">
        <v>6254.6</v>
      </c>
      <c r="C18" s="6">
        <v>20.3</v>
      </c>
      <c r="D18" s="7">
        <v>4524</v>
      </c>
      <c r="E18" s="6">
        <v>23.2</v>
      </c>
      <c r="F18" s="7">
        <v>62320</v>
      </c>
      <c r="G18" s="7">
        <v>8704</v>
      </c>
      <c r="H18" s="7">
        <v>5413.5</v>
      </c>
      <c r="I18" s="7">
        <v>389785698</v>
      </c>
      <c r="J18" s="6">
        <v>99.9</v>
      </c>
      <c r="K18" s="6">
        <v>95.9</v>
      </c>
      <c r="L18" s="6">
        <v>78</v>
      </c>
      <c r="M18" s="6">
        <v>29.6</v>
      </c>
      <c r="N18" s="6">
        <v>2.2000000000000002</v>
      </c>
      <c r="O18" s="8">
        <f t="shared" si="0"/>
        <v>82.933127234042558</v>
      </c>
      <c r="P18" s="6"/>
    </row>
    <row r="19" spans="1:16" x14ac:dyDescent="0.25">
      <c r="A19" s="6" t="s">
        <v>502</v>
      </c>
      <c r="B19" s="7">
        <v>6658.9</v>
      </c>
      <c r="C19" s="6">
        <v>20.3</v>
      </c>
      <c r="D19" s="7">
        <v>4836.5</v>
      </c>
      <c r="E19" s="6">
        <v>23.2</v>
      </c>
      <c r="F19" s="7">
        <v>58934</v>
      </c>
      <c r="G19" s="7">
        <v>9121</v>
      </c>
      <c r="H19" s="7">
        <v>5680.2</v>
      </c>
      <c r="I19" s="7">
        <v>392437022</v>
      </c>
      <c r="J19" s="6">
        <v>99.8</v>
      </c>
      <c r="K19" s="6">
        <v>96.2</v>
      </c>
      <c r="L19" s="6">
        <v>78.3</v>
      </c>
      <c r="M19" s="6">
        <v>30.2</v>
      </c>
      <c r="N19" s="6">
        <v>2</v>
      </c>
      <c r="O19" s="8">
        <f t="shared" si="0"/>
        <v>83.497238723404251</v>
      </c>
      <c r="P19" s="6"/>
    </row>
    <row r="20" spans="1:16" x14ac:dyDescent="0.25">
      <c r="A20" s="6" t="s">
        <v>503</v>
      </c>
      <c r="B20" s="7">
        <v>5335.9</v>
      </c>
      <c r="C20" s="6">
        <v>20.3</v>
      </c>
      <c r="D20" s="7">
        <v>3660</v>
      </c>
      <c r="E20" s="6">
        <v>23.2</v>
      </c>
      <c r="F20" s="7">
        <v>74006</v>
      </c>
      <c r="G20" s="7">
        <v>7672</v>
      </c>
      <c r="H20" s="7">
        <v>5072.8</v>
      </c>
      <c r="I20" s="7">
        <v>394886517</v>
      </c>
      <c r="J20" s="6">
        <v>99.9</v>
      </c>
      <c r="K20" s="6">
        <v>95.9</v>
      </c>
      <c r="L20" s="6">
        <v>77.8</v>
      </c>
      <c r="M20" s="6">
        <v>29.2</v>
      </c>
      <c r="N20" s="6">
        <v>2.4</v>
      </c>
      <c r="O20" s="8">
        <f t="shared" si="0"/>
        <v>84.018407872340433</v>
      </c>
      <c r="P20" s="6"/>
    </row>
    <row r="21" spans="1:16" x14ac:dyDescent="0.25">
      <c r="A21" s="6" t="s">
        <v>504</v>
      </c>
      <c r="B21" s="7">
        <v>7223.6</v>
      </c>
      <c r="C21" s="6">
        <v>20.2</v>
      </c>
      <c r="D21" s="7">
        <v>5237</v>
      </c>
      <c r="E21" s="6">
        <v>23.1</v>
      </c>
      <c r="F21" s="7">
        <v>56044</v>
      </c>
      <c r="G21" s="7">
        <v>9956</v>
      </c>
      <c r="H21" s="7">
        <v>6523.4</v>
      </c>
      <c r="I21" s="7">
        <v>404841821</v>
      </c>
      <c r="J21" s="6">
        <v>99.8</v>
      </c>
      <c r="K21" s="6">
        <v>96</v>
      </c>
      <c r="L21" s="6">
        <v>77.7</v>
      </c>
      <c r="M21" s="6">
        <v>28.1</v>
      </c>
      <c r="N21" s="6">
        <v>1.7</v>
      </c>
      <c r="O21" s="8">
        <f t="shared" si="0"/>
        <v>86.136557659574464</v>
      </c>
      <c r="P21" s="6"/>
    </row>
    <row r="22" spans="1:16" x14ac:dyDescent="0.25">
      <c r="A22" s="6" t="s">
        <v>505</v>
      </c>
      <c r="B22" s="7">
        <v>6127.1</v>
      </c>
      <c r="C22" s="6">
        <v>20.399999999999999</v>
      </c>
      <c r="D22" s="7">
        <v>4386</v>
      </c>
      <c r="E22" s="6">
        <v>23.3</v>
      </c>
      <c r="F22" s="7">
        <v>66623</v>
      </c>
      <c r="G22" s="7">
        <v>8535</v>
      </c>
      <c r="H22" s="7">
        <v>5414.8</v>
      </c>
      <c r="I22" s="7">
        <v>408203247</v>
      </c>
      <c r="J22" s="6">
        <v>99.8</v>
      </c>
      <c r="K22" s="6">
        <v>96.3</v>
      </c>
      <c r="L22" s="6">
        <v>78.900000000000006</v>
      </c>
      <c r="M22" s="6">
        <v>30.6</v>
      </c>
      <c r="N22" s="6">
        <v>2.2000000000000002</v>
      </c>
      <c r="O22" s="8">
        <f t="shared" si="0"/>
        <v>86.851754680851059</v>
      </c>
      <c r="P22" s="6"/>
    </row>
    <row r="23" spans="1:16" x14ac:dyDescent="0.25">
      <c r="A23" s="6" t="s">
        <v>506</v>
      </c>
      <c r="B23" s="7">
        <v>8525.4</v>
      </c>
      <c r="C23" s="6">
        <v>20.6</v>
      </c>
      <c r="D23" s="7">
        <v>6237.5</v>
      </c>
      <c r="E23" s="6">
        <v>23.5</v>
      </c>
      <c r="F23" s="7">
        <v>48180</v>
      </c>
      <c r="G23" s="7">
        <v>11658</v>
      </c>
      <c r="H23" s="7">
        <v>7157.7</v>
      </c>
      <c r="I23" s="7">
        <v>410751766</v>
      </c>
      <c r="J23" s="6">
        <v>99.9</v>
      </c>
      <c r="K23" s="6">
        <v>96.5</v>
      </c>
      <c r="L23" s="6">
        <v>79.900000000000006</v>
      </c>
      <c r="M23" s="6">
        <v>31.5</v>
      </c>
      <c r="N23" s="6">
        <v>1.7</v>
      </c>
      <c r="O23" s="8">
        <f t="shared" si="0"/>
        <v>87.393992765957449</v>
      </c>
      <c r="P23" s="6"/>
    </row>
    <row r="24" spans="1:16" x14ac:dyDescent="0.25">
      <c r="A24" s="6" t="s">
        <v>507</v>
      </c>
      <c r="B24" s="7">
        <v>7380.3</v>
      </c>
      <c r="C24" s="6">
        <v>20.100000000000001</v>
      </c>
      <c r="D24" s="7">
        <v>5169</v>
      </c>
      <c r="E24" s="6">
        <v>23</v>
      </c>
      <c r="F24" s="7">
        <v>55697</v>
      </c>
      <c r="G24" s="7">
        <v>10810</v>
      </c>
      <c r="H24" s="7">
        <v>6808.7</v>
      </c>
      <c r="I24" s="7">
        <v>411059815</v>
      </c>
      <c r="J24" s="6">
        <v>99.9</v>
      </c>
      <c r="K24" s="6">
        <v>95.6</v>
      </c>
      <c r="L24" s="6">
        <v>76.900000000000006</v>
      </c>
      <c r="M24" s="6">
        <v>27.5</v>
      </c>
      <c r="N24" s="6">
        <v>1.7</v>
      </c>
      <c r="O24" s="8">
        <f t="shared" si="0"/>
        <v>87.459535106382972</v>
      </c>
      <c r="P24" s="6"/>
    </row>
    <row r="25" spans="1:16" x14ac:dyDescent="0.25">
      <c r="A25" t="s">
        <v>508</v>
      </c>
      <c r="B25" s="1">
        <v>6401.3</v>
      </c>
      <c r="C25">
        <v>20.3</v>
      </c>
      <c r="D25" s="1">
        <v>4575</v>
      </c>
      <c r="E25">
        <v>23.3</v>
      </c>
      <c r="F25" s="1">
        <v>65048</v>
      </c>
      <c r="G25" s="1">
        <v>8998</v>
      </c>
      <c r="H25" s="1">
        <v>5655.2</v>
      </c>
      <c r="I25" s="1">
        <v>416388878</v>
      </c>
      <c r="J25">
        <v>99.8</v>
      </c>
      <c r="K25">
        <v>96</v>
      </c>
      <c r="L25">
        <v>78.2</v>
      </c>
      <c r="M25">
        <v>30</v>
      </c>
      <c r="N25">
        <v>2.2000000000000002</v>
      </c>
      <c r="O25" s="2">
        <f t="shared" si="0"/>
        <v>88.593378297872334</v>
      </c>
    </row>
    <row r="26" spans="1:16" x14ac:dyDescent="0.25">
      <c r="A26" t="s">
        <v>509</v>
      </c>
      <c r="B26" s="1">
        <v>7535</v>
      </c>
      <c r="C26">
        <v>20</v>
      </c>
      <c r="D26" s="1">
        <v>5341</v>
      </c>
      <c r="E26">
        <v>22.7</v>
      </c>
      <c r="F26" s="1">
        <v>55880</v>
      </c>
      <c r="G26" s="1">
        <v>10745</v>
      </c>
      <c r="H26" s="1">
        <v>6737.1</v>
      </c>
      <c r="I26" s="1">
        <v>421053529</v>
      </c>
      <c r="J26">
        <v>99.9</v>
      </c>
      <c r="K26">
        <v>95.5</v>
      </c>
      <c r="L26">
        <v>76</v>
      </c>
      <c r="M26">
        <v>21.7</v>
      </c>
      <c r="N26">
        <v>0.8</v>
      </c>
      <c r="O26" s="2">
        <f t="shared" si="0"/>
        <v>89.58585723404255</v>
      </c>
    </row>
    <row r="27" spans="1:16" x14ac:dyDescent="0.25">
      <c r="A27" t="s">
        <v>510</v>
      </c>
      <c r="B27" s="1">
        <v>6982.5</v>
      </c>
      <c r="C27">
        <v>20.100000000000001</v>
      </c>
      <c r="D27" s="1">
        <v>4991.5</v>
      </c>
      <c r="E27">
        <v>23</v>
      </c>
      <c r="F27" s="1">
        <v>62240</v>
      </c>
      <c r="G27" s="1">
        <v>9750</v>
      </c>
      <c r="H27" s="1">
        <v>6174.4</v>
      </c>
      <c r="I27" s="1">
        <v>434591070</v>
      </c>
      <c r="J27">
        <v>99.8</v>
      </c>
      <c r="K27">
        <v>95.9</v>
      </c>
      <c r="L27">
        <v>76.599999999999994</v>
      </c>
      <c r="M27">
        <v>26.1</v>
      </c>
      <c r="N27">
        <v>1.5</v>
      </c>
      <c r="O27" s="2">
        <f t="shared" si="0"/>
        <v>92.46618510638298</v>
      </c>
    </row>
    <row r="28" spans="1:16" x14ac:dyDescent="0.25">
      <c r="A28" t="s">
        <v>511</v>
      </c>
      <c r="B28" s="1">
        <v>8278.9</v>
      </c>
      <c r="C28">
        <v>20.3</v>
      </c>
      <c r="D28" s="1">
        <v>6009.5</v>
      </c>
      <c r="E28">
        <v>23</v>
      </c>
      <c r="F28" s="1">
        <v>52608</v>
      </c>
      <c r="G28" s="1">
        <v>11257</v>
      </c>
      <c r="H28" s="1">
        <v>6980</v>
      </c>
      <c r="I28" s="1">
        <v>435534404</v>
      </c>
      <c r="J28">
        <v>99.9</v>
      </c>
      <c r="K28">
        <v>96.4</v>
      </c>
      <c r="L28">
        <v>78.3</v>
      </c>
      <c r="M28">
        <v>25</v>
      </c>
      <c r="N28">
        <v>0.9</v>
      </c>
      <c r="O28" s="2">
        <f t="shared" si="0"/>
        <v>92.666894468085104</v>
      </c>
    </row>
    <row r="29" spans="1:16" x14ac:dyDescent="0.25">
      <c r="A29" t="s">
        <v>512</v>
      </c>
      <c r="B29" s="1">
        <v>5302.4</v>
      </c>
      <c r="C29">
        <v>19.600000000000001</v>
      </c>
      <c r="D29" s="1">
        <v>3859</v>
      </c>
      <c r="E29">
        <v>22.2</v>
      </c>
      <c r="F29" s="1">
        <v>85834</v>
      </c>
      <c r="G29" s="1">
        <v>7367</v>
      </c>
      <c r="H29" s="1">
        <v>4521.8</v>
      </c>
      <c r="I29" s="1">
        <v>455127517</v>
      </c>
      <c r="J29">
        <v>99.7</v>
      </c>
      <c r="K29">
        <v>95.2</v>
      </c>
      <c r="L29">
        <v>72.599999999999994</v>
      </c>
      <c r="M29">
        <v>18.399999999999999</v>
      </c>
      <c r="N29">
        <v>1.1000000000000001</v>
      </c>
      <c r="O29" s="2">
        <f t="shared" si="0"/>
        <v>96.835641914893614</v>
      </c>
    </row>
    <row r="30" spans="1:16" x14ac:dyDescent="0.25">
      <c r="A30" t="s">
        <v>513</v>
      </c>
      <c r="B30" s="1">
        <v>5084.8</v>
      </c>
      <c r="C30">
        <v>19.899999999999999</v>
      </c>
      <c r="D30" s="1">
        <v>3693</v>
      </c>
      <c r="E30">
        <v>22.8</v>
      </c>
      <c r="F30" s="1">
        <v>92999</v>
      </c>
      <c r="G30" s="1">
        <v>7142</v>
      </c>
      <c r="H30" s="1">
        <v>4367.2</v>
      </c>
      <c r="I30" s="1">
        <v>472878978</v>
      </c>
      <c r="J30">
        <v>99.7</v>
      </c>
      <c r="K30">
        <v>95.4</v>
      </c>
      <c r="L30">
        <v>75.7</v>
      </c>
      <c r="M30">
        <v>24</v>
      </c>
      <c r="N30">
        <v>1.9</v>
      </c>
      <c r="O30" s="2">
        <f t="shared" si="0"/>
        <v>100.61254851063829</v>
      </c>
    </row>
    <row r="31" spans="1:16" x14ac:dyDescent="0.25">
      <c r="A31" t="s">
        <v>514</v>
      </c>
      <c r="B31" s="1">
        <v>6576</v>
      </c>
      <c r="C31">
        <v>20</v>
      </c>
      <c r="D31" s="1">
        <v>4743.5</v>
      </c>
      <c r="E31">
        <v>22.8</v>
      </c>
      <c r="F31" s="1">
        <v>73572</v>
      </c>
      <c r="G31" s="1">
        <v>9039</v>
      </c>
      <c r="H31" s="1">
        <v>5627</v>
      </c>
      <c r="I31" s="1">
        <v>483810053</v>
      </c>
      <c r="J31">
        <v>99.8</v>
      </c>
      <c r="K31">
        <v>95.7</v>
      </c>
      <c r="L31">
        <v>75.8</v>
      </c>
      <c r="M31">
        <v>23.8</v>
      </c>
      <c r="N31">
        <v>1.2</v>
      </c>
      <c r="O31" s="2">
        <f t="shared" si="0"/>
        <v>102.93830914893617</v>
      </c>
    </row>
    <row r="32" spans="1:16" x14ac:dyDescent="0.25">
      <c r="A32" t="s">
        <v>515</v>
      </c>
      <c r="B32" s="1">
        <v>7390.3</v>
      </c>
      <c r="C32">
        <v>20.399999999999999</v>
      </c>
      <c r="D32" s="1">
        <v>5341</v>
      </c>
      <c r="E32">
        <v>23.3</v>
      </c>
      <c r="F32" s="1">
        <v>65503</v>
      </c>
      <c r="G32" s="1">
        <v>10116</v>
      </c>
      <c r="H32" s="1">
        <v>6357.4</v>
      </c>
      <c r="I32" s="1">
        <v>484089440</v>
      </c>
      <c r="J32">
        <v>99.9</v>
      </c>
      <c r="K32">
        <v>96</v>
      </c>
      <c r="L32">
        <v>78.5</v>
      </c>
      <c r="M32">
        <v>30.8</v>
      </c>
      <c r="N32">
        <v>2</v>
      </c>
      <c r="O32" s="2">
        <f t="shared" si="0"/>
        <v>102.99775319148937</v>
      </c>
    </row>
    <row r="33" spans="1:17" x14ac:dyDescent="0.25">
      <c r="A33" t="s">
        <v>516</v>
      </c>
      <c r="B33" s="1">
        <v>8510.7999999999993</v>
      </c>
      <c r="C33">
        <v>20.399999999999999</v>
      </c>
      <c r="D33" s="1">
        <v>6119.5</v>
      </c>
      <c r="E33">
        <v>23.3</v>
      </c>
      <c r="F33" s="1">
        <v>58372</v>
      </c>
      <c r="G33" s="1">
        <v>11722</v>
      </c>
      <c r="H33" s="1">
        <v>7371.8</v>
      </c>
      <c r="I33" s="1">
        <v>496789993</v>
      </c>
      <c r="J33">
        <v>99.9</v>
      </c>
      <c r="K33">
        <v>96.3</v>
      </c>
      <c r="L33">
        <v>78.8</v>
      </c>
      <c r="M33">
        <v>30</v>
      </c>
      <c r="N33">
        <v>1.6</v>
      </c>
      <c r="O33" s="2">
        <f t="shared" si="0"/>
        <v>105.6999985106383</v>
      </c>
    </row>
    <row r="34" spans="1:17" x14ac:dyDescent="0.25">
      <c r="A34" t="s">
        <v>517</v>
      </c>
      <c r="B34" s="1">
        <v>6323.3</v>
      </c>
      <c r="C34">
        <v>20.2</v>
      </c>
      <c r="D34" s="1">
        <v>4507</v>
      </c>
      <c r="E34">
        <v>23.2</v>
      </c>
      <c r="F34" s="1">
        <v>78629</v>
      </c>
      <c r="G34" s="1">
        <v>8865</v>
      </c>
      <c r="H34" s="1">
        <v>5638.7</v>
      </c>
      <c r="I34" s="1">
        <v>497194157</v>
      </c>
      <c r="J34">
        <v>99.9</v>
      </c>
      <c r="K34">
        <v>95.9</v>
      </c>
      <c r="L34">
        <v>77.599999999999994</v>
      </c>
      <c r="M34">
        <v>29.6</v>
      </c>
      <c r="N34">
        <v>2.1</v>
      </c>
      <c r="O34" s="2">
        <f t="shared" ref="O34:O65" si="1">I34/4700000</f>
        <v>105.78599085106383</v>
      </c>
    </row>
    <row r="35" spans="1:17" x14ac:dyDescent="0.25">
      <c r="A35" t="s">
        <v>518</v>
      </c>
      <c r="B35" s="1">
        <v>6131.2</v>
      </c>
      <c r="C35">
        <v>19.899999999999999</v>
      </c>
      <c r="D35" s="1">
        <v>4383</v>
      </c>
      <c r="E35">
        <v>22.9</v>
      </c>
      <c r="F35" s="1">
        <v>81454</v>
      </c>
      <c r="G35" s="1">
        <v>8652</v>
      </c>
      <c r="H35" s="1">
        <v>5413.4</v>
      </c>
      <c r="I35" s="1">
        <v>499408220</v>
      </c>
      <c r="J35">
        <v>99.8</v>
      </c>
      <c r="K35">
        <v>95.4</v>
      </c>
      <c r="L35">
        <v>75.099999999999994</v>
      </c>
      <c r="M35">
        <v>26.9</v>
      </c>
      <c r="N35">
        <v>2</v>
      </c>
      <c r="O35" s="2">
        <f t="shared" si="1"/>
        <v>106.25706808510638</v>
      </c>
    </row>
    <row r="36" spans="1:17" x14ac:dyDescent="0.25">
      <c r="A36" t="s">
        <v>519</v>
      </c>
      <c r="B36" s="1">
        <v>6673.9</v>
      </c>
      <c r="C36">
        <v>20.2</v>
      </c>
      <c r="D36" s="1">
        <v>4690</v>
      </c>
      <c r="E36">
        <v>23.2</v>
      </c>
      <c r="F36" s="1">
        <v>75557</v>
      </c>
      <c r="G36" s="1">
        <v>9564</v>
      </c>
      <c r="H36" s="1">
        <v>5989.5</v>
      </c>
      <c r="I36" s="1">
        <v>504258196</v>
      </c>
      <c r="J36">
        <v>99.8</v>
      </c>
      <c r="K36">
        <v>95.9</v>
      </c>
      <c r="L36">
        <v>77.8</v>
      </c>
      <c r="M36">
        <v>29</v>
      </c>
      <c r="N36">
        <v>1.9</v>
      </c>
      <c r="O36" s="2">
        <f t="shared" si="1"/>
        <v>107.28897787234042</v>
      </c>
    </row>
    <row r="37" spans="1:17" x14ac:dyDescent="0.25">
      <c r="A37" t="s">
        <v>520</v>
      </c>
      <c r="B37" s="1">
        <v>5117.5</v>
      </c>
      <c r="C37">
        <v>19.600000000000001</v>
      </c>
      <c r="D37" s="1">
        <v>3718</v>
      </c>
      <c r="E37">
        <v>22.4</v>
      </c>
      <c r="F37" s="1">
        <v>99325</v>
      </c>
      <c r="G37" s="1">
        <v>7039</v>
      </c>
      <c r="H37" s="1">
        <v>4600.6000000000004</v>
      </c>
      <c r="I37" s="1">
        <v>508294397</v>
      </c>
      <c r="J37">
        <v>99.8</v>
      </c>
      <c r="K37">
        <v>95.1</v>
      </c>
      <c r="L37">
        <v>73.3</v>
      </c>
      <c r="M37">
        <v>19.3</v>
      </c>
      <c r="N37">
        <v>1.1000000000000001</v>
      </c>
      <c r="O37" s="2">
        <f t="shared" si="1"/>
        <v>108.14774404255319</v>
      </c>
    </row>
    <row r="38" spans="1:17" x14ac:dyDescent="0.25">
      <c r="A38" t="s">
        <v>521</v>
      </c>
      <c r="B38" s="1">
        <v>7022.6</v>
      </c>
      <c r="C38">
        <v>20.2</v>
      </c>
      <c r="D38" s="1">
        <v>5096</v>
      </c>
      <c r="E38">
        <v>23.2</v>
      </c>
      <c r="F38" s="1">
        <v>75376</v>
      </c>
      <c r="G38" s="1">
        <v>9676</v>
      </c>
      <c r="H38" s="1">
        <v>6099.7</v>
      </c>
      <c r="I38" s="1">
        <v>529332201</v>
      </c>
      <c r="J38">
        <v>99.8</v>
      </c>
      <c r="K38">
        <v>95.8</v>
      </c>
      <c r="L38">
        <v>77.5</v>
      </c>
      <c r="M38">
        <v>28.7</v>
      </c>
      <c r="N38">
        <v>1.7</v>
      </c>
      <c r="O38" s="2">
        <f t="shared" si="1"/>
        <v>112.62387255319149</v>
      </c>
    </row>
    <row r="39" spans="1:17" x14ac:dyDescent="0.25">
      <c r="A39" t="s">
        <v>522</v>
      </c>
      <c r="B39" s="1">
        <v>6041.2</v>
      </c>
      <c r="C39">
        <v>20</v>
      </c>
      <c r="D39" s="1">
        <v>4233.5</v>
      </c>
      <c r="E39">
        <v>23</v>
      </c>
      <c r="F39" s="1">
        <v>90262</v>
      </c>
      <c r="G39" s="1">
        <v>8515</v>
      </c>
      <c r="H39" s="1">
        <v>5561.2</v>
      </c>
      <c r="I39" s="1">
        <v>545291077</v>
      </c>
      <c r="J39">
        <v>99.8</v>
      </c>
      <c r="K39">
        <v>95.6</v>
      </c>
      <c r="L39">
        <v>75.7</v>
      </c>
      <c r="M39">
        <v>27.8</v>
      </c>
      <c r="N39">
        <v>2.1</v>
      </c>
      <c r="O39" s="2">
        <f t="shared" si="1"/>
        <v>116.01937808510638</v>
      </c>
    </row>
    <row r="40" spans="1:17" x14ac:dyDescent="0.25">
      <c r="A40" t="s">
        <v>523</v>
      </c>
      <c r="B40" s="1">
        <v>6213</v>
      </c>
      <c r="C40">
        <v>20</v>
      </c>
      <c r="D40" s="1">
        <v>4443</v>
      </c>
      <c r="E40">
        <v>22.7</v>
      </c>
      <c r="F40" s="1">
        <v>88241</v>
      </c>
      <c r="G40" s="1">
        <v>8591</v>
      </c>
      <c r="H40" s="1">
        <v>5443.1</v>
      </c>
      <c r="I40" s="1">
        <v>548239383</v>
      </c>
      <c r="J40">
        <v>99.8</v>
      </c>
      <c r="K40">
        <v>95.9</v>
      </c>
      <c r="L40">
        <v>76.2</v>
      </c>
      <c r="M40">
        <v>22.5</v>
      </c>
      <c r="N40">
        <v>1.1000000000000001</v>
      </c>
      <c r="O40" s="2">
        <f t="shared" si="1"/>
        <v>116.64667723404256</v>
      </c>
    </row>
    <row r="41" spans="1:17" x14ac:dyDescent="0.25">
      <c r="A41" t="s">
        <v>524</v>
      </c>
      <c r="B41" s="1">
        <v>7018.4</v>
      </c>
      <c r="C41">
        <v>20.3</v>
      </c>
      <c r="D41" s="1">
        <v>5005</v>
      </c>
      <c r="E41">
        <v>23.2</v>
      </c>
      <c r="F41" s="1">
        <v>80478</v>
      </c>
      <c r="G41" s="1">
        <v>9772</v>
      </c>
      <c r="H41" s="1">
        <v>6518.4</v>
      </c>
      <c r="I41" s="1">
        <v>564823334</v>
      </c>
      <c r="J41">
        <v>99.9</v>
      </c>
      <c r="K41">
        <v>96.2</v>
      </c>
      <c r="L41">
        <v>78.3</v>
      </c>
      <c r="M41">
        <v>29.2</v>
      </c>
      <c r="N41">
        <v>1.8</v>
      </c>
      <c r="O41" s="2">
        <f t="shared" si="1"/>
        <v>120.1751774468085</v>
      </c>
    </row>
    <row r="42" spans="1:17" x14ac:dyDescent="0.25">
      <c r="A42" t="s">
        <v>525</v>
      </c>
      <c r="B42" s="1">
        <v>5509.1</v>
      </c>
      <c r="C42">
        <v>20.3</v>
      </c>
      <c r="D42" s="1">
        <v>3793</v>
      </c>
      <c r="E42">
        <v>23.2</v>
      </c>
      <c r="F42" s="1">
        <v>103461</v>
      </c>
      <c r="G42" s="1">
        <v>7655</v>
      </c>
      <c r="H42" s="1">
        <v>5844.8</v>
      </c>
      <c r="I42" s="1">
        <v>569976526</v>
      </c>
      <c r="J42">
        <v>99.9</v>
      </c>
      <c r="K42">
        <v>96</v>
      </c>
      <c r="L42">
        <v>77.099999999999994</v>
      </c>
      <c r="M42">
        <v>29.6</v>
      </c>
      <c r="N42">
        <v>2.5</v>
      </c>
      <c r="O42" s="2">
        <f t="shared" si="1"/>
        <v>121.27160127659575</v>
      </c>
    </row>
    <row r="43" spans="1:17" x14ac:dyDescent="0.25">
      <c r="A43" t="s">
        <v>526</v>
      </c>
      <c r="B43" s="1">
        <v>5530.3</v>
      </c>
      <c r="C43">
        <v>20</v>
      </c>
      <c r="D43" s="1">
        <v>4029</v>
      </c>
      <c r="E43">
        <v>22.6</v>
      </c>
      <c r="F43" s="1">
        <v>103291</v>
      </c>
      <c r="G43" s="1">
        <v>7570</v>
      </c>
      <c r="H43" s="1">
        <v>4801.7</v>
      </c>
      <c r="I43" s="1">
        <v>571232005</v>
      </c>
      <c r="J43">
        <v>99.8</v>
      </c>
      <c r="K43">
        <v>96</v>
      </c>
      <c r="L43">
        <v>76.8</v>
      </c>
      <c r="M43">
        <v>20.100000000000001</v>
      </c>
      <c r="N43">
        <v>0.9</v>
      </c>
      <c r="O43" s="2">
        <f t="shared" si="1"/>
        <v>121.53872446808511</v>
      </c>
    </row>
    <row r="44" spans="1:17" x14ac:dyDescent="0.25">
      <c r="A44" t="s">
        <v>527</v>
      </c>
      <c r="B44" s="1">
        <v>6657.3</v>
      </c>
      <c r="C44">
        <v>20.2</v>
      </c>
      <c r="D44" s="1">
        <v>4731</v>
      </c>
      <c r="E44">
        <v>23.2</v>
      </c>
      <c r="F44" s="1">
        <v>85820</v>
      </c>
      <c r="G44" s="1">
        <v>9403</v>
      </c>
      <c r="H44" s="1">
        <v>6000.7</v>
      </c>
      <c r="I44" s="1">
        <v>571329650</v>
      </c>
      <c r="J44">
        <v>99.8</v>
      </c>
      <c r="K44">
        <v>95.7</v>
      </c>
      <c r="L44">
        <v>77.3</v>
      </c>
      <c r="M44">
        <v>29.2</v>
      </c>
      <c r="N44">
        <v>2</v>
      </c>
      <c r="O44" s="2">
        <f t="shared" si="1"/>
        <v>121.5595</v>
      </c>
    </row>
    <row r="45" spans="1:17" x14ac:dyDescent="0.25">
      <c r="A45" t="s">
        <v>528</v>
      </c>
      <c r="B45" s="1">
        <v>8167.8</v>
      </c>
      <c r="C45">
        <v>20.3</v>
      </c>
      <c r="D45" s="1">
        <v>5892</v>
      </c>
      <c r="E45">
        <v>23.3</v>
      </c>
      <c r="F45" s="1">
        <v>69975</v>
      </c>
      <c r="G45" s="1">
        <v>11294</v>
      </c>
      <c r="H45" s="1">
        <v>7023</v>
      </c>
      <c r="I45" s="1">
        <v>571539494</v>
      </c>
      <c r="J45">
        <v>99.8</v>
      </c>
      <c r="K45">
        <v>96.1</v>
      </c>
      <c r="L45">
        <v>78.400000000000006</v>
      </c>
      <c r="M45">
        <v>29.2</v>
      </c>
      <c r="N45">
        <v>1.6</v>
      </c>
      <c r="O45" s="2">
        <f t="shared" si="1"/>
        <v>121.60414765957447</v>
      </c>
    </row>
    <row r="46" spans="1:17" x14ac:dyDescent="0.25">
      <c r="A46" s="6" t="s">
        <v>529</v>
      </c>
      <c r="B46" s="7">
        <v>6710.3</v>
      </c>
      <c r="C46" s="6">
        <v>20.3</v>
      </c>
      <c r="D46" s="7">
        <v>4808</v>
      </c>
      <c r="E46" s="6">
        <v>23.3</v>
      </c>
      <c r="F46" s="7">
        <v>85756</v>
      </c>
      <c r="G46" s="7">
        <v>9604</v>
      </c>
      <c r="H46" s="7">
        <v>6001.2</v>
      </c>
      <c r="I46" s="7">
        <v>575447399</v>
      </c>
      <c r="J46" s="6">
        <v>99.8</v>
      </c>
      <c r="K46" s="6">
        <v>96</v>
      </c>
      <c r="L46" s="6">
        <v>78.599999999999994</v>
      </c>
      <c r="M46" s="6">
        <v>29.8</v>
      </c>
      <c r="N46" s="6">
        <v>2</v>
      </c>
      <c r="O46" s="8">
        <f t="shared" si="1"/>
        <v>122.43561680851064</v>
      </c>
      <c r="P46" s="6"/>
      <c r="Q46" s="6"/>
    </row>
    <row r="47" spans="1:17" x14ac:dyDescent="0.25">
      <c r="A47" s="6" t="s">
        <v>530</v>
      </c>
      <c r="B47" s="7">
        <v>8666.4</v>
      </c>
      <c r="C47" s="6">
        <v>20.399999999999999</v>
      </c>
      <c r="D47" s="7">
        <v>6234.5</v>
      </c>
      <c r="E47" s="6">
        <v>23.1</v>
      </c>
      <c r="F47" s="7">
        <v>66424</v>
      </c>
      <c r="G47" s="7">
        <v>11863</v>
      </c>
      <c r="H47" s="7">
        <v>7478.9</v>
      </c>
      <c r="I47" s="7">
        <v>575656305</v>
      </c>
      <c r="J47" s="6">
        <v>99.9</v>
      </c>
      <c r="K47" s="6">
        <v>96.4</v>
      </c>
      <c r="L47" s="6">
        <v>79</v>
      </c>
      <c r="M47" s="6">
        <v>25.9</v>
      </c>
      <c r="N47" s="6">
        <v>0.9</v>
      </c>
      <c r="O47" s="8">
        <f t="shared" si="1"/>
        <v>122.48006489361703</v>
      </c>
      <c r="P47" s="6"/>
      <c r="Q47" s="6"/>
    </row>
    <row r="48" spans="1:17" x14ac:dyDescent="0.25">
      <c r="A48" s="6" t="s">
        <v>531</v>
      </c>
      <c r="B48" s="7">
        <v>6533.7</v>
      </c>
      <c r="C48" s="6">
        <v>19.7</v>
      </c>
      <c r="D48" s="7">
        <v>4699</v>
      </c>
      <c r="E48" s="6">
        <v>22.6</v>
      </c>
      <c r="F48" s="7">
        <v>88178</v>
      </c>
      <c r="G48" s="7">
        <v>9095</v>
      </c>
      <c r="H48" s="7">
        <v>5722</v>
      </c>
      <c r="I48" s="7">
        <v>576127608</v>
      </c>
      <c r="J48" s="6">
        <v>99.8</v>
      </c>
      <c r="K48" s="6">
        <v>95</v>
      </c>
      <c r="L48" s="6">
        <v>74.3</v>
      </c>
      <c r="M48" s="6">
        <v>21.2</v>
      </c>
      <c r="N48" s="6">
        <v>1</v>
      </c>
      <c r="O48" s="8">
        <f t="shared" si="1"/>
        <v>122.58034212765958</v>
      </c>
      <c r="P48" s="6"/>
      <c r="Q48" s="6"/>
    </row>
    <row r="49" spans="1:17" x14ac:dyDescent="0.25">
      <c r="A49" s="6" t="s">
        <v>532</v>
      </c>
      <c r="B49" s="7">
        <v>8071.9</v>
      </c>
      <c r="C49" s="6">
        <v>20.2</v>
      </c>
      <c r="D49" s="7">
        <v>5788</v>
      </c>
      <c r="E49" s="6">
        <v>23.2</v>
      </c>
      <c r="F49" s="7">
        <v>71809</v>
      </c>
      <c r="G49" s="7">
        <v>11387</v>
      </c>
      <c r="H49" s="7">
        <v>7043.8</v>
      </c>
      <c r="I49" s="7">
        <v>579637256</v>
      </c>
      <c r="J49" s="6">
        <v>99.8</v>
      </c>
      <c r="K49" s="6">
        <v>95.9</v>
      </c>
      <c r="L49" s="6">
        <v>77.7</v>
      </c>
      <c r="M49" s="6">
        <v>29.2</v>
      </c>
      <c r="N49" s="6">
        <v>1.6</v>
      </c>
      <c r="O49" s="8">
        <f t="shared" si="1"/>
        <v>123.32707574468085</v>
      </c>
      <c r="P49" s="6"/>
      <c r="Q49" s="6"/>
    </row>
    <row r="50" spans="1:17" x14ac:dyDescent="0.25">
      <c r="A50" s="6" t="s">
        <v>533</v>
      </c>
      <c r="B50" s="7">
        <v>6468.1</v>
      </c>
      <c r="C50" s="6">
        <v>20.2</v>
      </c>
      <c r="D50" s="7">
        <v>4631</v>
      </c>
      <c r="E50" s="6">
        <v>23.2</v>
      </c>
      <c r="F50" s="7">
        <v>91180</v>
      </c>
      <c r="G50" s="7">
        <v>8947</v>
      </c>
      <c r="H50" s="7">
        <v>5728.7</v>
      </c>
      <c r="I50" s="7">
        <v>589760973</v>
      </c>
      <c r="J50" s="6">
        <v>99.8</v>
      </c>
      <c r="K50" s="6">
        <v>95.8</v>
      </c>
      <c r="L50" s="6">
        <v>78</v>
      </c>
      <c r="M50" s="6">
        <v>29.7</v>
      </c>
      <c r="N50" s="6">
        <v>2</v>
      </c>
      <c r="O50" s="8">
        <f t="shared" si="1"/>
        <v>125.48105808510638</v>
      </c>
      <c r="P50" s="6"/>
      <c r="Q50" s="6"/>
    </row>
    <row r="51" spans="1:17" x14ac:dyDescent="0.25">
      <c r="A51" s="6" t="s">
        <v>534</v>
      </c>
      <c r="B51" s="7">
        <v>6401.9</v>
      </c>
      <c r="C51" s="6">
        <v>20.3</v>
      </c>
      <c r="D51" s="7">
        <v>4511</v>
      </c>
      <c r="E51" s="6">
        <v>23.2</v>
      </c>
      <c r="F51" s="7">
        <v>93393</v>
      </c>
      <c r="G51" s="7">
        <v>9074</v>
      </c>
      <c r="H51" s="7">
        <v>5805.8</v>
      </c>
      <c r="I51" s="7">
        <v>597895918</v>
      </c>
      <c r="J51" s="6">
        <v>99.9</v>
      </c>
      <c r="K51" s="6">
        <v>96.3</v>
      </c>
      <c r="L51" s="6">
        <v>77.900000000000006</v>
      </c>
      <c r="M51" s="6">
        <v>28.8</v>
      </c>
      <c r="N51" s="6">
        <v>2.1</v>
      </c>
      <c r="O51" s="8">
        <f t="shared" si="1"/>
        <v>127.21189744680851</v>
      </c>
      <c r="P51" s="6"/>
      <c r="Q51" s="6"/>
    </row>
    <row r="52" spans="1:17" x14ac:dyDescent="0.25">
      <c r="A52" s="6" t="s">
        <v>535</v>
      </c>
      <c r="B52" s="7">
        <v>7598.2</v>
      </c>
      <c r="C52" s="6">
        <v>20.399999999999999</v>
      </c>
      <c r="D52" s="7">
        <v>5480</v>
      </c>
      <c r="E52" s="6">
        <v>23.3</v>
      </c>
      <c r="F52" s="7">
        <v>80077</v>
      </c>
      <c r="G52" s="7">
        <v>10490</v>
      </c>
      <c r="H52" s="7">
        <v>6516.7</v>
      </c>
      <c r="I52" s="7">
        <v>608441559</v>
      </c>
      <c r="J52" s="6">
        <v>99.9</v>
      </c>
      <c r="K52" s="6">
        <v>96.1</v>
      </c>
      <c r="L52" s="6">
        <v>79</v>
      </c>
      <c r="M52" s="6">
        <v>30</v>
      </c>
      <c r="N52" s="6">
        <v>1.7</v>
      </c>
      <c r="O52" s="8">
        <f t="shared" si="1"/>
        <v>129.45565085106384</v>
      </c>
      <c r="P52" s="6"/>
      <c r="Q52" s="6"/>
    </row>
    <row r="53" spans="1:17" x14ac:dyDescent="0.25">
      <c r="A53" s="6" t="s">
        <v>536</v>
      </c>
      <c r="B53" s="7">
        <v>6819.4</v>
      </c>
      <c r="C53" s="6">
        <v>20.399999999999999</v>
      </c>
      <c r="D53" s="7">
        <v>4750</v>
      </c>
      <c r="E53" s="6">
        <v>23.3</v>
      </c>
      <c r="F53" s="7">
        <v>89369</v>
      </c>
      <c r="G53" s="7">
        <v>9595</v>
      </c>
      <c r="H53" s="7">
        <v>6297.3</v>
      </c>
      <c r="I53" s="7">
        <v>609445284</v>
      </c>
      <c r="J53" s="6">
        <v>99.9</v>
      </c>
      <c r="K53" s="6">
        <v>96</v>
      </c>
      <c r="L53" s="6">
        <v>78.7</v>
      </c>
      <c r="M53" s="6">
        <v>30.3</v>
      </c>
      <c r="N53" s="6">
        <v>2</v>
      </c>
      <c r="O53" s="8">
        <f t="shared" si="1"/>
        <v>129.66920936170212</v>
      </c>
      <c r="P53" s="6"/>
      <c r="Q53" s="6"/>
    </row>
    <row r="54" spans="1:17" x14ac:dyDescent="0.25">
      <c r="A54" s="6" t="s">
        <v>537</v>
      </c>
      <c r="B54" s="7">
        <v>4901.2</v>
      </c>
      <c r="C54" s="6">
        <v>19.7</v>
      </c>
      <c r="D54" s="7">
        <v>3540</v>
      </c>
      <c r="E54" s="6">
        <v>22.7</v>
      </c>
      <c r="F54" s="7">
        <v>130729</v>
      </c>
      <c r="G54" s="7">
        <v>6888</v>
      </c>
      <c r="H54" s="7">
        <v>4312.5</v>
      </c>
      <c r="I54" s="7">
        <v>640734455</v>
      </c>
      <c r="J54" s="6">
        <v>99.6</v>
      </c>
      <c r="K54" s="6">
        <v>95</v>
      </c>
      <c r="L54" s="6">
        <v>75.099999999999994</v>
      </c>
      <c r="M54" s="6">
        <v>23.9</v>
      </c>
      <c r="N54" s="6">
        <v>1.7</v>
      </c>
      <c r="O54" s="8">
        <f t="shared" si="1"/>
        <v>136.32647978723404</v>
      </c>
      <c r="P54" s="6"/>
      <c r="Q54" s="6"/>
    </row>
    <row r="55" spans="1:17" x14ac:dyDescent="0.25">
      <c r="A55" s="6" t="s">
        <v>538</v>
      </c>
      <c r="B55" s="7">
        <v>6537.7</v>
      </c>
      <c r="C55" s="6">
        <v>20.3</v>
      </c>
      <c r="D55" s="7">
        <v>4635</v>
      </c>
      <c r="E55" s="6">
        <v>23.2</v>
      </c>
      <c r="F55" s="7">
        <v>98801</v>
      </c>
      <c r="G55" s="7">
        <v>9113</v>
      </c>
      <c r="H55" s="7">
        <v>6029.7</v>
      </c>
      <c r="I55" s="7">
        <v>645928506</v>
      </c>
      <c r="J55" s="6">
        <v>99.8</v>
      </c>
      <c r="K55" s="6">
        <v>95.9</v>
      </c>
      <c r="L55" s="6">
        <v>78.400000000000006</v>
      </c>
      <c r="M55" s="6">
        <v>29.1</v>
      </c>
      <c r="N55" s="6">
        <v>1.9</v>
      </c>
      <c r="O55" s="8">
        <f t="shared" si="1"/>
        <v>137.43159702127659</v>
      </c>
      <c r="P55" s="6"/>
      <c r="Q55" s="6"/>
    </row>
    <row r="56" spans="1:17" x14ac:dyDescent="0.25">
      <c r="A56" s="6" t="s">
        <v>539</v>
      </c>
      <c r="B56" s="7">
        <v>6786.2</v>
      </c>
      <c r="C56" s="6">
        <v>20.3</v>
      </c>
      <c r="D56" s="7">
        <v>4762</v>
      </c>
      <c r="E56" s="6">
        <v>23.2</v>
      </c>
      <c r="F56" s="7">
        <v>98329</v>
      </c>
      <c r="G56" s="7">
        <v>9386</v>
      </c>
      <c r="H56" s="7">
        <v>6174.4</v>
      </c>
      <c r="I56" s="7">
        <v>667277350</v>
      </c>
      <c r="J56" s="6">
        <v>99.9</v>
      </c>
      <c r="K56" s="6">
        <v>96</v>
      </c>
      <c r="L56" s="6">
        <v>77.900000000000006</v>
      </c>
      <c r="M56" s="6">
        <v>29.6</v>
      </c>
      <c r="N56" s="6">
        <v>2</v>
      </c>
      <c r="O56" s="8">
        <f t="shared" si="1"/>
        <v>141.97390425531916</v>
      </c>
      <c r="P56" s="6"/>
      <c r="Q56" s="6"/>
    </row>
    <row r="57" spans="1:17" x14ac:dyDescent="0.25">
      <c r="A57" s="6" t="s">
        <v>540</v>
      </c>
      <c r="B57" s="7">
        <v>5317.3</v>
      </c>
      <c r="C57" s="6">
        <v>19.600000000000001</v>
      </c>
      <c r="D57" s="7">
        <v>3873</v>
      </c>
      <c r="E57" s="6">
        <v>22.3</v>
      </c>
      <c r="F57" s="7">
        <v>126267</v>
      </c>
      <c r="G57" s="7">
        <v>7238</v>
      </c>
      <c r="H57" s="7">
        <v>4575</v>
      </c>
      <c r="I57" s="7">
        <v>671397046</v>
      </c>
      <c r="J57" s="6">
        <v>99.8</v>
      </c>
      <c r="K57" s="6">
        <v>95.2</v>
      </c>
      <c r="L57" s="6">
        <v>72.8</v>
      </c>
      <c r="M57" s="6">
        <v>18.2</v>
      </c>
      <c r="N57" s="6">
        <v>1</v>
      </c>
      <c r="O57" s="8">
        <f t="shared" si="1"/>
        <v>142.85043531914894</v>
      </c>
      <c r="P57" s="6"/>
      <c r="Q57" s="6"/>
    </row>
    <row r="58" spans="1:17" x14ac:dyDescent="0.25">
      <c r="A58" s="6" t="s">
        <v>541</v>
      </c>
      <c r="B58" s="7">
        <v>6461</v>
      </c>
      <c r="C58" s="6">
        <v>20.399999999999999</v>
      </c>
      <c r="D58" s="7">
        <v>4591</v>
      </c>
      <c r="E58" s="6">
        <v>23.4</v>
      </c>
      <c r="F58" s="7">
        <v>104813</v>
      </c>
      <c r="G58" s="7">
        <v>8872</v>
      </c>
      <c r="H58" s="7">
        <v>5779.3</v>
      </c>
      <c r="I58" s="7">
        <v>677195706</v>
      </c>
      <c r="J58" s="6">
        <v>99.9</v>
      </c>
      <c r="K58" s="6">
        <v>96.2</v>
      </c>
      <c r="L58" s="6">
        <v>79.400000000000006</v>
      </c>
      <c r="M58" s="6">
        <v>31.2</v>
      </c>
      <c r="N58" s="6">
        <v>2.1</v>
      </c>
      <c r="O58" s="8">
        <f t="shared" si="1"/>
        <v>144.08419276595745</v>
      </c>
      <c r="P58" s="6"/>
      <c r="Q58" s="6"/>
    </row>
    <row r="59" spans="1:17" x14ac:dyDescent="0.25">
      <c r="A59" s="6" t="s">
        <v>542</v>
      </c>
      <c r="B59" s="7">
        <v>8231.6</v>
      </c>
      <c r="C59" s="6">
        <v>20.3</v>
      </c>
      <c r="D59" s="7">
        <v>5778</v>
      </c>
      <c r="E59" s="6">
        <v>23.2</v>
      </c>
      <c r="F59" s="7">
        <v>82870</v>
      </c>
      <c r="G59" s="7">
        <v>11535</v>
      </c>
      <c r="H59" s="7">
        <v>7497.5</v>
      </c>
      <c r="I59" s="7">
        <v>682156221</v>
      </c>
      <c r="J59" s="6">
        <v>99.9</v>
      </c>
      <c r="K59" s="6">
        <v>95.9</v>
      </c>
      <c r="L59" s="6">
        <v>78.099999999999994</v>
      </c>
      <c r="M59" s="6">
        <v>29.2</v>
      </c>
      <c r="N59" s="6">
        <v>1.6</v>
      </c>
      <c r="O59" s="8">
        <f t="shared" si="1"/>
        <v>145.1396214893617</v>
      </c>
      <c r="P59" s="6"/>
      <c r="Q59" s="6"/>
    </row>
    <row r="60" spans="1:17" x14ac:dyDescent="0.25">
      <c r="A60" s="6" t="s">
        <v>543</v>
      </c>
      <c r="B60" s="7">
        <v>7837.2</v>
      </c>
      <c r="C60" s="6">
        <v>20.2</v>
      </c>
      <c r="D60" s="7">
        <v>5659</v>
      </c>
      <c r="E60" s="6">
        <v>23.2</v>
      </c>
      <c r="F60" s="7">
        <v>87162</v>
      </c>
      <c r="G60" s="7">
        <v>11090</v>
      </c>
      <c r="H60" s="7">
        <v>6805.6</v>
      </c>
      <c r="I60" s="7">
        <v>683103549</v>
      </c>
      <c r="J60" s="6">
        <v>99.8</v>
      </c>
      <c r="K60" s="6">
        <v>95.8</v>
      </c>
      <c r="L60" s="6">
        <v>78.099999999999994</v>
      </c>
      <c r="M60" s="6">
        <v>28.4</v>
      </c>
      <c r="N60" s="6">
        <v>1.5</v>
      </c>
      <c r="O60" s="8">
        <f t="shared" si="1"/>
        <v>145.34118063829789</v>
      </c>
      <c r="P60" s="6"/>
      <c r="Q60" s="6"/>
    </row>
    <row r="61" spans="1:17" x14ac:dyDescent="0.25">
      <c r="A61" s="6" t="s">
        <v>544</v>
      </c>
      <c r="B61" s="7">
        <v>7148.2</v>
      </c>
      <c r="C61" s="6">
        <v>20.100000000000001</v>
      </c>
      <c r="D61" s="7">
        <v>4996</v>
      </c>
      <c r="E61" s="6">
        <v>23</v>
      </c>
      <c r="F61" s="7">
        <v>95712</v>
      </c>
      <c r="G61" s="7">
        <v>10062</v>
      </c>
      <c r="H61" s="7">
        <v>6562.9</v>
      </c>
      <c r="I61" s="7">
        <v>684173139</v>
      </c>
      <c r="J61" s="6">
        <v>99.8</v>
      </c>
      <c r="K61" s="6">
        <v>95.8</v>
      </c>
      <c r="L61" s="6">
        <v>76.599999999999994</v>
      </c>
      <c r="M61" s="6">
        <v>27.9</v>
      </c>
      <c r="N61" s="6">
        <v>1.7</v>
      </c>
      <c r="O61" s="8">
        <f t="shared" si="1"/>
        <v>145.56875297872341</v>
      </c>
      <c r="P61" s="6"/>
      <c r="Q61" s="6"/>
    </row>
    <row r="62" spans="1:17" x14ac:dyDescent="0.25">
      <c r="A62" s="6" t="s">
        <v>545</v>
      </c>
      <c r="B62" s="7">
        <v>8251.5</v>
      </c>
      <c r="C62" s="6">
        <v>20.399999999999999</v>
      </c>
      <c r="D62" s="7">
        <v>5945</v>
      </c>
      <c r="E62" s="6">
        <v>23.4</v>
      </c>
      <c r="F62" s="7">
        <v>85240</v>
      </c>
      <c r="G62" s="7">
        <v>11431</v>
      </c>
      <c r="H62" s="7">
        <v>7124.5</v>
      </c>
      <c r="I62" s="7">
        <v>703359845</v>
      </c>
      <c r="J62" s="6">
        <v>99.9</v>
      </c>
      <c r="K62" s="6">
        <v>96</v>
      </c>
      <c r="L62" s="6">
        <v>78.900000000000006</v>
      </c>
      <c r="M62" s="6">
        <v>31.1</v>
      </c>
      <c r="N62" s="6">
        <v>1.7</v>
      </c>
      <c r="O62" s="8">
        <f t="shared" si="1"/>
        <v>149.65103085106384</v>
      </c>
      <c r="P62" s="6"/>
      <c r="Q62" s="6"/>
    </row>
    <row r="63" spans="1:17" x14ac:dyDescent="0.25">
      <c r="A63" s="6" t="s">
        <v>546</v>
      </c>
      <c r="B63" s="7">
        <v>6162.8</v>
      </c>
      <c r="C63" s="6">
        <v>20.3</v>
      </c>
      <c r="D63" s="7">
        <v>4264</v>
      </c>
      <c r="E63" s="6">
        <v>23.2</v>
      </c>
      <c r="F63" s="7">
        <v>119022</v>
      </c>
      <c r="G63" s="7">
        <v>8678</v>
      </c>
      <c r="H63" s="7">
        <v>5716</v>
      </c>
      <c r="I63" s="7">
        <v>733503594</v>
      </c>
      <c r="J63" s="6">
        <v>99.8</v>
      </c>
      <c r="K63" s="6">
        <v>96</v>
      </c>
      <c r="L63" s="6">
        <v>78.099999999999994</v>
      </c>
      <c r="M63" s="6">
        <v>29.3</v>
      </c>
      <c r="N63" s="6">
        <v>2</v>
      </c>
      <c r="O63" s="8">
        <f t="shared" si="1"/>
        <v>156.06459446808512</v>
      </c>
      <c r="P63" s="6"/>
      <c r="Q63" s="6"/>
    </row>
    <row r="64" spans="1:17" x14ac:dyDescent="0.25">
      <c r="A64" s="6" t="s">
        <v>547</v>
      </c>
      <c r="B64" s="7">
        <v>5483.1</v>
      </c>
      <c r="C64" s="6">
        <v>20</v>
      </c>
      <c r="D64" s="7">
        <v>3799</v>
      </c>
      <c r="E64" s="6">
        <v>22.9</v>
      </c>
      <c r="F64" s="7">
        <v>134525</v>
      </c>
      <c r="G64" s="7">
        <v>7764</v>
      </c>
      <c r="H64" s="7">
        <v>5145.8</v>
      </c>
      <c r="I64" s="7">
        <v>737612884</v>
      </c>
      <c r="J64" s="6">
        <v>99.9</v>
      </c>
      <c r="K64" s="6">
        <v>95.4</v>
      </c>
      <c r="L64" s="6">
        <v>74.7</v>
      </c>
      <c r="M64" s="6">
        <v>27.5</v>
      </c>
      <c r="N64" s="6">
        <v>2.2999999999999998</v>
      </c>
      <c r="O64" s="8">
        <f t="shared" si="1"/>
        <v>156.93891148936171</v>
      </c>
      <c r="P64" s="6"/>
      <c r="Q64" s="6"/>
    </row>
    <row r="65" spans="1:17" x14ac:dyDescent="0.25">
      <c r="A65" s="6" t="s">
        <v>548</v>
      </c>
      <c r="B65" s="7">
        <v>7442.9</v>
      </c>
      <c r="C65" s="6">
        <v>20.3</v>
      </c>
      <c r="D65" s="7">
        <v>5294</v>
      </c>
      <c r="E65" s="6">
        <v>23.2</v>
      </c>
      <c r="F65" s="7">
        <v>106074</v>
      </c>
      <c r="G65" s="7">
        <v>10374</v>
      </c>
      <c r="H65" s="7">
        <v>6551.8</v>
      </c>
      <c r="I65" s="7">
        <v>789499180</v>
      </c>
      <c r="J65" s="6">
        <v>99.8</v>
      </c>
      <c r="K65" s="6">
        <v>95.9</v>
      </c>
      <c r="L65" s="6">
        <v>78</v>
      </c>
      <c r="M65" s="6">
        <v>28.9</v>
      </c>
      <c r="N65" s="6">
        <v>1.7</v>
      </c>
      <c r="O65" s="8">
        <f t="shared" si="1"/>
        <v>167.9785489361702</v>
      </c>
      <c r="P65" s="6"/>
      <c r="Q65" s="6"/>
    </row>
    <row r="66" spans="1:17" x14ac:dyDescent="0.25">
      <c r="A66" s="6" t="s">
        <v>549</v>
      </c>
      <c r="B66" s="7">
        <v>5850.9</v>
      </c>
      <c r="C66" s="6">
        <v>20.3</v>
      </c>
      <c r="D66" s="7">
        <v>4190</v>
      </c>
      <c r="E66" s="6">
        <v>23.3</v>
      </c>
      <c r="F66" s="7">
        <v>135391</v>
      </c>
      <c r="G66" s="7">
        <v>8005</v>
      </c>
      <c r="H66" s="7">
        <v>5209.8999999999996</v>
      </c>
      <c r="I66" s="7">
        <v>792164387</v>
      </c>
      <c r="J66" s="6">
        <v>99.8</v>
      </c>
      <c r="K66" s="6">
        <v>96</v>
      </c>
      <c r="L66" s="6">
        <v>78.099999999999994</v>
      </c>
      <c r="M66" s="6">
        <v>30.2</v>
      </c>
      <c r="N66" s="6">
        <v>2.2999999999999998</v>
      </c>
      <c r="O66" s="8">
        <f t="shared" ref="O66:O79" si="2">I66/4700000</f>
        <v>168.54561425531915</v>
      </c>
      <c r="P66" s="6"/>
      <c r="Q66" s="6"/>
    </row>
    <row r="67" spans="1:17" x14ac:dyDescent="0.25">
      <c r="A67" s="6" t="s">
        <v>550</v>
      </c>
      <c r="B67" s="7">
        <v>6534.8</v>
      </c>
      <c r="C67" s="6">
        <v>20</v>
      </c>
      <c r="D67" s="7">
        <v>4596</v>
      </c>
      <c r="E67" s="6">
        <v>22.9</v>
      </c>
      <c r="F67" s="7">
        <v>126961</v>
      </c>
      <c r="G67" s="7">
        <v>9166</v>
      </c>
      <c r="H67" s="7">
        <v>5835.3</v>
      </c>
      <c r="I67" s="7">
        <v>829665094</v>
      </c>
      <c r="J67" s="6">
        <v>99.8</v>
      </c>
      <c r="K67" s="6">
        <v>95.6</v>
      </c>
      <c r="L67" s="6">
        <v>76</v>
      </c>
      <c r="M67" s="6">
        <v>27.1</v>
      </c>
      <c r="N67" s="6">
        <v>1.9</v>
      </c>
      <c r="O67" s="8">
        <f t="shared" si="2"/>
        <v>176.52448808510638</v>
      </c>
      <c r="P67" s="6"/>
      <c r="Q67" s="6"/>
    </row>
    <row r="68" spans="1:17" x14ac:dyDescent="0.25">
      <c r="A68" s="6" t="s">
        <v>551</v>
      </c>
      <c r="B68" s="7">
        <v>6866.2</v>
      </c>
      <c r="C68" s="6">
        <v>20.2</v>
      </c>
      <c r="D68" s="7">
        <v>4869</v>
      </c>
      <c r="E68" s="6">
        <v>23.2</v>
      </c>
      <c r="F68" s="7">
        <v>121747</v>
      </c>
      <c r="G68" s="7">
        <v>9682</v>
      </c>
      <c r="H68" s="7">
        <v>6165</v>
      </c>
      <c r="I68" s="7">
        <v>835939804</v>
      </c>
      <c r="J68" s="6">
        <v>99.8</v>
      </c>
      <c r="K68" s="6">
        <v>95.7</v>
      </c>
      <c r="L68" s="6">
        <v>77.5</v>
      </c>
      <c r="M68" s="6">
        <v>28.8</v>
      </c>
      <c r="N68" s="6">
        <v>1.8</v>
      </c>
      <c r="O68" s="8">
        <f t="shared" si="2"/>
        <v>177.85953276595745</v>
      </c>
      <c r="P68" s="6"/>
      <c r="Q68" s="6"/>
    </row>
    <row r="69" spans="1:17" x14ac:dyDescent="0.25">
      <c r="A69" s="6" t="s">
        <v>552</v>
      </c>
      <c r="B69" s="7">
        <v>7461.7</v>
      </c>
      <c r="C69" s="6">
        <v>20.100000000000001</v>
      </c>
      <c r="D69" s="7">
        <v>5418</v>
      </c>
      <c r="E69" s="6">
        <v>23.1</v>
      </c>
      <c r="F69" s="7">
        <v>112046</v>
      </c>
      <c r="G69" s="7">
        <v>10357</v>
      </c>
      <c r="H69" s="7">
        <v>6419.1</v>
      </c>
      <c r="I69" s="7">
        <v>836053539</v>
      </c>
      <c r="J69" s="6">
        <v>99.8</v>
      </c>
      <c r="K69" s="6">
        <v>95.6</v>
      </c>
      <c r="L69" s="6">
        <v>77.3</v>
      </c>
      <c r="M69" s="6">
        <v>27.6</v>
      </c>
      <c r="N69" s="6">
        <v>1.5</v>
      </c>
      <c r="O69" s="8">
        <f t="shared" si="2"/>
        <v>177.88373170212765</v>
      </c>
      <c r="P69" s="6"/>
      <c r="Q69" s="6"/>
    </row>
    <row r="70" spans="1:17" x14ac:dyDescent="0.25">
      <c r="A70" s="6" t="s">
        <v>553</v>
      </c>
      <c r="B70" s="7">
        <v>7020.6</v>
      </c>
      <c r="C70" s="6">
        <v>19.8</v>
      </c>
      <c r="D70" s="7">
        <v>5069</v>
      </c>
      <c r="E70" s="6">
        <v>22.5</v>
      </c>
      <c r="F70" s="7">
        <v>125198</v>
      </c>
      <c r="G70" s="7">
        <v>9656</v>
      </c>
      <c r="H70" s="7">
        <v>6046.7</v>
      </c>
      <c r="I70" s="7">
        <v>878964410</v>
      </c>
      <c r="J70" s="6">
        <v>99.8</v>
      </c>
      <c r="K70" s="6">
        <v>95.4</v>
      </c>
      <c r="L70" s="6">
        <v>74.7</v>
      </c>
      <c r="M70" s="6">
        <v>19.3</v>
      </c>
      <c r="N70" s="6">
        <v>0.7</v>
      </c>
      <c r="O70" s="8">
        <f t="shared" si="2"/>
        <v>187.01370425531914</v>
      </c>
      <c r="P70" s="6"/>
      <c r="Q70" s="6"/>
    </row>
    <row r="71" spans="1:17" x14ac:dyDescent="0.25">
      <c r="A71" s="6" t="s">
        <v>554</v>
      </c>
      <c r="B71" s="7">
        <v>8406.2999999999993</v>
      </c>
      <c r="C71" s="6">
        <v>20.5</v>
      </c>
      <c r="D71" s="7">
        <v>6054</v>
      </c>
      <c r="E71" s="6">
        <v>23.3</v>
      </c>
      <c r="F71" s="7">
        <v>108477</v>
      </c>
      <c r="G71" s="7">
        <v>11458</v>
      </c>
      <c r="H71" s="7">
        <v>7228.6</v>
      </c>
      <c r="I71" s="7">
        <v>911891080</v>
      </c>
      <c r="J71" s="6">
        <v>99.9</v>
      </c>
      <c r="K71" s="6">
        <v>96.4</v>
      </c>
      <c r="L71" s="6">
        <v>79.2</v>
      </c>
      <c r="M71" s="6">
        <v>29.8</v>
      </c>
      <c r="N71" s="6">
        <v>1.6</v>
      </c>
      <c r="O71" s="8">
        <f t="shared" si="2"/>
        <v>194.01937872340426</v>
      </c>
      <c r="P71" s="6"/>
      <c r="Q71" s="6"/>
    </row>
    <row r="72" spans="1:17" x14ac:dyDescent="0.25">
      <c r="A72" t="s">
        <v>555</v>
      </c>
      <c r="B72" s="1">
        <v>6476.9</v>
      </c>
      <c r="C72">
        <v>20</v>
      </c>
      <c r="D72" s="1">
        <v>4462</v>
      </c>
      <c r="E72">
        <v>22.7</v>
      </c>
      <c r="F72" s="1">
        <v>146146</v>
      </c>
      <c r="G72" s="1">
        <v>9063</v>
      </c>
      <c r="H72" s="1">
        <v>6015.7</v>
      </c>
      <c r="I72" s="1">
        <v>946569534</v>
      </c>
      <c r="J72">
        <v>99.9</v>
      </c>
      <c r="K72">
        <v>95.7</v>
      </c>
      <c r="L72">
        <v>75.599999999999994</v>
      </c>
      <c r="M72">
        <v>21.9</v>
      </c>
      <c r="N72">
        <v>1</v>
      </c>
      <c r="O72" s="2">
        <f t="shared" si="2"/>
        <v>201.39777319148936</v>
      </c>
    </row>
    <row r="73" spans="1:17" x14ac:dyDescent="0.25">
      <c r="A73" t="s">
        <v>556</v>
      </c>
      <c r="B73" s="1">
        <v>5951.2</v>
      </c>
      <c r="C73">
        <v>20.3</v>
      </c>
      <c r="D73" s="1">
        <v>4087</v>
      </c>
      <c r="E73">
        <v>23.1</v>
      </c>
      <c r="F73" s="1">
        <v>163729</v>
      </c>
      <c r="G73" s="1">
        <v>8401</v>
      </c>
      <c r="H73" s="1">
        <v>5846.3</v>
      </c>
      <c r="I73" s="1">
        <v>974389877</v>
      </c>
      <c r="J73">
        <v>99.9</v>
      </c>
      <c r="K73">
        <v>96</v>
      </c>
      <c r="L73">
        <v>77.7</v>
      </c>
      <c r="M73">
        <v>28.7</v>
      </c>
      <c r="N73">
        <v>2.2000000000000002</v>
      </c>
      <c r="O73" s="2">
        <f t="shared" si="2"/>
        <v>207.31699510638299</v>
      </c>
    </row>
    <row r="74" spans="1:17" x14ac:dyDescent="0.25">
      <c r="A74" t="s">
        <v>557</v>
      </c>
      <c r="B74" s="1">
        <v>6158.8</v>
      </c>
      <c r="C74">
        <v>20</v>
      </c>
      <c r="D74" s="1">
        <v>4436</v>
      </c>
      <c r="E74">
        <v>22.8</v>
      </c>
      <c r="F74" s="1">
        <v>158239</v>
      </c>
      <c r="G74" s="1">
        <v>8597</v>
      </c>
      <c r="H74" s="1">
        <v>5381.4</v>
      </c>
      <c r="I74" s="1">
        <v>974561020</v>
      </c>
      <c r="J74">
        <v>99.8</v>
      </c>
      <c r="K74">
        <v>95.5</v>
      </c>
      <c r="L74">
        <v>74.8</v>
      </c>
      <c r="M74">
        <v>26.3</v>
      </c>
      <c r="N74">
        <v>1.9</v>
      </c>
      <c r="O74" s="2">
        <f t="shared" si="2"/>
        <v>207.3534085106383</v>
      </c>
    </row>
    <row r="75" spans="1:17" x14ac:dyDescent="0.25">
      <c r="A75" t="s">
        <v>558</v>
      </c>
      <c r="B75" s="1">
        <v>6816.9</v>
      </c>
      <c r="C75">
        <v>20.399999999999999</v>
      </c>
      <c r="D75" s="1">
        <v>4869</v>
      </c>
      <c r="E75">
        <v>23.4</v>
      </c>
      <c r="F75" s="1">
        <v>144143</v>
      </c>
      <c r="G75" s="1">
        <v>9361</v>
      </c>
      <c r="H75" s="1">
        <v>6050.5</v>
      </c>
      <c r="I75" s="1">
        <v>982602028</v>
      </c>
      <c r="J75">
        <v>99.9</v>
      </c>
      <c r="K75">
        <v>96.2</v>
      </c>
      <c r="L75">
        <v>79.5</v>
      </c>
      <c r="M75">
        <v>30.2</v>
      </c>
      <c r="N75">
        <v>1.8</v>
      </c>
      <c r="O75" s="2">
        <f t="shared" si="2"/>
        <v>209.06426127659574</v>
      </c>
    </row>
    <row r="76" spans="1:17" x14ac:dyDescent="0.25">
      <c r="A76" t="s">
        <v>559</v>
      </c>
      <c r="B76" s="1">
        <v>7758</v>
      </c>
      <c r="C76">
        <v>20.100000000000001</v>
      </c>
      <c r="D76" s="1">
        <v>5580</v>
      </c>
      <c r="E76">
        <v>23</v>
      </c>
      <c r="F76" s="1">
        <v>129449</v>
      </c>
      <c r="G76" s="1">
        <v>10767</v>
      </c>
      <c r="H76" s="1">
        <v>6692.5</v>
      </c>
      <c r="I76" s="1">
        <v>1004259451</v>
      </c>
      <c r="J76">
        <v>99.9</v>
      </c>
      <c r="K76">
        <v>95.8</v>
      </c>
      <c r="L76">
        <v>77.099999999999994</v>
      </c>
      <c r="M76">
        <v>26.9</v>
      </c>
      <c r="N76">
        <v>1.4</v>
      </c>
      <c r="O76" s="2">
        <f t="shared" si="2"/>
        <v>213.67222361702127</v>
      </c>
    </row>
    <row r="77" spans="1:17" x14ac:dyDescent="0.25">
      <c r="A77" t="s">
        <v>560</v>
      </c>
      <c r="B77" s="1">
        <v>5670.6</v>
      </c>
      <c r="C77">
        <v>20.100000000000001</v>
      </c>
      <c r="D77" s="1">
        <v>3940</v>
      </c>
      <c r="E77">
        <v>23</v>
      </c>
      <c r="F77" s="1">
        <v>187561</v>
      </c>
      <c r="G77" s="1">
        <v>7999</v>
      </c>
      <c r="H77" s="1">
        <v>5308.4</v>
      </c>
      <c r="I77" s="1">
        <v>1063577410</v>
      </c>
      <c r="J77">
        <v>99.9</v>
      </c>
      <c r="K77">
        <v>95.5</v>
      </c>
      <c r="L77">
        <v>76.7</v>
      </c>
      <c r="M77">
        <v>27.5</v>
      </c>
      <c r="N77">
        <v>1.8</v>
      </c>
      <c r="O77" s="2">
        <f t="shared" si="2"/>
        <v>226.2930659574468</v>
      </c>
    </row>
    <row r="78" spans="1:17" x14ac:dyDescent="0.25">
      <c r="A78" t="s">
        <v>561</v>
      </c>
      <c r="B78" s="1">
        <v>5804.6</v>
      </c>
      <c r="C78">
        <v>20.2</v>
      </c>
      <c r="D78" s="1">
        <v>4120</v>
      </c>
      <c r="E78">
        <v>23</v>
      </c>
      <c r="F78" s="1">
        <v>254486</v>
      </c>
      <c r="G78" s="1">
        <v>7922</v>
      </c>
      <c r="H78" s="1">
        <v>5181.6000000000004</v>
      </c>
      <c r="I78" s="1">
        <v>1477177900</v>
      </c>
      <c r="J78">
        <v>99.9</v>
      </c>
      <c r="K78">
        <v>95.8</v>
      </c>
      <c r="L78">
        <v>76.5</v>
      </c>
      <c r="M78">
        <v>28.3</v>
      </c>
      <c r="N78">
        <v>2</v>
      </c>
      <c r="O78" s="2">
        <f t="shared" si="2"/>
        <v>314.29317021276597</v>
      </c>
    </row>
    <row r="79" spans="1:17" x14ac:dyDescent="0.25">
      <c r="A79" t="s">
        <v>562</v>
      </c>
      <c r="B79" s="1">
        <v>7357.8</v>
      </c>
      <c r="C79">
        <v>20.399999999999999</v>
      </c>
      <c r="D79" s="1">
        <v>5195</v>
      </c>
      <c r="E79">
        <v>23.3</v>
      </c>
      <c r="F79" s="1">
        <v>246380</v>
      </c>
      <c r="G79" s="1">
        <v>10209</v>
      </c>
      <c r="H79" s="1">
        <v>6475.2</v>
      </c>
      <c r="I79" s="1">
        <v>1812810818</v>
      </c>
      <c r="J79">
        <v>99.9</v>
      </c>
      <c r="K79">
        <v>96.1</v>
      </c>
      <c r="L79">
        <v>78.599999999999994</v>
      </c>
      <c r="M79">
        <v>29.6</v>
      </c>
      <c r="N79">
        <v>1.7</v>
      </c>
      <c r="O79" s="2">
        <f t="shared" si="2"/>
        <v>385.70442936170213</v>
      </c>
    </row>
  </sheetData>
  <sortState xmlns:xlrd2="http://schemas.microsoft.com/office/spreadsheetml/2017/richdata2" ref="A2:P79">
    <sortCondition ref="O1:O7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1FF453-339D-4D5E-A939-E66119D96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06C3F8-9043-40D5-83E8-43ADE0853DDE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3.xml><?xml version="1.0" encoding="utf-8"?>
<ds:datastoreItem xmlns:ds="http://schemas.openxmlformats.org/officeDocument/2006/customXml" ds:itemID="{4DC060A0-907F-4B57-AD7D-1C9B90FC42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Bovismorbificans_Quast</vt:lpstr>
      <vt:lpstr>Give_Quast</vt:lpstr>
      <vt:lpstr>Bovis_nanoplot</vt:lpstr>
      <vt:lpstr>Give_nanoplot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2025-08-27T06:05:51Z</dcterms:created>
  <dcterms:modified xsi:type="dcterms:W3CDTF">2026-03-24T05:43:25Z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