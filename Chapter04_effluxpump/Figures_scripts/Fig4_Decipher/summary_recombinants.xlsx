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asseyuni.sharepoint.com/teams/Students-AlineParolin/Shared Documents/Aline Parolin Calarga PhD Project/Thesis/Chapter 04 Campy cmeABC efflux pump/WRITING/Figures/RE_CmeB/"/>
    </mc:Choice>
  </mc:AlternateContent>
  <xr:revisionPtr revIDLastSave="0" documentId="8_{B551A59C-7DB7-4783-925C-A6573F4E4516}" xr6:coauthVersionLast="47" xr6:coauthVersionMax="47" xr10:uidLastSave="{00000000-0000-0000-0000-000000000000}"/>
  <bookViews>
    <workbookView xWindow="-38520" yWindow="-120" windowWidth="38640" windowHeight="21120" activeTab="1" xr2:uid="{250EC358-B21A-405F-88B5-0E266418E6A2}"/>
  </bookViews>
  <sheets>
    <sheet name="jej_just_mutations" sheetId="2" r:id="rId1"/>
    <sheet name="coli_mutations" sheetId="3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2" l="1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" i="2"/>
</calcChain>
</file>

<file path=xl/sharedStrings.xml><?xml version="1.0" encoding="utf-8"?>
<sst xmlns="http://schemas.openxmlformats.org/spreadsheetml/2006/main" count="448" uniqueCount="118">
  <si>
    <t>sequence_id</t>
  </si>
  <si>
    <t>pos_136</t>
  </si>
  <si>
    <t>T136A</t>
  </si>
  <si>
    <t>pos_140</t>
  </si>
  <si>
    <t>A140G</t>
  </si>
  <si>
    <t>pos_257</t>
  </si>
  <si>
    <t>N257D</t>
  </si>
  <si>
    <t>pos_267</t>
  </si>
  <si>
    <t>V267I</t>
  </si>
  <si>
    <t>pos_292</t>
  </si>
  <si>
    <t>M292I</t>
  </si>
  <si>
    <t>pos_294</t>
  </si>
  <si>
    <t>N294D</t>
  </si>
  <si>
    <t>pos_303</t>
  </si>
  <si>
    <t>H303N</t>
  </si>
  <si>
    <t>n_mutations</t>
  </si>
  <si>
    <t>mutation_pattern</t>
  </si>
  <si>
    <t>CmeB_allele_1</t>
  </si>
  <si>
    <t>T</t>
  </si>
  <si>
    <t>A</t>
  </si>
  <si>
    <t>N</t>
  </si>
  <si>
    <t>V</t>
  </si>
  <si>
    <t>M</t>
  </si>
  <si>
    <t>H</t>
  </si>
  <si>
    <t>Wild-type</t>
  </si>
  <si>
    <t>CmeB_allele_2</t>
  </si>
  <si>
    <t>D</t>
  </si>
  <si>
    <t>CmeB_allele_3</t>
  </si>
  <si>
    <t>CmeB_allele_4</t>
  </si>
  <si>
    <t>CmeB_allele_5</t>
  </si>
  <si>
    <t>CmeB_allele_7</t>
  </si>
  <si>
    <t>CmeB_allele_8</t>
  </si>
  <si>
    <t>CmeB_allele_9</t>
  </si>
  <si>
    <t>CmeB_allele_10</t>
  </si>
  <si>
    <t>CmeB_allele_11</t>
  </si>
  <si>
    <t>I</t>
  </si>
  <si>
    <t>L</t>
  </si>
  <si>
    <t>N257D + M292I</t>
  </si>
  <si>
    <t>CmeB_allele_12</t>
  </si>
  <si>
    <t>CmeB_allele_13</t>
  </si>
  <si>
    <t>CmeB_allele_15</t>
  </si>
  <si>
    <t>CmeB_allele_16</t>
  </si>
  <si>
    <t>Y</t>
  </si>
  <si>
    <t>CmeB_allele_17</t>
  </si>
  <si>
    <t>CmeB_allele_19</t>
  </si>
  <si>
    <t>N257D + V267I + M292I</t>
  </si>
  <si>
    <t>CmeB_allele_21</t>
  </si>
  <si>
    <t>T136A + N257D + V267I + M292I</t>
  </si>
  <si>
    <t>CmeB_allele_24</t>
  </si>
  <si>
    <t>N257D + V267I</t>
  </si>
  <si>
    <t>CmeB_allele_25</t>
  </si>
  <si>
    <t>E</t>
  </si>
  <si>
    <t>M292I + H303N</t>
  </si>
  <si>
    <t>CmeB_allele_26</t>
  </si>
  <si>
    <t>CmeB_allele_28</t>
  </si>
  <si>
    <t>CmeB_allele_30</t>
  </si>
  <si>
    <t>CmeB_allele_32</t>
  </si>
  <si>
    <t>CmeB_allele_33</t>
  </si>
  <si>
    <t>CmeB_allele_37</t>
  </si>
  <si>
    <t>CmeB_allele_39</t>
  </si>
  <si>
    <t>T136A + N257D</t>
  </si>
  <si>
    <t>CmeB_allele_42</t>
  </si>
  <si>
    <t>CmeB_allele_44</t>
  </si>
  <si>
    <t>CmeB_allele_45</t>
  </si>
  <si>
    <t>CmeB_allele_46</t>
  </si>
  <si>
    <t>CmeB_allele_48</t>
  </si>
  <si>
    <t>CmeB_allele_49</t>
  </si>
  <si>
    <t>CmeB_allele_52</t>
  </si>
  <si>
    <t>cmeB</t>
  </si>
  <si>
    <t>B2</t>
  </si>
  <si>
    <t>B3</t>
  </si>
  <si>
    <t>B4</t>
  </si>
  <si>
    <t>B9</t>
  </si>
  <si>
    <t>B11</t>
  </si>
  <si>
    <t>B16</t>
  </si>
  <si>
    <t>B19</t>
  </si>
  <si>
    <t>B21</t>
  </si>
  <si>
    <t>B24</t>
  </si>
  <si>
    <t>B25</t>
  </si>
  <si>
    <t>B26</t>
  </si>
  <si>
    <t>B28</t>
  </si>
  <si>
    <t>B30</t>
  </si>
  <si>
    <t>B32</t>
  </si>
  <si>
    <t>B33</t>
  </si>
  <si>
    <t>B37</t>
  </si>
  <si>
    <t>B39</t>
  </si>
  <si>
    <t>B42</t>
  </si>
  <si>
    <t>B44</t>
  </si>
  <si>
    <t>B45</t>
  </si>
  <si>
    <t>B46</t>
  </si>
  <si>
    <t>B48</t>
  </si>
  <si>
    <t>B49</t>
  </si>
  <si>
    <t>B52</t>
  </si>
  <si>
    <t>number isolates</t>
  </si>
  <si>
    <t>CmeB_allele_2_RET136A</t>
  </si>
  <si>
    <t>T136A + H303N</t>
  </si>
  <si>
    <t>CmeB_allele_3_REM292I</t>
  </si>
  <si>
    <t>CmeB_allele_6_REM292I</t>
  </si>
  <si>
    <t>N257D + V267I + H303N</t>
  </si>
  <si>
    <t>CmeB_allele_14_REM292I</t>
  </si>
  <si>
    <t>B1c</t>
  </si>
  <si>
    <t>B2c</t>
  </si>
  <si>
    <t>B3c</t>
  </si>
  <si>
    <t>B4c</t>
  </si>
  <si>
    <t>B5c</t>
  </si>
  <si>
    <t>B6c</t>
  </si>
  <si>
    <t>B7c</t>
  </si>
  <si>
    <t>B8c</t>
  </si>
  <si>
    <t>B9c</t>
  </si>
  <si>
    <t>B10c</t>
  </si>
  <si>
    <t>B11c</t>
  </si>
  <si>
    <t>B12c</t>
  </si>
  <si>
    <t>B13c</t>
  </si>
  <si>
    <t>B14c</t>
  </si>
  <si>
    <t>B15c</t>
  </si>
  <si>
    <t>B16c</t>
  </si>
  <si>
    <t>B17c</t>
  </si>
  <si>
    <t>number of isolates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</si>
</sst>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amino_acid_alleles/aminoacid_alleles.xlsx" TargetMode="External"/><Relationship Id="rId2" Type="http://schemas.openxmlformats.org/officeDocument/2006/relationships/externalLinkPath" Target="https://masseyuni.sharepoint.com/teams/Students-AlineParolin/Shared%20Documents/Aline%20Parolin%20Calarga%20PhD%20Project/Thesis/Chapter%2004%20Campy%20cmeABC%20efflux%20pump/amino_acid_alleles/aminoacid_alleles.xlsx" TargetMode="External"/><Relationship Id="rId1" Type="http://schemas.openxmlformats.org/officeDocument/2006/relationships/externalLinkPath" Target="/teams/Students-AlineParolin/Shared%20Documents/Aline%20Parolin%20Calarga%20PhD%20Project/Thesis/Chapter%2004%20Campy%20cmeABC%20efflux%20pump/amino_acid_alleles/aminoacid_alle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2"/>
      <sheetName val="coli_aminoacid"/>
      <sheetName val="coli_n_jejuni"/>
      <sheetName val="Sheet3"/>
      <sheetName val="Sheet1"/>
      <sheetName val="jej_aminoacid"/>
    </sheetNames>
    <sheetDataSet>
      <sheetData sheetId="0"/>
      <sheetData sheetId="1"/>
      <sheetData sheetId="2"/>
      <sheetData sheetId="3"/>
      <sheetData sheetId="4">
        <row r="1">
          <cell r="A1" t="str">
            <v>Row Labels</v>
          </cell>
          <cell r="B1" t="str">
            <v>Count of CmeB</v>
          </cell>
        </row>
        <row r="2">
          <cell r="A2" t="str">
            <v>B11</v>
          </cell>
          <cell r="B2">
            <v>1</v>
          </cell>
        </row>
        <row r="3">
          <cell r="A3" t="str">
            <v>B12</v>
          </cell>
          <cell r="B3">
            <v>1</v>
          </cell>
        </row>
        <row r="4">
          <cell r="A4" t="str">
            <v>B13</v>
          </cell>
          <cell r="B4">
            <v>1</v>
          </cell>
        </row>
        <row r="5">
          <cell r="A5" t="str">
            <v>B18</v>
          </cell>
          <cell r="B5">
            <v>1</v>
          </cell>
        </row>
        <row r="6">
          <cell r="A6" t="str">
            <v>B20</v>
          </cell>
          <cell r="B6">
            <v>1</v>
          </cell>
        </row>
        <row r="7">
          <cell r="A7" t="str">
            <v>B31</v>
          </cell>
          <cell r="B7">
            <v>1</v>
          </cell>
        </row>
        <row r="8">
          <cell r="A8" t="str">
            <v>B33</v>
          </cell>
          <cell r="B8">
            <v>1</v>
          </cell>
        </row>
        <row r="9">
          <cell r="A9" t="str">
            <v>B35</v>
          </cell>
          <cell r="B9">
            <v>1</v>
          </cell>
        </row>
        <row r="10">
          <cell r="A10" t="str">
            <v>B36</v>
          </cell>
          <cell r="B10">
            <v>1</v>
          </cell>
        </row>
        <row r="11">
          <cell r="A11" t="str">
            <v>B38</v>
          </cell>
          <cell r="B11">
            <v>1</v>
          </cell>
        </row>
        <row r="12">
          <cell r="A12" t="str">
            <v>B39</v>
          </cell>
          <cell r="B12">
            <v>1</v>
          </cell>
        </row>
        <row r="13">
          <cell r="A13" t="str">
            <v>B40</v>
          </cell>
          <cell r="B13">
            <v>1</v>
          </cell>
        </row>
        <row r="14">
          <cell r="A14" t="str">
            <v>B41</v>
          </cell>
          <cell r="B14">
            <v>1</v>
          </cell>
        </row>
        <row r="15">
          <cell r="A15" t="str">
            <v>B43</v>
          </cell>
          <cell r="B15">
            <v>1</v>
          </cell>
        </row>
        <row r="16">
          <cell r="A16" t="str">
            <v>B44</v>
          </cell>
          <cell r="B16">
            <v>1</v>
          </cell>
        </row>
        <row r="17">
          <cell r="A17" t="str">
            <v>B46</v>
          </cell>
          <cell r="B17">
            <v>1</v>
          </cell>
        </row>
        <row r="18">
          <cell r="A18" t="str">
            <v>B47</v>
          </cell>
          <cell r="B18">
            <v>1</v>
          </cell>
        </row>
        <row r="19">
          <cell r="A19" t="str">
            <v>B49</v>
          </cell>
          <cell r="B19">
            <v>1</v>
          </cell>
        </row>
        <row r="20">
          <cell r="A20" t="str">
            <v>B51</v>
          </cell>
          <cell r="B20">
            <v>1</v>
          </cell>
        </row>
        <row r="21">
          <cell r="A21" t="str">
            <v>B52</v>
          </cell>
          <cell r="B21">
            <v>1</v>
          </cell>
        </row>
        <row r="22">
          <cell r="A22" t="str">
            <v>B7</v>
          </cell>
          <cell r="B22">
            <v>1</v>
          </cell>
        </row>
        <row r="23">
          <cell r="A23" t="str">
            <v>B14</v>
          </cell>
          <cell r="B23">
            <v>2</v>
          </cell>
        </row>
        <row r="24">
          <cell r="A24" t="str">
            <v>B19</v>
          </cell>
          <cell r="B24">
            <v>2</v>
          </cell>
        </row>
        <row r="25">
          <cell r="A25" t="str">
            <v>B21</v>
          </cell>
          <cell r="B25">
            <v>2</v>
          </cell>
        </row>
        <row r="26">
          <cell r="A26" t="str">
            <v>B23</v>
          </cell>
          <cell r="B26">
            <v>2</v>
          </cell>
        </row>
        <row r="27">
          <cell r="A27" t="str">
            <v>B25</v>
          </cell>
          <cell r="B27">
            <v>2</v>
          </cell>
        </row>
        <row r="28">
          <cell r="A28" t="str">
            <v>B34</v>
          </cell>
          <cell r="B28">
            <v>2</v>
          </cell>
        </row>
        <row r="29">
          <cell r="A29" t="str">
            <v>B37</v>
          </cell>
          <cell r="B29">
            <v>2</v>
          </cell>
        </row>
        <row r="30">
          <cell r="A30" t="str">
            <v>B42</v>
          </cell>
          <cell r="B30">
            <v>2</v>
          </cell>
        </row>
        <row r="31">
          <cell r="A31" t="str">
            <v>B45</v>
          </cell>
          <cell r="B31">
            <v>2</v>
          </cell>
        </row>
        <row r="32">
          <cell r="A32" t="str">
            <v>B15</v>
          </cell>
          <cell r="B32">
            <v>3</v>
          </cell>
        </row>
        <row r="33">
          <cell r="A33" t="str">
            <v>B48</v>
          </cell>
          <cell r="B33">
            <v>3</v>
          </cell>
        </row>
        <row r="34">
          <cell r="A34" t="str">
            <v>B29</v>
          </cell>
          <cell r="B34">
            <v>4</v>
          </cell>
        </row>
        <row r="35">
          <cell r="A35" t="str">
            <v>B30</v>
          </cell>
          <cell r="B35">
            <v>4</v>
          </cell>
        </row>
        <row r="36">
          <cell r="A36" t="str">
            <v>B32</v>
          </cell>
          <cell r="B36">
            <v>4</v>
          </cell>
        </row>
        <row r="37">
          <cell r="A37" t="str">
            <v>B22</v>
          </cell>
          <cell r="B37">
            <v>5</v>
          </cell>
        </row>
        <row r="38">
          <cell r="A38" t="str">
            <v>B50</v>
          </cell>
          <cell r="B38">
            <v>5</v>
          </cell>
        </row>
        <row r="39">
          <cell r="A39" t="str">
            <v>B16</v>
          </cell>
          <cell r="B39">
            <v>6</v>
          </cell>
        </row>
        <row r="40">
          <cell r="A40" t="str">
            <v>B26</v>
          </cell>
          <cell r="B40">
            <v>7</v>
          </cell>
        </row>
        <row r="41">
          <cell r="A41" t="str">
            <v>B3</v>
          </cell>
          <cell r="B41">
            <v>13</v>
          </cell>
        </row>
        <row r="42">
          <cell r="A42" t="str">
            <v>B28</v>
          </cell>
          <cell r="B42">
            <v>16</v>
          </cell>
        </row>
        <row r="43">
          <cell r="A43" t="str">
            <v>B24</v>
          </cell>
          <cell r="B43">
            <v>21</v>
          </cell>
        </row>
        <row r="44">
          <cell r="A44" t="str">
            <v>B4</v>
          </cell>
          <cell r="B44">
            <v>23</v>
          </cell>
        </row>
        <row r="45">
          <cell r="A45" t="str">
            <v>B9</v>
          </cell>
          <cell r="B45">
            <v>26</v>
          </cell>
        </row>
        <row r="46">
          <cell r="A46" t="str">
            <v>B10</v>
          </cell>
          <cell r="B46">
            <v>28</v>
          </cell>
        </row>
        <row r="47">
          <cell r="A47" t="str">
            <v>B8</v>
          </cell>
          <cell r="B47">
            <v>34</v>
          </cell>
        </row>
        <row r="48">
          <cell r="A48" t="str">
            <v>B27</v>
          </cell>
          <cell r="B48">
            <v>52</v>
          </cell>
        </row>
        <row r="49">
          <cell r="A49" t="str">
            <v>B17</v>
          </cell>
          <cell r="B49">
            <v>55</v>
          </cell>
        </row>
        <row r="50">
          <cell r="A50" t="str">
            <v>B6</v>
          </cell>
          <cell r="B50">
            <v>85</v>
          </cell>
        </row>
        <row r="51">
          <cell r="A51" t="str">
            <v>B2</v>
          </cell>
          <cell r="B51">
            <v>121</v>
          </cell>
        </row>
        <row r="52">
          <cell r="A52" t="str">
            <v>B1</v>
          </cell>
          <cell r="B52">
            <v>239</v>
          </cell>
        </row>
        <row r="53">
          <cell r="A53" t="str">
            <v>B5</v>
          </cell>
          <cell r="B53">
            <v>267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3E5FB-3413-4EB9-B3D3-6D9DF0FB53BE}">
  <dimension ref="A1:S25"/>
  <sheetViews>
    <sheetView workbookViewId="0">
      <selection sqref="A1:S25"/>
    </sheetView>
  </sheetViews>
  <sheetFormatPr defaultRowHeight="15" x14ac:dyDescent="0.25"/>
  <cols>
    <col min="1" max="1" width="14.7109375" bestFit="1" customWidth="1"/>
    <col min="19" max="19" width="15.425781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68</v>
      </c>
      <c r="S1" t="s">
        <v>93</v>
      </c>
    </row>
    <row r="2" spans="1:19" x14ac:dyDescent="0.25">
      <c r="A2" t="s">
        <v>25</v>
      </c>
      <c r="B2" t="s">
        <v>18</v>
      </c>
      <c r="C2" t="b">
        <v>0</v>
      </c>
      <c r="D2" t="s">
        <v>19</v>
      </c>
      <c r="E2" t="b">
        <v>0</v>
      </c>
      <c r="F2" t="s">
        <v>26</v>
      </c>
      <c r="G2" t="b">
        <v>1</v>
      </c>
      <c r="H2" t="s">
        <v>21</v>
      </c>
      <c r="I2" t="b">
        <v>0</v>
      </c>
      <c r="J2" t="s">
        <v>22</v>
      </c>
      <c r="K2" t="b">
        <v>0</v>
      </c>
      <c r="L2" t="s">
        <v>20</v>
      </c>
      <c r="M2" t="b">
        <v>0</v>
      </c>
      <c r="N2" t="s">
        <v>23</v>
      </c>
      <c r="O2" t="b">
        <v>0</v>
      </c>
      <c r="P2">
        <v>1</v>
      </c>
      <c r="Q2" t="s">
        <v>6</v>
      </c>
      <c r="R2" t="s">
        <v>69</v>
      </c>
      <c r="S2">
        <f>VLOOKUP(R2,[1]Sheet1!$A$1:$B$53,2,FALSE)</f>
        <v>121</v>
      </c>
    </row>
    <row r="3" spans="1:19" x14ac:dyDescent="0.25">
      <c r="A3" t="s">
        <v>27</v>
      </c>
      <c r="B3" t="s">
        <v>18</v>
      </c>
      <c r="C3" t="b">
        <v>0</v>
      </c>
      <c r="D3" t="s">
        <v>19</v>
      </c>
      <c r="E3" t="b">
        <v>0</v>
      </c>
      <c r="F3" t="s">
        <v>26</v>
      </c>
      <c r="G3" t="b">
        <v>1</v>
      </c>
      <c r="H3" t="s">
        <v>21</v>
      </c>
      <c r="I3" t="b">
        <v>0</v>
      </c>
      <c r="J3" t="s">
        <v>22</v>
      </c>
      <c r="K3" t="b">
        <v>0</v>
      </c>
      <c r="L3" t="s">
        <v>20</v>
      </c>
      <c r="M3" t="b">
        <v>0</v>
      </c>
      <c r="N3" t="s">
        <v>23</v>
      </c>
      <c r="O3" t="b">
        <v>0</v>
      </c>
      <c r="P3">
        <v>1</v>
      </c>
      <c r="Q3" t="s">
        <v>6</v>
      </c>
      <c r="R3" t="s">
        <v>70</v>
      </c>
      <c r="S3">
        <f>VLOOKUP(R3,[1]Sheet1!$A$1:$B$53,2,FALSE)</f>
        <v>13</v>
      </c>
    </row>
    <row r="4" spans="1:19" x14ac:dyDescent="0.25">
      <c r="A4" t="s">
        <v>28</v>
      </c>
      <c r="B4" t="s">
        <v>18</v>
      </c>
      <c r="C4" t="b">
        <v>0</v>
      </c>
      <c r="D4" t="s">
        <v>19</v>
      </c>
      <c r="E4" t="b">
        <v>0</v>
      </c>
      <c r="F4" t="s">
        <v>26</v>
      </c>
      <c r="G4" t="b">
        <v>1</v>
      </c>
      <c r="H4" t="s">
        <v>21</v>
      </c>
      <c r="I4" t="b">
        <v>0</v>
      </c>
      <c r="J4" t="s">
        <v>22</v>
      </c>
      <c r="K4" t="b">
        <v>0</v>
      </c>
      <c r="L4" t="s">
        <v>20</v>
      </c>
      <c r="M4" t="b">
        <v>0</v>
      </c>
      <c r="N4" t="s">
        <v>23</v>
      </c>
      <c r="O4" t="b">
        <v>0</v>
      </c>
      <c r="P4">
        <v>1</v>
      </c>
      <c r="Q4" t="s">
        <v>6</v>
      </c>
      <c r="R4" t="s">
        <v>71</v>
      </c>
      <c r="S4">
        <f>VLOOKUP(R4,[1]Sheet1!$A$1:$B$53,2,FALSE)</f>
        <v>23</v>
      </c>
    </row>
    <row r="5" spans="1:19" x14ac:dyDescent="0.25">
      <c r="A5" t="s">
        <v>32</v>
      </c>
      <c r="B5" t="s">
        <v>18</v>
      </c>
      <c r="C5" t="b">
        <v>0</v>
      </c>
      <c r="D5" t="s">
        <v>19</v>
      </c>
      <c r="E5" t="b">
        <v>0</v>
      </c>
      <c r="F5" t="s">
        <v>26</v>
      </c>
      <c r="G5" t="b">
        <v>1</v>
      </c>
      <c r="H5" t="s">
        <v>21</v>
      </c>
      <c r="I5" t="b">
        <v>0</v>
      </c>
      <c r="J5" t="s">
        <v>22</v>
      </c>
      <c r="K5" t="b">
        <v>0</v>
      </c>
      <c r="L5" t="s">
        <v>20</v>
      </c>
      <c r="M5" t="b">
        <v>0</v>
      </c>
      <c r="N5" t="s">
        <v>23</v>
      </c>
      <c r="O5" t="b">
        <v>0</v>
      </c>
      <c r="P5">
        <v>1</v>
      </c>
      <c r="Q5" t="s">
        <v>6</v>
      </c>
      <c r="R5" t="s">
        <v>72</v>
      </c>
      <c r="S5">
        <f>VLOOKUP(R5,[1]Sheet1!$A$1:$B$53,2,FALSE)</f>
        <v>26</v>
      </c>
    </row>
    <row r="6" spans="1:19" x14ac:dyDescent="0.25">
      <c r="A6" t="s">
        <v>34</v>
      </c>
      <c r="B6" t="s">
        <v>35</v>
      </c>
      <c r="C6" t="b">
        <v>0</v>
      </c>
      <c r="D6" t="s">
        <v>21</v>
      </c>
      <c r="E6" t="b">
        <v>0</v>
      </c>
      <c r="F6" t="s">
        <v>26</v>
      </c>
      <c r="G6" t="b">
        <v>1</v>
      </c>
      <c r="H6" t="s">
        <v>19</v>
      </c>
      <c r="I6" t="b">
        <v>0</v>
      </c>
      <c r="J6" t="s">
        <v>35</v>
      </c>
      <c r="K6" t="b">
        <v>1</v>
      </c>
      <c r="L6" t="s">
        <v>36</v>
      </c>
      <c r="M6" t="b">
        <v>0</v>
      </c>
      <c r="N6" t="s">
        <v>18</v>
      </c>
      <c r="O6" t="b">
        <v>0</v>
      </c>
      <c r="P6">
        <v>2</v>
      </c>
      <c r="Q6" t="s">
        <v>37</v>
      </c>
      <c r="R6" t="s">
        <v>73</v>
      </c>
      <c r="S6">
        <f>VLOOKUP(R6,[1]Sheet1!$A$1:$B$53,2,FALSE)</f>
        <v>1</v>
      </c>
    </row>
    <row r="7" spans="1:19" x14ac:dyDescent="0.25">
      <c r="A7" t="s">
        <v>41</v>
      </c>
      <c r="B7" t="s">
        <v>18</v>
      </c>
      <c r="C7" t="b">
        <v>0</v>
      </c>
      <c r="D7" t="s">
        <v>19</v>
      </c>
      <c r="E7" t="b">
        <v>0</v>
      </c>
      <c r="F7" t="s">
        <v>26</v>
      </c>
      <c r="G7" t="b">
        <v>1</v>
      </c>
      <c r="H7" t="s">
        <v>21</v>
      </c>
      <c r="I7" t="b">
        <v>0</v>
      </c>
      <c r="J7" t="s">
        <v>22</v>
      </c>
      <c r="K7" t="b">
        <v>0</v>
      </c>
      <c r="L7" t="s">
        <v>20</v>
      </c>
      <c r="M7" t="b">
        <v>0</v>
      </c>
      <c r="N7" t="s">
        <v>42</v>
      </c>
      <c r="O7" t="b">
        <v>0</v>
      </c>
      <c r="P7">
        <v>1</v>
      </c>
      <c r="Q7" t="s">
        <v>6</v>
      </c>
      <c r="R7" t="s">
        <v>74</v>
      </c>
      <c r="S7">
        <f>VLOOKUP(R7,[1]Sheet1!$A$1:$B$53,2,FALSE)</f>
        <v>6</v>
      </c>
    </row>
    <row r="8" spans="1:19" x14ac:dyDescent="0.25">
      <c r="A8" t="s">
        <v>44</v>
      </c>
      <c r="B8" t="s">
        <v>18</v>
      </c>
      <c r="C8" t="b">
        <v>0</v>
      </c>
      <c r="D8" t="s">
        <v>19</v>
      </c>
      <c r="E8" t="b">
        <v>0</v>
      </c>
      <c r="F8" t="s">
        <v>26</v>
      </c>
      <c r="G8" t="b">
        <v>1</v>
      </c>
      <c r="H8" t="s">
        <v>35</v>
      </c>
      <c r="I8" t="b">
        <v>1</v>
      </c>
      <c r="J8" t="s">
        <v>35</v>
      </c>
      <c r="K8" t="b">
        <v>1</v>
      </c>
      <c r="L8" t="s">
        <v>20</v>
      </c>
      <c r="M8" t="b">
        <v>0</v>
      </c>
      <c r="N8" t="s">
        <v>23</v>
      </c>
      <c r="O8" t="b">
        <v>0</v>
      </c>
      <c r="P8">
        <v>3</v>
      </c>
      <c r="Q8" t="s">
        <v>45</v>
      </c>
      <c r="R8" t="s">
        <v>75</v>
      </c>
      <c r="S8">
        <f>VLOOKUP(R8,[1]Sheet1!$A$1:$B$53,2,FALSE)</f>
        <v>2</v>
      </c>
    </row>
    <row r="9" spans="1:19" x14ac:dyDescent="0.25">
      <c r="A9" t="s">
        <v>46</v>
      </c>
      <c r="B9" t="s">
        <v>19</v>
      </c>
      <c r="C9" t="b">
        <v>1</v>
      </c>
      <c r="D9" t="s">
        <v>19</v>
      </c>
      <c r="E9" t="b">
        <v>0</v>
      </c>
      <c r="F9" t="s">
        <v>26</v>
      </c>
      <c r="G9" t="b">
        <v>1</v>
      </c>
      <c r="H9" t="s">
        <v>35</v>
      </c>
      <c r="I9" t="b">
        <v>1</v>
      </c>
      <c r="J9" t="s">
        <v>35</v>
      </c>
      <c r="K9" t="b">
        <v>1</v>
      </c>
      <c r="L9" t="s">
        <v>20</v>
      </c>
      <c r="M9" t="b">
        <v>0</v>
      </c>
      <c r="N9" t="s">
        <v>23</v>
      </c>
      <c r="O9" t="b">
        <v>0</v>
      </c>
      <c r="P9">
        <v>4</v>
      </c>
      <c r="Q9" t="s">
        <v>47</v>
      </c>
      <c r="R9" t="s">
        <v>76</v>
      </c>
      <c r="S9">
        <f>VLOOKUP(R9,[1]Sheet1!$A$1:$B$53,2,FALSE)</f>
        <v>2</v>
      </c>
    </row>
    <row r="10" spans="1:19" x14ac:dyDescent="0.25">
      <c r="A10" t="s">
        <v>48</v>
      </c>
      <c r="B10" t="s">
        <v>18</v>
      </c>
      <c r="C10" t="b">
        <v>0</v>
      </c>
      <c r="D10" t="s">
        <v>19</v>
      </c>
      <c r="E10" t="b">
        <v>0</v>
      </c>
      <c r="F10" t="s">
        <v>26</v>
      </c>
      <c r="G10" t="b">
        <v>1</v>
      </c>
      <c r="H10" t="s">
        <v>35</v>
      </c>
      <c r="I10" t="b">
        <v>1</v>
      </c>
      <c r="J10" t="s">
        <v>22</v>
      </c>
      <c r="K10" t="b">
        <v>0</v>
      </c>
      <c r="L10" t="s">
        <v>20</v>
      </c>
      <c r="M10" t="b">
        <v>0</v>
      </c>
      <c r="N10" t="s">
        <v>23</v>
      </c>
      <c r="O10" t="b">
        <v>0</v>
      </c>
      <c r="P10">
        <v>2</v>
      </c>
      <c r="Q10" t="s">
        <v>49</v>
      </c>
      <c r="R10" t="s">
        <v>77</v>
      </c>
      <c r="S10">
        <f>VLOOKUP(R10,[1]Sheet1!$A$1:$B$53,2,FALSE)</f>
        <v>21</v>
      </c>
    </row>
    <row r="11" spans="1:19" x14ac:dyDescent="0.25">
      <c r="A11" t="s">
        <v>50</v>
      </c>
      <c r="B11" t="s">
        <v>18</v>
      </c>
      <c r="C11" t="b">
        <v>0</v>
      </c>
      <c r="D11" t="s">
        <v>21</v>
      </c>
      <c r="E11" t="b">
        <v>0</v>
      </c>
      <c r="F11" t="s">
        <v>51</v>
      </c>
      <c r="G11" t="b">
        <v>0</v>
      </c>
      <c r="H11" t="s">
        <v>21</v>
      </c>
      <c r="I11" t="b">
        <v>0</v>
      </c>
      <c r="J11" t="s">
        <v>35</v>
      </c>
      <c r="K11" t="b">
        <v>1</v>
      </c>
      <c r="L11" t="s">
        <v>20</v>
      </c>
      <c r="M11" t="b">
        <v>0</v>
      </c>
      <c r="N11" t="s">
        <v>20</v>
      </c>
      <c r="O11" t="b">
        <v>1</v>
      </c>
      <c r="P11">
        <v>2</v>
      </c>
      <c r="Q11" t="s">
        <v>52</v>
      </c>
      <c r="R11" t="s">
        <v>78</v>
      </c>
      <c r="S11">
        <f>VLOOKUP(R11,[1]Sheet1!$A$1:$B$53,2,FALSE)</f>
        <v>2</v>
      </c>
    </row>
    <row r="12" spans="1:19" x14ac:dyDescent="0.25">
      <c r="A12" t="s">
        <v>53</v>
      </c>
      <c r="B12" t="s">
        <v>18</v>
      </c>
      <c r="C12" t="b">
        <v>0</v>
      </c>
      <c r="D12" t="s">
        <v>19</v>
      </c>
      <c r="E12" t="b">
        <v>0</v>
      </c>
      <c r="F12" t="s">
        <v>26</v>
      </c>
      <c r="G12" t="b">
        <v>1</v>
      </c>
      <c r="H12" t="s">
        <v>35</v>
      </c>
      <c r="I12" t="b">
        <v>1</v>
      </c>
      <c r="J12" t="s">
        <v>35</v>
      </c>
      <c r="K12" t="b">
        <v>1</v>
      </c>
      <c r="L12" t="s">
        <v>20</v>
      </c>
      <c r="M12" t="b">
        <v>0</v>
      </c>
      <c r="N12" t="s">
        <v>23</v>
      </c>
      <c r="O12" t="b">
        <v>0</v>
      </c>
      <c r="P12">
        <v>3</v>
      </c>
      <c r="Q12" t="s">
        <v>45</v>
      </c>
      <c r="R12" t="s">
        <v>79</v>
      </c>
      <c r="S12">
        <f>VLOOKUP(R12,[1]Sheet1!$A$1:$B$53,2,FALSE)</f>
        <v>7</v>
      </c>
    </row>
    <row r="13" spans="1:19" x14ac:dyDescent="0.25">
      <c r="A13" t="s">
        <v>54</v>
      </c>
      <c r="B13" t="s">
        <v>35</v>
      </c>
      <c r="C13" t="b">
        <v>0</v>
      </c>
      <c r="D13" t="s">
        <v>21</v>
      </c>
      <c r="E13" t="b">
        <v>0</v>
      </c>
      <c r="F13" t="s">
        <v>26</v>
      </c>
      <c r="G13" t="b">
        <v>1</v>
      </c>
      <c r="H13" t="s">
        <v>19</v>
      </c>
      <c r="I13" t="b">
        <v>0</v>
      </c>
      <c r="J13" t="s">
        <v>35</v>
      </c>
      <c r="K13" t="b">
        <v>1</v>
      </c>
      <c r="L13" t="s">
        <v>36</v>
      </c>
      <c r="M13" t="b">
        <v>0</v>
      </c>
      <c r="N13" t="s">
        <v>18</v>
      </c>
      <c r="O13" t="b">
        <v>0</v>
      </c>
      <c r="P13">
        <v>2</v>
      </c>
      <c r="Q13" t="s">
        <v>37</v>
      </c>
      <c r="R13" t="s">
        <v>80</v>
      </c>
      <c r="S13">
        <f>VLOOKUP(R13,[1]Sheet1!$A$1:$B$53,2,FALSE)</f>
        <v>16</v>
      </c>
    </row>
    <row r="14" spans="1:19" x14ac:dyDescent="0.25">
      <c r="A14" t="s">
        <v>55</v>
      </c>
      <c r="B14" t="s">
        <v>18</v>
      </c>
      <c r="C14" t="b">
        <v>0</v>
      </c>
      <c r="D14" t="s">
        <v>19</v>
      </c>
      <c r="E14" t="b">
        <v>0</v>
      </c>
      <c r="F14" t="s">
        <v>26</v>
      </c>
      <c r="G14" t="b">
        <v>1</v>
      </c>
      <c r="H14" t="s">
        <v>21</v>
      </c>
      <c r="I14" t="b">
        <v>0</v>
      </c>
      <c r="J14" t="s">
        <v>22</v>
      </c>
      <c r="K14" t="b">
        <v>0</v>
      </c>
      <c r="L14" t="s">
        <v>20</v>
      </c>
      <c r="M14" t="b">
        <v>0</v>
      </c>
      <c r="N14" t="s">
        <v>23</v>
      </c>
      <c r="O14" t="b">
        <v>0</v>
      </c>
      <c r="P14">
        <v>1</v>
      </c>
      <c r="Q14" t="s">
        <v>6</v>
      </c>
      <c r="R14" t="s">
        <v>81</v>
      </c>
      <c r="S14">
        <f>VLOOKUP(R14,[1]Sheet1!$A$1:$B$53,2,FALSE)</f>
        <v>4</v>
      </c>
    </row>
    <row r="15" spans="1:19" x14ac:dyDescent="0.25">
      <c r="A15" t="s">
        <v>56</v>
      </c>
      <c r="B15" t="s">
        <v>35</v>
      </c>
      <c r="C15" t="b">
        <v>0</v>
      </c>
      <c r="D15" t="s">
        <v>21</v>
      </c>
      <c r="E15" t="b">
        <v>0</v>
      </c>
      <c r="F15" t="s">
        <v>26</v>
      </c>
      <c r="G15" t="b">
        <v>1</v>
      </c>
      <c r="H15" t="s">
        <v>19</v>
      </c>
      <c r="I15" t="b">
        <v>0</v>
      </c>
      <c r="J15" t="s">
        <v>35</v>
      </c>
      <c r="K15" t="b">
        <v>1</v>
      </c>
      <c r="L15" t="s">
        <v>36</v>
      </c>
      <c r="M15" t="b">
        <v>0</v>
      </c>
      <c r="N15" t="s">
        <v>18</v>
      </c>
      <c r="O15" t="b">
        <v>0</v>
      </c>
      <c r="P15">
        <v>2</v>
      </c>
      <c r="Q15" t="s">
        <v>37</v>
      </c>
      <c r="R15" t="s">
        <v>82</v>
      </c>
      <c r="S15">
        <f>VLOOKUP(R15,[1]Sheet1!$A$1:$B$53,2,FALSE)</f>
        <v>4</v>
      </c>
    </row>
    <row r="16" spans="1:19" x14ac:dyDescent="0.25">
      <c r="A16" t="s">
        <v>57</v>
      </c>
      <c r="B16" t="s">
        <v>35</v>
      </c>
      <c r="C16" t="b">
        <v>0</v>
      </c>
      <c r="D16" t="s">
        <v>21</v>
      </c>
      <c r="E16" t="b">
        <v>0</v>
      </c>
      <c r="F16" t="s">
        <v>26</v>
      </c>
      <c r="G16" t="b">
        <v>1</v>
      </c>
      <c r="H16" t="s">
        <v>19</v>
      </c>
      <c r="I16" t="b">
        <v>0</v>
      </c>
      <c r="J16" t="s">
        <v>35</v>
      </c>
      <c r="K16" t="b">
        <v>1</v>
      </c>
      <c r="L16" t="s">
        <v>36</v>
      </c>
      <c r="M16" t="b">
        <v>0</v>
      </c>
      <c r="N16" t="s">
        <v>18</v>
      </c>
      <c r="O16" t="b">
        <v>0</v>
      </c>
      <c r="P16">
        <v>2</v>
      </c>
      <c r="Q16" t="s">
        <v>37</v>
      </c>
      <c r="R16" t="s">
        <v>83</v>
      </c>
      <c r="S16">
        <f>VLOOKUP(R16,[1]Sheet1!$A$1:$B$53,2,FALSE)</f>
        <v>1</v>
      </c>
    </row>
    <row r="17" spans="1:19" x14ac:dyDescent="0.25">
      <c r="A17" t="s">
        <v>58</v>
      </c>
      <c r="B17" t="s">
        <v>18</v>
      </c>
      <c r="C17" t="b">
        <v>0</v>
      </c>
      <c r="D17" t="s">
        <v>19</v>
      </c>
      <c r="E17" t="b">
        <v>0</v>
      </c>
      <c r="F17" t="s">
        <v>26</v>
      </c>
      <c r="G17" t="b">
        <v>1</v>
      </c>
      <c r="H17" t="s">
        <v>35</v>
      </c>
      <c r="I17" t="b">
        <v>1</v>
      </c>
      <c r="J17" t="s">
        <v>35</v>
      </c>
      <c r="K17" t="b">
        <v>1</v>
      </c>
      <c r="L17" t="s">
        <v>20</v>
      </c>
      <c r="M17" t="b">
        <v>0</v>
      </c>
      <c r="N17" t="s">
        <v>23</v>
      </c>
      <c r="O17" t="b">
        <v>0</v>
      </c>
      <c r="P17">
        <v>3</v>
      </c>
      <c r="Q17" t="s">
        <v>45</v>
      </c>
      <c r="R17" t="s">
        <v>84</v>
      </c>
      <c r="S17">
        <f>VLOOKUP(R17,[1]Sheet1!$A$1:$B$53,2,FALSE)</f>
        <v>2</v>
      </c>
    </row>
    <row r="18" spans="1:19" x14ac:dyDescent="0.25">
      <c r="A18" t="s">
        <v>59</v>
      </c>
      <c r="B18" t="s">
        <v>19</v>
      </c>
      <c r="C18" t="b">
        <v>1</v>
      </c>
      <c r="D18" t="s">
        <v>19</v>
      </c>
      <c r="E18" t="b">
        <v>0</v>
      </c>
      <c r="F18" t="s">
        <v>26</v>
      </c>
      <c r="G18" t="b">
        <v>1</v>
      </c>
      <c r="H18" t="s">
        <v>21</v>
      </c>
      <c r="I18" t="b">
        <v>0</v>
      </c>
      <c r="J18" t="s">
        <v>22</v>
      </c>
      <c r="K18" t="b">
        <v>0</v>
      </c>
      <c r="L18" t="s">
        <v>20</v>
      </c>
      <c r="M18" t="b">
        <v>0</v>
      </c>
      <c r="N18" t="s">
        <v>23</v>
      </c>
      <c r="O18" t="b">
        <v>0</v>
      </c>
      <c r="P18">
        <v>2</v>
      </c>
      <c r="Q18" t="s">
        <v>60</v>
      </c>
      <c r="R18" t="s">
        <v>85</v>
      </c>
      <c r="S18">
        <f>VLOOKUP(R18,[1]Sheet1!$A$1:$B$53,2,FALSE)</f>
        <v>1</v>
      </c>
    </row>
    <row r="19" spans="1:19" x14ac:dyDescent="0.25">
      <c r="A19" t="s">
        <v>61</v>
      </c>
      <c r="B19" t="s">
        <v>18</v>
      </c>
      <c r="C19" t="b">
        <v>0</v>
      </c>
      <c r="D19" t="s">
        <v>19</v>
      </c>
      <c r="E19" t="b">
        <v>0</v>
      </c>
      <c r="F19" t="s">
        <v>26</v>
      </c>
      <c r="G19" t="b">
        <v>1</v>
      </c>
      <c r="H19" t="s">
        <v>35</v>
      </c>
      <c r="I19" t="b">
        <v>1</v>
      </c>
      <c r="J19" t="s">
        <v>35</v>
      </c>
      <c r="K19" t="b">
        <v>1</v>
      </c>
      <c r="L19" t="s">
        <v>20</v>
      </c>
      <c r="M19" t="b">
        <v>0</v>
      </c>
      <c r="N19" t="s">
        <v>23</v>
      </c>
      <c r="O19" t="b">
        <v>0</v>
      </c>
      <c r="P19">
        <v>3</v>
      </c>
      <c r="Q19" t="s">
        <v>45</v>
      </c>
      <c r="R19" t="s">
        <v>86</v>
      </c>
      <c r="S19">
        <f>VLOOKUP(R19,[1]Sheet1!$A$1:$B$53,2,FALSE)</f>
        <v>2</v>
      </c>
    </row>
    <row r="20" spans="1:19" x14ac:dyDescent="0.25">
      <c r="A20" t="s">
        <v>62</v>
      </c>
      <c r="B20" t="s">
        <v>18</v>
      </c>
      <c r="C20" t="b">
        <v>0</v>
      </c>
      <c r="D20" t="s">
        <v>21</v>
      </c>
      <c r="E20" t="b">
        <v>0</v>
      </c>
      <c r="F20" t="s">
        <v>51</v>
      </c>
      <c r="G20" t="b">
        <v>0</v>
      </c>
      <c r="H20" t="s">
        <v>21</v>
      </c>
      <c r="I20" t="b">
        <v>0</v>
      </c>
      <c r="J20" t="s">
        <v>35</v>
      </c>
      <c r="K20" t="b">
        <v>1</v>
      </c>
      <c r="L20" t="s">
        <v>20</v>
      </c>
      <c r="M20" t="b">
        <v>0</v>
      </c>
      <c r="N20" t="s">
        <v>20</v>
      </c>
      <c r="O20" t="b">
        <v>1</v>
      </c>
      <c r="P20">
        <v>2</v>
      </c>
      <c r="Q20" t="s">
        <v>52</v>
      </c>
      <c r="R20" t="s">
        <v>87</v>
      </c>
      <c r="S20">
        <f>VLOOKUP(R20,[1]Sheet1!$A$1:$B$53,2,FALSE)</f>
        <v>1</v>
      </c>
    </row>
    <row r="21" spans="1:19" x14ac:dyDescent="0.25">
      <c r="A21" t="s">
        <v>63</v>
      </c>
      <c r="B21" t="s">
        <v>35</v>
      </c>
      <c r="C21" t="b">
        <v>0</v>
      </c>
      <c r="D21" t="s">
        <v>21</v>
      </c>
      <c r="E21" t="b">
        <v>0</v>
      </c>
      <c r="F21" t="s">
        <v>26</v>
      </c>
      <c r="G21" t="b">
        <v>1</v>
      </c>
      <c r="H21" t="s">
        <v>19</v>
      </c>
      <c r="I21" t="b">
        <v>0</v>
      </c>
      <c r="J21" t="s">
        <v>35</v>
      </c>
      <c r="K21" t="b">
        <v>1</v>
      </c>
      <c r="L21" t="s">
        <v>36</v>
      </c>
      <c r="M21" t="b">
        <v>0</v>
      </c>
      <c r="N21" t="s">
        <v>18</v>
      </c>
      <c r="O21" t="b">
        <v>0</v>
      </c>
      <c r="P21">
        <v>2</v>
      </c>
      <c r="Q21" t="s">
        <v>37</v>
      </c>
      <c r="R21" t="s">
        <v>88</v>
      </c>
      <c r="S21">
        <f>VLOOKUP(R21,[1]Sheet1!$A$1:$B$53,2,FALSE)</f>
        <v>2</v>
      </c>
    </row>
    <row r="22" spans="1:19" x14ac:dyDescent="0.25">
      <c r="A22" t="s">
        <v>64</v>
      </c>
      <c r="B22" t="s">
        <v>18</v>
      </c>
      <c r="C22" t="b">
        <v>0</v>
      </c>
      <c r="D22" t="s">
        <v>19</v>
      </c>
      <c r="E22" t="b">
        <v>0</v>
      </c>
      <c r="F22" t="s">
        <v>26</v>
      </c>
      <c r="G22" t="b">
        <v>1</v>
      </c>
      <c r="H22" t="s">
        <v>21</v>
      </c>
      <c r="I22" t="b">
        <v>0</v>
      </c>
      <c r="J22" t="s">
        <v>22</v>
      </c>
      <c r="K22" t="b">
        <v>0</v>
      </c>
      <c r="L22" t="s">
        <v>20</v>
      </c>
      <c r="M22" t="b">
        <v>0</v>
      </c>
      <c r="N22" t="s">
        <v>23</v>
      </c>
      <c r="O22" t="b">
        <v>0</v>
      </c>
      <c r="P22">
        <v>1</v>
      </c>
      <c r="Q22" t="s">
        <v>6</v>
      </c>
      <c r="R22" t="s">
        <v>89</v>
      </c>
      <c r="S22">
        <f>VLOOKUP(R22,[1]Sheet1!$A$1:$B$53,2,FALSE)</f>
        <v>1</v>
      </c>
    </row>
    <row r="23" spans="1:19" x14ac:dyDescent="0.25">
      <c r="A23" t="s">
        <v>65</v>
      </c>
      <c r="B23" t="s">
        <v>18</v>
      </c>
      <c r="C23" t="b">
        <v>0</v>
      </c>
      <c r="D23" t="s">
        <v>19</v>
      </c>
      <c r="E23" t="b">
        <v>0</v>
      </c>
      <c r="F23" t="s">
        <v>26</v>
      </c>
      <c r="G23" t="b">
        <v>1</v>
      </c>
      <c r="H23" t="s">
        <v>21</v>
      </c>
      <c r="I23" t="b">
        <v>0</v>
      </c>
      <c r="J23" t="s">
        <v>22</v>
      </c>
      <c r="K23" t="b">
        <v>0</v>
      </c>
      <c r="L23" t="s">
        <v>20</v>
      </c>
      <c r="M23" t="b">
        <v>0</v>
      </c>
      <c r="N23" t="s">
        <v>23</v>
      </c>
      <c r="O23" t="b">
        <v>0</v>
      </c>
      <c r="P23">
        <v>1</v>
      </c>
      <c r="Q23" t="s">
        <v>6</v>
      </c>
      <c r="R23" t="s">
        <v>90</v>
      </c>
      <c r="S23">
        <f>VLOOKUP(R23,[1]Sheet1!$A$1:$B$53,2,FALSE)</f>
        <v>3</v>
      </c>
    </row>
    <row r="24" spans="1:19" x14ac:dyDescent="0.25">
      <c r="A24" t="s">
        <v>66</v>
      </c>
      <c r="B24" t="s">
        <v>18</v>
      </c>
      <c r="C24" t="b">
        <v>0</v>
      </c>
      <c r="D24" t="s">
        <v>19</v>
      </c>
      <c r="E24" t="b">
        <v>0</v>
      </c>
      <c r="F24" t="s">
        <v>26</v>
      </c>
      <c r="G24" t="b">
        <v>1</v>
      </c>
      <c r="H24" t="s">
        <v>35</v>
      </c>
      <c r="I24" t="b">
        <v>1</v>
      </c>
      <c r="J24" t="s">
        <v>35</v>
      </c>
      <c r="K24" t="b">
        <v>1</v>
      </c>
      <c r="L24" t="s">
        <v>20</v>
      </c>
      <c r="M24" t="b">
        <v>0</v>
      </c>
      <c r="N24" t="s">
        <v>23</v>
      </c>
      <c r="O24" t="b">
        <v>0</v>
      </c>
      <c r="P24">
        <v>3</v>
      </c>
      <c r="Q24" t="s">
        <v>45</v>
      </c>
      <c r="R24" t="s">
        <v>91</v>
      </c>
      <c r="S24">
        <f>VLOOKUP(R24,[1]Sheet1!$A$1:$B$53,2,FALSE)</f>
        <v>1</v>
      </c>
    </row>
    <row r="25" spans="1:19" x14ac:dyDescent="0.25">
      <c r="A25" t="s">
        <v>67</v>
      </c>
      <c r="B25" t="s">
        <v>18</v>
      </c>
      <c r="C25" t="b">
        <v>0</v>
      </c>
      <c r="D25" t="s">
        <v>19</v>
      </c>
      <c r="E25" t="b">
        <v>0</v>
      </c>
      <c r="F25" t="s">
        <v>26</v>
      </c>
      <c r="G25" t="b">
        <v>1</v>
      </c>
      <c r="H25" t="s">
        <v>35</v>
      </c>
      <c r="I25" t="b">
        <v>1</v>
      </c>
      <c r="J25" t="s">
        <v>35</v>
      </c>
      <c r="K25" t="b">
        <v>1</v>
      </c>
      <c r="L25" t="s">
        <v>20</v>
      </c>
      <c r="M25" t="b">
        <v>0</v>
      </c>
      <c r="N25" t="s">
        <v>23</v>
      </c>
      <c r="O25" t="b">
        <v>0</v>
      </c>
      <c r="P25">
        <v>3</v>
      </c>
      <c r="Q25" t="s">
        <v>45</v>
      </c>
      <c r="R25" t="s">
        <v>92</v>
      </c>
      <c r="S25">
        <f>VLOOKUP(R25,[1]Sheet1!$A$1:$B$53,2,FALSE)</f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DB6D7-1893-450A-BB31-CA396228538D}">
  <dimension ref="A1:S18"/>
  <sheetViews>
    <sheetView tabSelected="1" workbookViewId="0">
      <selection activeCell="Q15" sqref="Q15"/>
    </sheetView>
  </sheetViews>
  <sheetFormatPr defaultRowHeight="15" x14ac:dyDescent="0.25"/>
  <cols>
    <col min="1" max="1" width="23.140625" bestFit="1" customWidth="1"/>
    <col min="2" max="2" width="8.140625" bestFit="1" customWidth="1"/>
    <col min="3" max="3" width="6.140625" bestFit="1" customWidth="1"/>
    <col min="4" max="4" width="8.140625" bestFit="1" customWidth="1"/>
    <col min="5" max="5" width="6.42578125" bestFit="1" customWidth="1"/>
    <col min="6" max="6" width="8.140625" bestFit="1" customWidth="1"/>
    <col min="7" max="7" width="6.7109375" bestFit="1" customWidth="1"/>
    <col min="8" max="8" width="8.140625" bestFit="1" customWidth="1"/>
    <col min="9" max="9" width="6" bestFit="1" customWidth="1"/>
    <col min="10" max="10" width="8.140625" bestFit="1" customWidth="1"/>
    <col min="11" max="11" width="6.140625" bestFit="1" customWidth="1"/>
    <col min="12" max="12" width="8.140625" bestFit="1" customWidth="1"/>
    <col min="13" max="13" width="6.7109375" bestFit="1" customWidth="1"/>
    <col min="14" max="14" width="8.140625" bestFit="1" customWidth="1"/>
    <col min="15" max="15" width="6.7109375" bestFit="1" customWidth="1"/>
    <col min="16" max="16" width="12" bestFit="1" customWidth="1"/>
    <col min="17" max="17" width="21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68</v>
      </c>
      <c r="S1" t="s">
        <v>117</v>
      </c>
    </row>
    <row r="2" spans="1:19" x14ac:dyDescent="0.25">
      <c r="A2" t="s">
        <v>17</v>
      </c>
      <c r="B2" t="s">
        <v>18</v>
      </c>
      <c r="C2" t="b">
        <v>0</v>
      </c>
      <c r="D2" t="s">
        <v>19</v>
      </c>
      <c r="E2" t="b">
        <v>0</v>
      </c>
      <c r="F2" t="s">
        <v>51</v>
      </c>
      <c r="G2" t="b">
        <v>0</v>
      </c>
      <c r="H2" t="s">
        <v>21</v>
      </c>
      <c r="I2" t="b">
        <v>0</v>
      </c>
      <c r="J2" t="s">
        <v>22</v>
      </c>
      <c r="K2" t="b">
        <v>0</v>
      </c>
      <c r="L2" t="s">
        <v>20</v>
      </c>
      <c r="M2" t="b">
        <v>0</v>
      </c>
      <c r="N2" t="s">
        <v>20</v>
      </c>
      <c r="O2" t="b">
        <v>1</v>
      </c>
      <c r="P2">
        <v>1</v>
      </c>
      <c r="Q2" t="s">
        <v>14</v>
      </c>
      <c r="R2" t="s">
        <v>100</v>
      </c>
      <c r="S2">
        <v>56</v>
      </c>
    </row>
    <row r="3" spans="1:19" x14ac:dyDescent="0.25">
      <c r="A3" t="s">
        <v>94</v>
      </c>
      <c r="B3" t="s">
        <v>19</v>
      </c>
      <c r="C3" t="b">
        <v>1</v>
      </c>
      <c r="D3" t="s">
        <v>19</v>
      </c>
      <c r="E3" t="b">
        <v>0</v>
      </c>
      <c r="F3" t="s">
        <v>20</v>
      </c>
      <c r="G3" t="b">
        <v>0</v>
      </c>
      <c r="H3" t="s">
        <v>21</v>
      </c>
      <c r="I3" t="b">
        <v>0</v>
      </c>
      <c r="J3" t="s">
        <v>22</v>
      </c>
      <c r="K3" t="b">
        <v>0</v>
      </c>
      <c r="L3" t="s">
        <v>20</v>
      </c>
      <c r="M3" t="b">
        <v>0</v>
      </c>
      <c r="N3" t="s">
        <v>20</v>
      </c>
      <c r="O3" t="b">
        <v>1</v>
      </c>
      <c r="P3">
        <v>2</v>
      </c>
      <c r="Q3" t="s">
        <v>95</v>
      </c>
      <c r="R3" t="s">
        <v>101</v>
      </c>
      <c r="S3">
        <v>24</v>
      </c>
    </row>
    <row r="4" spans="1:19" x14ac:dyDescent="0.25">
      <c r="A4" t="s">
        <v>96</v>
      </c>
      <c r="B4" t="s">
        <v>18</v>
      </c>
      <c r="C4" t="b">
        <v>0</v>
      </c>
      <c r="D4" t="s">
        <v>19</v>
      </c>
      <c r="E4" t="b">
        <v>0</v>
      </c>
      <c r="F4" t="s">
        <v>26</v>
      </c>
      <c r="G4" t="b">
        <v>1</v>
      </c>
      <c r="H4" t="s">
        <v>35</v>
      </c>
      <c r="I4" t="b">
        <v>1</v>
      </c>
      <c r="J4" t="s">
        <v>35</v>
      </c>
      <c r="K4" t="b">
        <v>1</v>
      </c>
      <c r="L4" t="s">
        <v>20</v>
      </c>
      <c r="M4" t="b">
        <v>0</v>
      </c>
      <c r="N4" t="s">
        <v>23</v>
      </c>
      <c r="O4" t="b">
        <v>0</v>
      </c>
      <c r="P4">
        <v>3</v>
      </c>
      <c r="Q4" t="s">
        <v>45</v>
      </c>
      <c r="R4" t="s">
        <v>102</v>
      </c>
      <c r="S4">
        <v>37</v>
      </c>
    </row>
    <row r="5" spans="1:19" x14ac:dyDescent="0.25">
      <c r="A5" t="s">
        <v>28</v>
      </c>
      <c r="B5" t="s">
        <v>18</v>
      </c>
      <c r="C5" t="b">
        <v>0</v>
      </c>
      <c r="D5" t="s">
        <v>19</v>
      </c>
      <c r="E5" t="b">
        <v>0</v>
      </c>
      <c r="F5" t="s">
        <v>20</v>
      </c>
      <c r="G5" t="b">
        <v>0</v>
      </c>
      <c r="H5" t="s">
        <v>21</v>
      </c>
      <c r="I5" t="b">
        <v>0</v>
      </c>
      <c r="J5" t="s">
        <v>22</v>
      </c>
      <c r="K5" t="b">
        <v>0</v>
      </c>
      <c r="L5" t="s">
        <v>20</v>
      </c>
      <c r="M5" t="b">
        <v>0</v>
      </c>
      <c r="N5" t="s">
        <v>23</v>
      </c>
      <c r="O5" t="b">
        <v>0</v>
      </c>
      <c r="P5">
        <v>0</v>
      </c>
      <c r="Q5" t="s">
        <v>24</v>
      </c>
      <c r="R5" t="s">
        <v>103</v>
      </c>
      <c r="S5">
        <v>1</v>
      </c>
    </row>
    <row r="6" spans="1:19" x14ac:dyDescent="0.25">
      <c r="A6" t="s">
        <v>29</v>
      </c>
      <c r="B6" t="s">
        <v>18</v>
      </c>
      <c r="C6" t="b">
        <v>0</v>
      </c>
      <c r="D6" t="s">
        <v>19</v>
      </c>
      <c r="E6" t="b">
        <v>0</v>
      </c>
      <c r="F6" t="s">
        <v>26</v>
      </c>
      <c r="G6" t="b">
        <v>1</v>
      </c>
      <c r="H6" t="s">
        <v>35</v>
      </c>
      <c r="I6" t="b">
        <v>1</v>
      </c>
      <c r="J6" t="s">
        <v>22</v>
      </c>
      <c r="K6" t="b">
        <v>0</v>
      </c>
      <c r="L6" t="s">
        <v>20</v>
      </c>
      <c r="M6" t="b">
        <v>0</v>
      </c>
      <c r="N6" t="s">
        <v>23</v>
      </c>
      <c r="O6" t="b">
        <v>0</v>
      </c>
      <c r="P6">
        <v>2</v>
      </c>
      <c r="Q6" t="s">
        <v>49</v>
      </c>
      <c r="R6" t="s">
        <v>104</v>
      </c>
      <c r="S6">
        <v>2</v>
      </c>
    </row>
    <row r="7" spans="1:19" x14ac:dyDescent="0.25">
      <c r="A7" t="s">
        <v>97</v>
      </c>
      <c r="B7" t="s">
        <v>18</v>
      </c>
      <c r="C7" t="b">
        <v>0</v>
      </c>
      <c r="D7" t="s">
        <v>19</v>
      </c>
      <c r="E7" t="b">
        <v>0</v>
      </c>
      <c r="F7" t="s">
        <v>26</v>
      </c>
      <c r="G7" t="b">
        <v>1</v>
      </c>
      <c r="H7" t="s">
        <v>35</v>
      </c>
      <c r="I7" t="b">
        <v>1</v>
      </c>
      <c r="J7" t="s">
        <v>35</v>
      </c>
      <c r="K7" t="b">
        <v>1</v>
      </c>
      <c r="L7" t="s">
        <v>20</v>
      </c>
      <c r="M7" t="b">
        <v>0</v>
      </c>
      <c r="N7" t="s">
        <v>23</v>
      </c>
      <c r="O7" t="b">
        <v>0</v>
      </c>
      <c r="P7">
        <v>3</v>
      </c>
      <c r="Q7" t="s">
        <v>45</v>
      </c>
      <c r="R7" t="s">
        <v>105</v>
      </c>
      <c r="S7">
        <v>2</v>
      </c>
    </row>
    <row r="8" spans="1:19" x14ac:dyDescent="0.25">
      <c r="A8" t="s">
        <v>30</v>
      </c>
      <c r="B8" t="s">
        <v>18</v>
      </c>
      <c r="C8" t="b">
        <v>0</v>
      </c>
      <c r="D8" t="s">
        <v>19</v>
      </c>
      <c r="E8" t="b">
        <v>0</v>
      </c>
      <c r="F8" t="s">
        <v>51</v>
      </c>
      <c r="G8" t="b">
        <v>0</v>
      </c>
      <c r="H8" t="s">
        <v>21</v>
      </c>
      <c r="I8" t="b">
        <v>0</v>
      </c>
      <c r="J8" t="s">
        <v>22</v>
      </c>
      <c r="K8" t="b">
        <v>0</v>
      </c>
      <c r="L8" t="s">
        <v>20</v>
      </c>
      <c r="M8" t="b">
        <v>0</v>
      </c>
      <c r="N8" t="s">
        <v>20</v>
      </c>
      <c r="O8" t="b">
        <v>1</v>
      </c>
      <c r="P8">
        <v>1</v>
      </c>
      <c r="Q8" t="s">
        <v>14</v>
      </c>
      <c r="R8" t="s">
        <v>106</v>
      </c>
      <c r="S8">
        <v>6</v>
      </c>
    </row>
    <row r="9" spans="1:19" x14ac:dyDescent="0.25">
      <c r="A9" t="s">
        <v>31</v>
      </c>
      <c r="B9" t="s">
        <v>18</v>
      </c>
      <c r="C9" t="b">
        <v>0</v>
      </c>
      <c r="D9" t="s">
        <v>19</v>
      </c>
      <c r="E9" t="b">
        <v>0</v>
      </c>
      <c r="F9" t="s">
        <v>51</v>
      </c>
      <c r="G9" t="b">
        <v>0</v>
      </c>
      <c r="H9" t="s">
        <v>21</v>
      </c>
      <c r="I9" t="b">
        <v>0</v>
      </c>
      <c r="J9" t="s">
        <v>22</v>
      </c>
      <c r="K9" t="b">
        <v>0</v>
      </c>
      <c r="L9" t="s">
        <v>20</v>
      </c>
      <c r="M9" t="b">
        <v>0</v>
      </c>
      <c r="N9" t="s">
        <v>20</v>
      </c>
      <c r="O9" t="b">
        <v>1</v>
      </c>
      <c r="P9">
        <v>1</v>
      </c>
      <c r="Q9" t="s">
        <v>14</v>
      </c>
      <c r="R9" t="s">
        <v>107</v>
      </c>
      <c r="S9">
        <v>2</v>
      </c>
    </row>
    <row r="10" spans="1:19" x14ac:dyDescent="0.25">
      <c r="A10" t="s">
        <v>32</v>
      </c>
      <c r="B10" t="s">
        <v>18</v>
      </c>
      <c r="C10" t="b">
        <v>0</v>
      </c>
      <c r="D10" t="s">
        <v>19</v>
      </c>
      <c r="E10" t="b">
        <v>0</v>
      </c>
      <c r="F10" t="s">
        <v>51</v>
      </c>
      <c r="G10" t="b">
        <v>0</v>
      </c>
      <c r="H10" t="s">
        <v>21</v>
      </c>
      <c r="I10" t="b">
        <v>0</v>
      </c>
      <c r="J10" t="s">
        <v>22</v>
      </c>
      <c r="K10" t="b">
        <v>0</v>
      </c>
      <c r="L10" t="s">
        <v>20</v>
      </c>
      <c r="M10" t="b">
        <v>0</v>
      </c>
      <c r="N10" t="s">
        <v>20</v>
      </c>
      <c r="O10" t="b">
        <v>1</v>
      </c>
      <c r="P10">
        <v>1</v>
      </c>
      <c r="Q10" t="s">
        <v>14</v>
      </c>
      <c r="R10" t="s">
        <v>108</v>
      </c>
      <c r="S10">
        <v>8</v>
      </c>
    </row>
    <row r="11" spans="1:19" x14ac:dyDescent="0.25">
      <c r="A11" t="s">
        <v>33</v>
      </c>
      <c r="B11" t="s">
        <v>18</v>
      </c>
      <c r="C11" t="b">
        <v>0</v>
      </c>
      <c r="D11" t="s">
        <v>19</v>
      </c>
      <c r="E11" t="b">
        <v>0</v>
      </c>
      <c r="F11" t="s">
        <v>51</v>
      </c>
      <c r="G11" t="b">
        <v>0</v>
      </c>
      <c r="H11" t="s">
        <v>21</v>
      </c>
      <c r="I11" t="b">
        <v>0</v>
      </c>
      <c r="J11" t="s">
        <v>22</v>
      </c>
      <c r="K11" t="b">
        <v>0</v>
      </c>
      <c r="L11" t="s">
        <v>20</v>
      </c>
      <c r="M11" t="b">
        <v>0</v>
      </c>
      <c r="N11" t="s">
        <v>20</v>
      </c>
      <c r="O11" t="b">
        <v>1</v>
      </c>
      <c r="P11">
        <v>1</v>
      </c>
      <c r="Q11" t="s">
        <v>14</v>
      </c>
      <c r="R11" t="s">
        <v>109</v>
      </c>
      <c r="S11">
        <v>8</v>
      </c>
    </row>
    <row r="12" spans="1:19" x14ac:dyDescent="0.25">
      <c r="A12" t="s">
        <v>34</v>
      </c>
      <c r="B12" t="s">
        <v>18</v>
      </c>
      <c r="C12" t="b">
        <v>0</v>
      </c>
      <c r="D12" t="s">
        <v>19</v>
      </c>
      <c r="E12" t="b">
        <v>0</v>
      </c>
      <c r="F12" t="s">
        <v>20</v>
      </c>
      <c r="G12" t="b">
        <v>0</v>
      </c>
      <c r="H12" t="s">
        <v>21</v>
      </c>
      <c r="I12" t="b">
        <v>0</v>
      </c>
      <c r="J12" t="s">
        <v>22</v>
      </c>
      <c r="K12" t="b">
        <v>0</v>
      </c>
      <c r="L12" t="s">
        <v>20</v>
      </c>
      <c r="M12" t="b">
        <v>0</v>
      </c>
      <c r="N12" t="s">
        <v>20</v>
      </c>
      <c r="O12" t="b">
        <v>1</v>
      </c>
      <c r="P12">
        <v>1</v>
      </c>
      <c r="Q12" t="s">
        <v>14</v>
      </c>
      <c r="R12" t="s">
        <v>110</v>
      </c>
      <c r="S12">
        <v>1</v>
      </c>
    </row>
    <row r="13" spans="1:19" x14ac:dyDescent="0.25">
      <c r="A13" t="s">
        <v>38</v>
      </c>
      <c r="B13" t="s">
        <v>18</v>
      </c>
      <c r="C13" t="b">
        <v>0</v>
      </c>
      <c r="D13" t="s">
        <v>21</v>
      </c>
      <c r="E13" t="b">
        <v>0</v>
      </c>
      <c r="F13" t="s">
        <v>26</v>
      </c>
      <c r="G13" t="b">
        <v>1</v>
      </c>
      <c r="H13" t="s">
        <v>35</v>
      </c>
      <c r="I13" t="b">
        <v>1</v>
      </c>
      <c r="J13" t="s">
        <v>22</v>
      </c>
      <c r="K13" t="b">
        <v>0</v>
      </c>
      <c r="L13" t="s">
        <v>20</v>
      </c>
      <c r="M13" t="b">
        <v>0</v>
      </c>
      <c r="N13" t="s">
        <v>20</v>
      </c>
      <c r="O13" t="b">
        <v>1</v>
      </c>
      <c r="P13">
        <v>3</v>
      </c>
      <c r="Q13" t="s">
        <v>98</v>
      </c>
      <c r="R13" t="s">
        <v>111</v>
      </c>
      <c r="S13">
        <v>2</v>
      </c>
    </row>
    <row r="14" spans="1:19" x14ac:dyDescent="0.25">
      <c r="A14" t="s">
        <v>39</v>
      </c>
      <c r="B14" t="s">
        <v>18</v>
      </c>
      <c r="C14" t="b">
        <v>0</v>
      </c>
      <c r="D14" t="s">
        <v>19</v>
      </c>
      <c r="E14" t="b">
        <v>0</v>
      </c>
      <c r="F14" t="s">
        <v>20</v>
      </c>
      <c r="G14" t="b">
        <v>0</v>
      </c>
      <c r="H14" t="s">
        <v>21</v>
      </c>
      <c r="I14" t="b">
        <v>0</v>
      </c>
      <c r="J14" t="s">
        <v>22</v>
      </c>
      <c r="K14" t="b">
        <v>0</v>
      </c>
      <c r="L14" t="s">
        <v>20</v>
      </c>
      <c r="M14" t="b">
        <v>0</v>
      </c>
      <c r="N14" t="s">
        <v>23</v>
      </c>
      <c r="O14" t="b">
        <v>0</v>
      </c>
      <c r="P14">
        <v>0</v>
      </c>
      <c r="Q14" t="s">
        <v>24</v>
      </c>
      <c r="R14" t="s">
        <v>112</v>
      </c>
      <c r="S14">
        <v>1</v>
      </c>
    </row>
    <row r="15" spans="1:19" x14ac:dyDescent="0.25">
      <c r="A15" t="s">
        <v>99</v>
      </c>
      <c r="B15" t="s">
        <v>18</v>
      </c>
      <c r="C15" t="b">
        <v>0</v>
      </c>
      <c r="D15" t="s">
        <v>19</v>
      </c>
      <c r="E15" t="b">
        <v>0</v>
      </c>
      <c r="F15" t="s">
        <v>20</v>
      </c>
      <c r="G15" t="b">
        <v>0</v>
      </c>
      <c r="H15" t="s">
        <v>21</v>
      </c>
      <c r="I15" t="b">
        <v>0</v>
      </c>
      <c r="J15" t="s">
        <v>35</v>
      </c>
      <c r="K15" t="b">
        <v>1</v>
      </c>
      <c r="L15" t="s">
        <v>20</v>
      </c>
      <c r="M15" t="b">
        <v>0</v>
      </c>
      <c r="N15" t="s">
        <v>20</v>
      </c>
      <c r="O15" t="b">
        <v>1</v>
      </c>
      <c r="P15">
        <v>2</v>
      </c>
      <c r="Q15" t="s">
        <v>52</v>
      </c>
      <c r="R15" t="s">
        <v>113</v>
      </c>
      <c r="S15">
        <v>2</v>
      </c>
    </row>
    <row r="16" spans="1:19" x14ac:dyDescent="0.25">
      <c r="A16" t="s">
        <v>40</v>
      </c>
      <c r="B16" t="s">
        <v>18</v>
      </c>
      <c r="C16" t="b">
        <v>0</v>
      </c>
      <c r="D16" t="s">
        <v>19</v>
      </c>
      <c r="E16" t="b">
        <v>0</v>
      </c>
      <c r="F16" t="s">
        <v>51</v>
      </c>
      <c r="G16" t="b">
        <v>0</v>
      </c>
      <c r="H16" t="s">
        <v>21</v>
      </c>
      <c r="I16" t="b">
        <v>0</v>
      </c>
      <c r="J16" t="s">
        <v>22</v>
      </c>
      <c r="K16" t="b">
        <v>0</v>
      </c>
      <c r="L16" t="s">
        <v>20</v>
      </c>
      <c r="M16" t="b">
        <v>0</v>
      </c>
      <c r="N16" t="s">
        <v>20</v>
      </c>
      <c r="O16" t="b">
        <v>1</v>
      </c>
      <c r="P16">
        <v>1</v>
      </c>
      <c r="Q16" t="s">
        <v>14</v>
      </c>
      <c r="R16" t="s">
        <v>114</v>
      </c>
      <c r="S16">
        <v>3</v>
      </c>
    </row>
    <row r="17" spans="1:19" x14ac:dyDescent="0.25">
      <c r="A17" t="s">
        <v>41</v>
      </c>
      <c r="B17" t="s">
        <v>18</v>
      </c>
      <c r="C17" t="b">
        <v>0</v>
      </c>
      <c r="D17" t="s">
        <v>19</v>
      </c>
      <c r="E17" t="b">
        <v>0</v>
      </c>
      <c r="F17" t="s">
        <v>51</v>
      </c>
      <c r="G17" t="b">
        <v>0</v>
      </c>
      <c r="H17" t="s">
        <v>21</v>
      </c>
      <c r="I17" t="b">
        <v>0</v>
      </c>
      <c r="J17" t="s">
        <v>22</v>
      </c>
      <c r="K17" t="b">
        <v>0</v>
      </c>
      <c r="L17" t="s">
        <v>20</v>
      </c>
      <c r="M17" t="b">
        <v>0</v>
      </c>
      <c r="N17" t="s">
        <v>20</v>
      </c>
      <c r="O17" t="b">
        <v>1</v>
      </c>
      <c r="P17">
        <v>1</v>
      </c>
      <c r="Q17" t="s">
        <v>14</v>
      </c>
      <c r="R17" t="s">
        <v>115</v>
      </c>
      <c r="S17">
        <v>1</v>
      </c>
    </row>
    <row r="18" spans="1:19" x14ac:dyDescent="0.25">
      <c r="A18" t="s">
        <v>43</v>
      </c>
      <c r="B18" t="s">
        <v>18</v>
      </c>
      <c r="C18" t="b">
        <v>0</v>
      </c>
      <c r="D18" t="s">
        <v>19</v>
      </c>
      <c r="E18" t="b">
        <v>0</v>
      </c>
      <c r="F18" t="s">
        <v>26</v>
      </c>
      <c r="G18" t="b">
        <v>1</v>
      </c>
      <c r="H18" t="s">
        <v>35</v>
      </c>
      <c r="I18" t="b">
        <v>1</v>
      </c>
      <c r="J18" t="s">
        <v>22</v>
      </c>
      <c r="K18" t="b">
        <v>0</v>
      </c>
      <c r="L18" t="s">
        <v>20</v>
      </c>
      <c r="M18" t="b">
        <v>0</v>
      </c>
      <c r="N18" t="s">
        <v>23</v>
      </c>
      <c r="O18" t="b">
        <v>0</v>
      </c>
      <c r="P18">
        <v>2</v>
      </c>
      <c r="Q18" t="s">
        <v>49</v>
      </c>
      <c r="R18" t="s">
        <v>116</v>
      </c>
      <c r="S18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299E3986B667479987137D8ABC56EE" ma:contentTypeVersion="12" ma:contentTypeDescription="Create a new document." ma:contentTypeScope="" ma:versionID="38a09d5c9a247073cfa35e79f6411387">
  <xsd:schema xmlns:xsd="http://www.w3.org/2001/XMLSchema" xmlns:xs="http://www.w3.org/2001/XMLSchema" xmlns:p="http://schemas.microsoft.com/office/2006/metadata/properties" xmlns:ns2="c478fcf1-df2b-4b17-ac0d-5fb1dd3b8dd4" xmlns:ns3="2a1e774b-1312-493c-b167-5aa786dea5b7" targetNamespace="http://schemas.microsoft.com/office/2006/metadata/properties" ma:root="true" ma:fieldsID="e5314cc11d213a1efe15b1656a8889f2" ns2:_="" ns3:_="">
    <xsd:import namespace="c478fcf1-df2b-4b17-ac0d-5fb1dd3b8dd4"/>
    <xsd:import namespace="2a1e774b-1312-493c-b167-5aa786dea5b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78fcf1-df2b-4b17-ac0d-5fb1dd3b8d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0002f2cb-a6fe-4896-bd1d-a708f10bb3e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1e774b-1312-493c-b167-5aa786dea5b7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78fcf1-df2b-4b17-ac0d-5fb1dd3b8dd4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BEF051D-E822-4FCD-9567-00B728E3620F}"/>
</file>

<file path=customXml/itemProps2.xml><?xml version="1.0" encoding="utf-8"?>
<ds:datastoreItem xmlns:ds="http://schemas.openxmlformats.org/officeDocument/2006/customXml" ds:itemID="{3195B96C-B051-4E04-9BD0-F567DF8BC5EF}"/>
</file>

<file path=customXml/itemProps3.xml><?xml version="1.0" encoding="utf-8"?>
<ds:datastoreItem xmlns:ds="http://schemas.openxmlformats.org/officeDocument/2006/customXml" ds:itemID="{4631B9A1-70AB-42C0-AAB7-C395A22F6D2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jej_just_mutations</vt:lpstr>
      <vt:lpstr>coli_mutations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Aline Parolin Calarga</dc:creator>
  <cp:lastModifiedBy>Aline Parolin Calarga</cp:lastModifiedBy>
  <dcterms:created xsi:type="dcterms:W3CDTF">2026-05-04T13:26:47Z</dcterms:created>
  <dcterms:modified xsi:type="dcterms:W3CDTF">2026-05-04T15:35:26Z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0x01010001299E3986B667479987137D8ABC56EE</vt:lpwstr>
  </property>
</Properties>
</file>