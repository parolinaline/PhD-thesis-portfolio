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4 Campy cmeABC efflux pump/WRITING/Figures/FIG_MIC/"/>
    </mc:Choice>
  </mc:AlternateContent>
  <xr:revisionPtr revIDLastSave="141" documentId="13_ncr:1_{FC22711B-C68A-4421-BC2E-D1E6C6FB17F9}" xr6:coauthVersionLast="47" xr6:coauthVersionMax="47" xr10:uidLastSave="{1B470FA6-3205-40AF-9E3A-D4C5253A84C7}"/>
  <bookViews>
    <workbookView minimized="1" xWindow="-29430" yWindow="5205" windowWidth="21600" windowHeight="11295" activeTab="4" xr2:uid="{05EFD580-5A55-4417-881C-D52F32F19B06}"/>
  </bookViews>
  <sheets>
    <sheet name="MIC_DRUGS" sheetId="1" r:id="rId1"/>
    <sheet name="MBC_DRUGS" sheetId="6" r:id="rId2"/>
    <sheet name="Biocides_MIC" sheetId="4" r:id="rId3"/>
    <sheet name="Biocides_MBC" sheetId="3" r:id="rId4"/>
    <sheet name="summary_MIC" sheetId="8" r:id="rId5"/>
    <sheet name="Sheet1" sheetId="11" r:id="rId6"/>
    <sheet name="metadata_table" sheetId="10" r:id="rId7"/>
    <sheet name="summary_MBC" sheetId="9" r:id="rId8"/>
  </sheets>
  <externalReferences>
    <externalReference r:id="rId9"/>
    <externalReference r:id="rId10"/>
  </externalReferences>
  <definedNames>
    <definedName name="_xlnm._FilterDatabase" localSheetId="3" hidden="1">Biocides_MBC!$N$1:$N$107</definedName>
    <definedName name="_xlnm._FilterDatabase" localSheetId="2" hidden="1">Biocides_MIC!$P$1:$P$117</definedName>
    <definedName name="_xlnm._FilterDatabase" localSheetId="1" hidden="1">MBC_DRUGS!$X$1:$X$124</definedName>
    <definedName name="_xlnm._FilterDatabase" localSheetId="0" hidden="1">MIC_DRUGS!$X$1:$X$129</definedName>
    <definedName name="_xlnm._FilterDatabase" localSheetId="4" hidden="1">summary_MIC!#REF!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8" l="1"/>
  <c r="B16" i="8"/>
  <c r="B19" i="8"/>
  <c r="B7" i="8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4" i="9"/>
  <c r="Q23" i="9"/>
  <c r="Q24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B5" i="8"/>
  <c r="B6" i="8"/>
  <c r="B8" i="8"/>
  <c r="B9" i="8"/>
  <c r="B10" i="8"/>
  <c r="B11" i="8"/>
  <c r="B12" i="8"/>
  <c r="B13" i="8"/>
  <c r="B14" i="8"/>
  <c r="B15" i="8"/>
  <c r="B17" i="8"/>
  <c r="B18" i="8"/>
  <c r="B20" i="8"/>
  <c r="B21" i="8"/>
  <c r="B23" i="8"/>
  <c r="B4" i="8"/>
</calcChain>
</file>

<file path=xl/sharedStrings.xml><?xml version="1.0" encoding="utf-8"?>
<sst xmlns="http://schemas.openxmlformats.org/spreadsheetml/2006/main" count="3095" uniqueCount="206">
  <si>
    <t>Interpretation values</t>
  </si>
  <si>
    <t>MIC</t>
  </si>
  <si>
    <t>Species</t>
  </si>
  <si>
    <t>Tetracycline</t>
  </si>
  <si>
    <t>Ciprofloxacin</t>
  </si>
  <si>
    <t>Erythromycin</t>
  </si>
  <si>
    <t>Interpretation</t>
  </si>
  <si>
    <t>DISC DIFFUSION</t>
  </si>
  <si>
    <t>TETRACYCLINE</t>
  </si>
  <si>
    <t>CIPROFLOXACIN</t>
  </si>
  <si>
    <t>ERYTHROMICIN</t>
  </si>
  <si>
    <t>C. coli</t>
  </si>
  <si>
    <t>&gt;2</t>
  </si>
  <si>
    <t>&gt;0.5</t>
  </si>
  <si>
    <t>&gt;8</t>
  </si>
  <si>
    <t>R</t>
  </si>
  <si>
    <t>ID</t>
  </si>
  <si>
    <t>ST</t>
  </si>
  <si>
    <t>AMR genes</t>
  </si>
  <si>
    <t>TET</t>
  </si>
  <si>
    <t>ERY</t>
  </si>
  <si>
    <t>CIP</t>
  </si>
  <si>
    <t>NAC</t>
  </si>
  <si>
    <t>Replicate</t>
  </si>
  <si>
    <t>DATE</t>
  </si>
  <si>
    <t>COUNT</t>
  </si>
  <si>
    <t>Value1 (mg/L)</t>
  </si>
  <si>
    <t>Value2 (mg/L)</t>
  </si>
  <si>
    <t>Value3 (mg/L)</t>
  </si>
  <si>
    <t>Result</t>
  </si>
  <si>
    <t>C. jejuni</t>
  </si>
  <si>
    <t>&gt;4</t>
  </si>
  <si>
    <t>SC0012</t>
  </si>
  <si>
    <t>none</t>
  </si>
  <si>
    <t>S</t>
  </si>
  <si>
    <t>REPEAT</t>
  </si>
  <si>
    <t>Control</t>
  </si>
  <si>
    <t>Expected range</t>
  </si>
  <si>
    <t>Staphy aureus 29213</t>
  </si>
  <si>
    <t>0.125-1</t>
  </si>
  <si>
    <t>0.125-0.5</t>
  </si>
  <si>
    <t>0.25-1</t>
  </si>
  <si>
    <t>SC0026</t>
  </si>
  <si>
    <t>gyrAT86I_tetO</t>
  </si>
  <si>
    <t>x</t>
  </si>
  <si>
    <t>MIC (Minimum Inhibitory Concentration) refers to the lowest concentration of an antimicrobial agent that inhibits the visible growth of a microorganism</t>
  </si>
  <si>
    <t>SC0069</t>
  </si>
  <si>
    <t>new2</t>
  </si>
  <si>
    <t>gyrAT86I_tetL</t>
  </si>
  <si>
    <t>27feb25</t>
  </si>
  <si>
    <t xml:space="preserve">R </t>
  </si>
  <si>
    <t>SC0143</t>
  </si>
  <si>
    <t>gyrAT86I</t>
  </si>
  <si>
    <t>SC0164</t>
  </si>
  <si>
    <t>tetO</t>
  </si>
  <si>
    <t>SC0169</t>
  </si>
  <si>
    <t>SC0230</t>
  </si>
  <si>
    <t>SC0235</t>
  </si>
  <si>
    <t>SC0261</t>
  </si>
  <si>
    <t>SC0431</t>
  </si>
  <si>
    <t>SC0682</t>
  </si>
  <si>
    <t>SC0745</t>
  </si>
  <si>
    <t>new9</t>
  </si>
  <si>
    <t>SC0895</t>
  </si>
  <si>
    <t>SC1016</t>
  </si>
  <si>
    <t>new12</t>
  </si>
  <si>
    <t>SC1034</t>
  </si>
  <si>
    <t>SC1157</t>
  </si>
  <si>
    <t>gyrAD90N_gyrAT86I</t>
  </si>
  <si>
    <t>SC1357</t>
  </si>
  <si>
    <t>gyrAD90N_gyrAT86I_tetO</t>
  </si>
  <si>
    <t>SC1513</t>
  </si>
  <si>
    <t>SC1711</t>
  </si>
  <si>
    <t>NCTC11168</t>
  </si>
  <si>
    <t>CONTROL 01</t>
  </si>
  <si>
    <t>S aureus 29213</t>
  </si>
  <si>
    <t>CONTROL EUCAST</t>
  </si>
  <si>
    <t>27 and 28</t>
  </si>
  <si>
    <t>reference</t>
  </si>
  <si>
    <t>Oxonia (PAA)</t>
  </si>
  <si>
    <t>Antigerm (BC)</t>
  </si>
  <si>
    <t>Well no</t>
  </si>
  <si>
    <t>MBC</t>
  </si>
  <si>
    <t>gyrAD90N</t>
  </si>
  <si>
    <t>tetL</t>
  </si>
  <si>
    <t>Concentrations and wells</t>
  </si>
  <si>
    <t>Oxonia</t>
  </si>
  <si>
    <t>well no</t>
  </si>
  <si>
    <t>%</t>
  </si>
  <si>
    <t>[] ug/ml</t>
  </si>
  <si>
    <t>Antigerm</t>
  </si>
  <si>
    <t>-</t>
  </si>
  <si>
    <t>in pink the ones I repeated more than 3 times</t>
  </si>
  <si>
    <t>J</t>
  </si>
  <si>
    <t>SC1704</t>
  </si>
  <si>
    <t>&gt;32</t>
  </si>
  <si>
    <t>There was growth in the highest concentration which was 32, so the MIC was not found</t>
  </si>
  <si>
    <t>MBC (Minimum BACTERICIDAL Concentration) refers to the lowest concentration of an antimicrobial agent that kills the microorganism</t>
  </si>
  <si>
    <t>CR6_CA2_CB2_CC2</t>
  </si>
  <si>
    <t>JR3_JA3_JB5_JC4</t>
  </si>
  <si>
    <t>JR0_JA5_JB11_JC10</t>
  </si>
  <si>
    <t>JR3_JA0_JB0_JC2</t>
  </si>
  <si>
    <t>JR1_JA1_JB4_JC1</t>
  </si>
  <si>
    <t>JR0_JA7_JB19_JC0</t>
  </si>
  <si>
    <t>JR14_JA0_JB0_JC2</t>
  </si>
  <si>
    <t>JR3_JA3_JB21_JC16</t>
  </si>
  <si>
    <t>JR17_JA14_JB44_JC23</t>
  </si>
  <si>
    <t>CR0_CA6_CB11_CC6</t>
  </si>
  <si>
    <t>CR5_CA6_CB13_CC0</t>
  </si>
  <si>
    <t>JR1_JA3_JB7_JC8</t>
  </si>
  <si>
    <t>JR20_JA20_JB31_JC35</t>
  </si>
  <si>
    <t>JR8_JA22_JB33_JC34</t>
  </si>
  <si>
    <t>JR1_JA23_JB36_JC42</t>
  </si>
  <si>
    <t>JR3_JA3_JB42_JC30</t>
  </si>
  <si>
    <t>JR1_JA3_JB20_JC18</t>
  </si>
  <si>
    <t>Cme alleles</t>
  </si>
  <si>
    <t>cmeA|cmeB|cmeC|cmeR</t>
  </si>
  <si>
    <t>73|253|75|53</t>
  </si>
  <si>
    <t>706|1451|887|33</t>
  </si>
  <si>
    <t>175|3619|1959|47</t>
  </si>
  <si>
    <t>1|3617|24|179</t>
  </si>
  <si>
    <t>5|27|5|5</t>
  </si>
  <si>
    <t>138|252|148|60</t>
  </si>
  <si>
    <t>1|1|24|1A</t>
  </si>
  <si>
    <t>64|1092A|643|16</t>
  </si>
  <si>
    <t>64|506|30|33</t>
  </si>
  <si>
    <t>582|1087|636|403</t>
  </si>
  <si>
    <t>52|3072A|1610A|579</t>
  </si>
  <si>
    <t>98|258|3|83</t>
  </si>
  <si>
    <t>23|53|1958|16</t>
  </si>
  <si>
    <t>599|64|1963|48A</t>
  </si>
  <si>
    <t>851|1718|1103|15A</t>
  </si>
  <si>
    <t>202|1329|2247|473</t>
  </si>
  <si>
    <t>292|506|30|33</t>
  </si>
  <si>
    <t>88|142A|49A|78</t>
  </si>
  <si>
    <t>look for it</t>
  </si>
  <si>
    <t>coli</t>
  </si>
  <si>
    <t>jejuni</t>
  </si>
  <si>
    <t>blaOXA-447, tet(O)</t>
  </si>
  <si>
    <t>unknown</t>
  </si>
  <si>
    <t>Value (mg/L)</t>
  </si>
  <si>
    <t>mg/L</t>
  </si>
  <si>
    <t>cmeB</t>
  </si>
  <si>
    <t>cmeB allele 5 is co-related with resistance but we havent tested any</t>
  </si>
  <si>
    <t>cmeA4_B6_C3_R4</t>
  </si>
  <si>
    <t>cmeA6_B11_C8_R1</t>
  </si>
  <si>
    <t>cmeA1_B5_C7_R4</t>
  </si>
  <si>
    <t>cmeA2_B4_C2_R2</t>
  </si>
  <si>
    <t>cmeA10_B22_C1_R1</t>
  </si>
  <si>
    <t>cmeA1_B5_C7_R17</t>
  </si>
  <si>
    <t>cmeA4_B25_C19_R2</t>
  </si>
  <si>
    <t>cmeA4_B26_C15_R4</t>
  </si>
  <si>
    <t>cmeA17_B33_C27_R20</t>
  </si>
  <si>
    <t>cmeA4_B8_C13_R2</t>
  </si>
  <si>
    <t>cmeA21_B42_C35_R22</t>
  </si>
  <si>
    <t>cmeA23_B44_C37_R9</t>
  </si>
  <si>
    <t>cmeA24_B46_C42_R2</t>
  </si>
  <si>
    <t>cmeA4_B52_C45_R4</t>
  </si>
  <si>
    <t>ok</t>
  </si>
  <si>
    <t>* SUSCEPTIBLE TO CLSI BUT RESISTANT TO ECOFF</t>
  </si>
  <si>
    <t>Source</t>
  </si>
  <si>
    <t>Sheep</t>
  </si>
  <si>
    <t>Human</t>
  </si>
  <si>
    <t>Poultry</t>
  </si>
  <si>
    <t>Bovine</t>
  </si>
  <si>
    <t>CmeABCR</t>
  </si>
  <si>
    <t>cmeA3c_B2c_C3c_R2c</t>
  </si>
  <si>
    <t>cmeA8c_B11c_C7c_R1c</t>
  </si>
  <si>
    <t>cmeA8c_B13c_C2c_R7c</t>
  </si>
  <si>
    <t>gyrAT86I; tetO</t>
  </si>
  <si>
    <t>gyrAD90N; gyrAT86I</t>
  </si>
  <si>
    <t>gyrAD90N; gyrAT86I; tetO</t>
  </si>
  <si>
    <t>gyrAT86I; tetL; tetO</t>
  </si>
  <si>
    <t>gyrAT86I; tetO; 23S(A2075G)</t>
  </si>
  <si>
    <t>50S_L22_A103V;tet(O);gyrA_T86I</t>
  </si>
  <si>
    <t>tet(L);fexA;gyrA_T86I;aph(2'')-If;cat-TC;tet(O/M/O)</t>
  </si>
  <si>
    <t>gyrA_T86I</t>
  </si>
  <si>
    <t>tet(O)</t>
  </si>
  <si>
    <t>tet(O);gyrA_T86I</t>
  </si>
  <si>
    <t>50S_L22_A103V;tet(O/M/O);gyrA_T86I</t>
  </si>
  <si>
    <t>tet(O/M/O);gyrA_T86I;50S_L22_A103V</t>
  </si>
  <si>
    <t>gyrA_T86I;tet(O)</t>
  </si>
  <si>
    <t>tet(O);23S_A2075G;gyrA_T86I</t>
  </si>
  <si>
    <t>50S_L22_A103V</t>
  </si>
  <si>
    <t>50S_L22_A103V;gyrA_T86I;tet(O)</t>
  </si>
  <si>
    <t>gyrA_D90N;gyrA_T86I</t>
  </si>
  <si>
    <t>tet(O);50S_L22_A103V;gyrA_D90N;gyrA_T86I</t>
  </si>
  <si>
    <t>gyrA_T86I;tet(O);50S_L22_A103V</t>
  </si>
  <si>
    <t>AMR determinants</t>
  </si>
  <si>
    <t>ST825</t>
  </si>
  <si>
    <t>ST6964</t>
  </si>
  <si>
    <t>ST12752</t>
  </si>
  <si>
    <t>ST50</t>
  </si>
  <si>
    <t>ST45</t>
  </si>
  <si>
    <t>ST436</t>
  </si>
  <si>
    <t>ST2081</t>
  </si>
  <si>
    <t>ST530</t>
  </si>
  <si>
    <t>ST830</t>
  </si>
  <si>
    <t>ST12072</t>
  </si>
  <si>
    <t>ST535</t>
  </si>
  <si>
    <t>ST12755</t>
  </si>
  <si>
    <t>ST8658</t>
  </si>
  <si>
    <t>ST27</t>
  </si>
  <si>
    <t>ST1919</t>
  </si>
  <si>
    <t>ST8187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</si>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</sst>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name val="Arial"/>
      <family val="2"/>
    </font>
    <font>
      <sz val="10"/>
      <color theme="1"/>
      <name val="Aptos"/>
      <family val="2"/>
    </font>
    <font>
      <b/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15" fontId="0" fillId="0" borderId="0" xfId="0" applyNumberFormat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2" xfId="0" applyFont="1" applyBorder="1"/>
    <xf numFmtId="0" fontId="0" fillId="6" borderId="0" xfId="0" applyFill="1"/>
    <xf numFmtId="0" fontId="3" fillId="7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ISC_DIFFUSION/disc_results.xlsx" TargetMode="External"/><Relationship Id="rId2" Type="http://schemas.openxmlformats.org/officeDocument/2006/relationships/externalLinkPath" Target="https://masseyuni.sharepoint.com/teams/Students-AlineParolin/Shared%20Documents/Aline%20Parolin%20Calarga%20PhD%20Project/Thesis/Chapter%2004%20Campy%20cmeABC%20efflux%20pump/WRITING/Figures/DISC_DIFFUSION/disc_results.xlsx" TargetMode="External"/><Relationship Id="rId1" Type="http://schemas.openxmlformats.org/officeDocument/2006/relationships/externalLinkPath" Target="/teams/Students-AlineParolin/Shared%20Documents/Aline%20Parolin%20Calarga%20PhD%20Project/Thesis/Chapter%2004%20Campy%20cmeABC%20efflux%20pump/WRITING/Figures/DISC_DIFFUSION/disc_result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rst2/srst2_camp0331_cmeB.xlsx" TargetMode="External"/><Relationship Id="rId2" Type="http://schemas.openxmlformats.org/officeDocument/2006/relationships/externalLinkPath" Target="https://masseyuni.sharepoint.com/teams/Students-AlineParolin/Shared%20Documents/Aline%20Parolin%20Calarga%20PhD%20Project/Thesis/Chapter%2004%20Campy%20cmeABC%20efflux%20pump/srst2/srst2_camp0331_cmeB.xlsx" TargetMode="External"/><Relationship Id="rId1" Type="http://schemas.openxmlformats.org/officeDocument/2006/relationships/externalLinkPath" Target="/teams/Students-AlineParolin/Shared%20Documents/Aline%20Parolin%20Calarga%20PhD%20Project/Thesis/Chapter%2004%20Campy%20cmeABC%20efflux%20pump/srst2/srst2_camp0331_cm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only_resistant"/>
      <sheetName val="Sheet1"/>
      <sheetName val="disc_diffusion"/>
    </sheetNames>
    <sheetDataSet>
      <sheetData sheetId="0"/>
      <sheetData sheetId="1">
        <row r="2">
          <cell r="A2" t="str">
            <v>SC0012</v>
          </cell>
          <cell r="B2" t="str">
            <v>ST825</v>
          </cell>
        </row>
        <row r="3">
          <cell r="A3" t="str">
            <v>SC0026</v>
          </cell>
          <cell r="B3" t="str">
            <v>ST6964</v>
          </cell>
        </row>
        <row r="4">
          <cell r="A4" t="str">
            <v>SC0069</v>
          </cell>
          <cell r="B4" t="str">
            <v>ST12752</v>
          </cell>
        </row>
        <row r="5">
          <cell r="A5" t="str">
            <v>SC0143</v>
          </cell>
          <cell r="B5" t="str">
            <v>ST50</v>
          </cell>
        </row>
        <row r="6">
          <cell r="A6" t="str">
            <v>SC0164</v>
          </cell>
          <cell r="B6" t="str">
            <v>ST45</v>
          </cell>
        </row>
        <row r="7">
          <cell r="A7" t="str">
            <v>SC0169</v>
          </cell>
          <cell r="B7" t="str">
            <v>ST436</v>
          </cell>
        </row>
        <row r="8">
          <cell r="A8" t="str">
            <v>SC0230</v>
          </cell>
          <cell r="B8" t="str">
            <v>ST50</v>
          </cell>
        </row>
        <row r="9">
          <cell r="A9" t="str">
            <v>SC0235</v>
          </cell>
          <cell r="B9" t="str">
            <v>ST2081</v>
          </cell>
        </row>
        <row r="10">
          <cell r="A10" t="str">
            <v>SC0261</v>
          </cell>
          <cell r="B10" t="str">
            <v>ST530</v>
          </cell>
        </row>
        <row r="11">
          <cell r="A11" t="str">
            <v>SC0431</v>
          </cell>
          <cell r="B11" t="str">
            <v>ST50</v>
          </cell>
        </row>
        <row r="12">
          <cell r="A12" t="str">
            <v>SC0682</v>
          </cell>
          <cell r="B12" t="str">
            <v>ST830</v>
          </cell>
        </row>
        <row r="13">
          <cell r="A13" t="str">
            <v>SC0745</v>
          </cell>
          <cell r="B13" t="str">
            <v>ST12072</v>
          </cell>
        </row>
        <row r="14">
          <cell r="A14" t="str">
            <v>SC0895</v>
          </cell>
          <cell r="B14" t="str">
            <v>ST535</v>
          </cell>
        </row>
        <row r="15">
          <cell r="A15" t="str">
            <v>SC1016</v>
          </cell>
          <cell r="B15" t="str">
            <v>ST12755</v>
          </cell>
        </row>
        <row r="16">
          <cell r="A16" t="str">
            <v>SC1034</v>
          </cell>
          <cell r="B16" t="str">
            <v>ST8658</v>
          </cell>
        </row>
        <row r="17">
          <cell r="A17" t="str">
            <v>SC1157</v>
          </cell>
          <cell r="B17" t="str">
            <v>ST27</v>
          </cell>
        </row>
        <row r="18">
          <cell r="A18" t="str">
            <v>SC1357</v>
          </cell>
          <cell r="B18" t="str">
            <v>ST6964</v>
          </cell>
        </row>
        <row r="19">
          <cell r="A19" t="str">
            <v>SC1513</v>
          </cell>
          <cell r="B19" t="str">
            <v>ST1919</v>
          </cell>
        </row>
        <row r="20">
          <cell r="A20" t="str">
            <v>SC1704</v>
          </cell>
          <cell r="B20" t="str">
            <v>ST45</v>
          </cell>
        </row>
        <row r="21">
          <cell r="A21" t="str">
            <v>SC1711</v>
          </cell>
          <cell r="B21" t="str">
            <v>ST8187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_output"/>
      <sheetName val="count_isolates"/>
      <sheetName val="0DIVERGE"/>
      <sheetName val="all_isolates_I_ran"/>
      <sheetName val="metadata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SC0007</v>
          </cell>
          <cell r="B2" t="str">
            <v>SRR17898859</v>
          </cell>
          <cell r="C2">
            <v>50</v>
          </cell>
          <cell r="D2">
            <v>21</v>
          </cell>
          <cell r="E2" t="str">
            <v>Ovis aries</v>
          </cell>
          <cell r="F2" t="str">
            <v>Campylobacter jejuni</v>
          </cell>
          <cell r="G2" t="str">
            <v>exact</v>
          </cell>
          <cell r="H2" t="str">
            <v>CAMP0331(cmeB)_604</v>
          </cell>
          <cell r="I2" t="str">
            <v>CAMP0331(cmeB)</v>
          </cell>
          <cell r="J2">
            <v>604</v>
          </cell>
        </row>
        <row r="3">
          <cell r="A3" t="str">
            <v>SC0006</v>
          </cell>
          <cell r="B3" t="str">
            <v>SRR17898860</v>
          </cell>
          <cell r="C3">
            <v>50</v>
          </cell>
          <cell r="D3">
            <v>21</v>
          </cell>
          <cell r="E3" t="str">
            <v>Ovis aries</v>
          </cell>
          <cell r="F3" t="str">
            <v>Campylobacter jejuni</v>
          </cell>
          <cell r="G3" t="str">
            <v>exact</v>
          </cell>
          <cell r="H3" t="str">
            <v>CAMP0331(cmeB)_604</v>
          </cell>
          <cell r="I3" t="str">
            <v>CAMP0331(cmeB)</v>
          </cell>
          <cell r="J3">
            <v>604</v>
          </cell>
        </row>
        <row r="4">
          <cell r="A4" t="str">
            <v>SC0005</v>
          </cell>
          <cell r="B4" t="str">
            <v>SRR17898861</v>
          </cell>
          <cell r="C4">
            <v>3072</v>
          </cell>
          <cell r="D4">
            <v>828</v>
          </cell>
          <cell r="E4" t="str">
            <v>Ovis aries</v>
          </cell>
          <cell r="F4" t="str">
            <v>Campylobacter coli</v>
          </cell>
          <cell r="G4" t="str">
            <v>exact</v>
          </cell>
          <cell r="H4" t="str">
            <v>CAMP0331(cmeB)_1205</v>
          </cell>
          <cell r="I4" t="str">
            <v>CAMP0331(cmeB)</v>
          </cell>
          <cell r="J4">
            <v>1205</v>
          </cell>
        </row>
        <row r="5">
          <cell r="A5" t="str">
            <v>SC0004</v>
          </cell>
          <cell r="B5" t="str">
            <v>SRR17898862</v>
          </cell>
          <cell r="C5">
            <v>3072</v>
          </cell>
          <cell r="D5">
            <v>828</v>
          </cell>
          <cell r="E5" t="str">
            <v>Ovis aries</v>
          </cell>
          <cell r="F5" t="str">
            <v>Campylobacter coli</v>
          </cell>
          <cell r="G5" t="str">
            <v>exact</v>
          </cell>
          <cell r="H5" t="str">
            <v>CAMP0331(cmeB)_1205</v>
          </cell>
          <cell r="I5" t="str">
            <v>CAMP0331(cmeB)</v>
          </cell>
          <cell r="J5">
            <v>1205</v>
          </cell>
        </row>
        <row r="6">
          <cell r="A6" t="str">
            <v>SC0003</v>
          </cell>
          <cell r="B6" t="str">
            <v>SRR17898863</v>
          </cell>
          <cell r="C6">
            <v>3072</v>
          </cell>
          <cell r="D6">
            <v>828</v>
          </cell>
          <cell r="E6" t="str">
            <v>Ovis aries</v>
          </cell>
          <cell r="F6" t="str">
            <v>Campylobacter coli</v>
          </cell>
          <cell r="G6" t="str">
            <v>exact</v>
          </cell>
          <cell r="H6" t="str">
            <v>CAMP0331(cmeB)_1205</v>
          </cell>
          <cell r="I6" t="str">
            <v>CAMP0331(cmeB)</v>
          </cell>
          <cell r="J6">
            <v>1205</v>
          </cell>
        </row>
        <row r="7">
          <cell r="A7" t="str">
            <v>SC0002</v>
          </cell>
          <cell r="B7" t="str">
            <v>SRR17898864</v>
          </cell>
          <cell r="C7">
            <v>3072</v>
          </cell>
          <cell r="D7">
            <v>828</v>
          </cell>
          <cell r="E7" t="str">
            <v>Ovis aries</v>
          </cell>
          <cell r="F7" t="str">
            <v>Campylobacter coli</v>
          </cell>
          <cell r="G7" t="str">
            <v>exact</v>
          </cell>
          <cell r="H7" t="str">
            <v>CAMP0331(cmeB)_1205</v>
          </cell>
          <cell r="I7" t="str">
            <v>CAMP0331(cmeB)</v>
          </cell>
          <cell r="J7">
            <v>1205</v>
          </cell>
        </row>
        <row r="8">
          <cell r="A8" t="str">
            <v>SC0001</v>
          </cell>
          <cell r="B8" t="str">
            <v>SRR17898865</v>
          </cell>
          <cell r="C8">
            <v>3072</v>
          </cell>
          <cell r="D8">
            <v>828</v>
          </cell>
          <cell r="E8" t="str">
            <v>Ovis aries</v>
          </cell>
          <cell r="F8" t="str">
            <v>Campylobacter coli</v>
          </cell>
          <cell r="G8" t="str">
            <v>exact</v>
          </cell>
          <cell r="H8" t="str">
            <v>CAMP0331(cmeB)_1205</v>
          </cell>
          <cell r="I8" t="str">
            <v>CAMP0331(cmeB)</v>
          </cell>
          <cell r="J8">
            <v>1205</v>
          </cell>
        </row>
        <row r="9">
          <cell r="A9" t="str">
            <v>SC0020</v>
          </cell>
          <cell r="B9" t="str">
            <v>SRR17898866</v>
          </cell>
          <cell r="C9">
            <v>6964</v>
          </cell>
          <cell r="D9">
            <v>354</v>
          </cell>
          <cell r="E9" t="str">
            <v>Homo sapiens</v>
          </cell>
          <cell r="F9" t="str">
            <v>Campylobacter jejuni</v>
          </cell>
          <cell r="G9" t="str">
            <v>exact</v>
          </cell>
          <cell r="H9" t="str">
            <v>CAMP0331(cmeB)_1451</v>
          </cell>
          <cell r="I9" t="str">
            <v>CAMP0331(cmeB)</v>
          </cell>
          <cell r="J9">
            <v>1451</v>
          </cell>
        </row>
        <row r="10">
          <cell r="A10" t="str">
            <v>SC0019</v>
          </cell>
          <cell r="B10" t="str">
            <v>SRR17898867</v>
          </cell>
          <cell r="C10">
            <v>45</v>
          </cell>
          <cell r="D10">
            <v>45</v>
          </cell>
          <cell r="E10" t="str">
            <v>Homo sapiens</v>
          </cell>
          <cell r="F10" t="str">
            <v>Campylobacter jejuni</v>
          </cell>
          <cell r="G10" t="str">
            <v>exact</v>
          </cell>
          <cell r="H10" t="str">
            <v>CAMP0331(cmeB)_5</v>
          </cell>
          <cell r="I10" t="str">
            <v>CAMP0331(cmeB)</v>
          </cell>
          <cell r="J10">
            <v>5</v>
          </cell>
        </row>
        <row r="11">
          <cell r="A11" t="str">
            <v>SC0018</v>
          </cell>
          <cell r="B11" t="str">
            <v>SRR17898868</v>
          </cell>
          <cell r="C11">
            <v>45</v>
          </cell>
          <cell r="D11">
            <v>45</v>
          </cell>
          <cell r="E11" t="str">
            <v>Homo sapiens</v>
          </cell>
          <cell r="F11" t="str">
            <v>Campylobacter jejuni</v>
          </cell>
          <cell r="G11" t="str">
            <v>exact</v>
          </cell>
          <cell r="H11" t="str">
            <v>CAMP0331(cmeB)_27</v>
          </cell>
          <cell r="I11" t="str">
            <v>CAMP0331(cmeB)</v>
          </cell>
          <cell r="J11">
            <v>27</v>
          </cell>
        </row>
        <row r="12">
          <cell r="A12" t="str">
            <v>SC0017</v>
          </cell>
          <cell r="B12" t="str">
            <v>SRR17898869</v>
          </cell>
          <cell r="C12">
            <v>508</v>
          </cell>
          <cell r="D12">
            <v>508</v>
          </cell>
          <cell r="E12" t="str">
            <v>Homo sapiens</v>
          </cell>
          <cell r="F12" t="str">
            <v>Campylobacter jejuni</v>
          </cell>
          <cell r="G12" t="str">
            <v>exact</v>
          </cell>
          <cell r="H12" t="str">
            <v>CAMP0331(cmeB)_43</v>
          </cell>
          <cell r="I12" t="str">
            <v>CAMP0331(cmeB)</v>
          </cell>
          <cell r="J12">
            <v>43</v>
          </cell>
        </row>
        <row r="13">
          <cell r="A13" t="str">
            <v>SC0016</v>
          </cell>
          <cell r="B13" t="str">
            <v>SRR17898870</v>
          </cell>
          <cell r="C13">
            <v>45</v>
          </cell>
          <cell r="D13">
            <v>45</v>
          </cell>
          <cell r="E13" t="str">
            <v>Homo sapiens</v>
          </cell>
          <cell r="F13" t="str">
            <v>Campylobacter jejuni</v>
          </cell>
          <cell r="G13" t="str">
            <v>exact</v>
          </cell>
          <cell r="H13" t="str">
            <v>CAMP0331(cmeB)_5</v>
          </cell>
          <cell r="I13" t="str">
            <v>CAMP0331(cmeB)</v>
          </cell>
          <cell r="J13">
            <v>5</v>
          </cell>
        </row>
        <row r="14">
          <cell r="A14" t="str">
            <v>SC0015</v>
          </cell>
          <cell r="B14" t="str">
            <v>SRR17898871</v>
          </cell>
          <cell r="C14">
            <v>825</v>
          </cell>
          <cell r="D14">
            <v>828</v>
          </cell>
          <cell r="E14" t="str">
            <v>Ovis aries</v>
          </cell>
          <cell r="F14" t="str">
            <v>Campylobacter coli</v>
          </cell>
          <cell r="G14" t="str">
            <v>exact</v>
          </cell>
          <cell r="H14" t="str">
            <v>CAMP0331(cmeB)_253</v>
          </cell>
          <cell r="I14" t="str">
            <v>CAMP0331(cmeB)</v>
          </cell>
          <cell r="J14">
            <v>253</v>
          </cell>
        </row>
        <row r="15">
          <cell r="A15" t="str">
            <v>SC0050</v>
          </cell>
          <cell r="B15" t="str">
            <v>SRR17898872</v>
          </cell>
          <cell r="C15">
            <v>61</v>
          </cell>
          <cell r="D15">
            <v>61</v>
          </cell>
          <cell r="E15" t="str">
            <v>Homo sapiens</v>
          </cell>
          <cell r="F15" t="str">
            <v>Campylobacter jejuni</v>
          </cell>
          <cell r="G15" t="str">
            <v>exact</v>
          </cell>
          <cell r="H15" t="str">
            <v>CAMP0331(cmeB)_14</v>
          </cell>
          <cell r="I15" t="str">
            <v>CAMP0331(cmeB)</v>
          </cell>
          <cell r="J15">
            <v>14</v>
          </cell>
        </row>
        <row r="16">
          <cell r="A16" t="str">
            <v>SC0049</v>
          </cell>
          <cell r="B16" t="str">
            <v>SRR17898873</v>
          </cell>
          <cell r="C16">
            <v>45</v>
          </cell>
          <cell r="D16">
            <v>45</v>
          </cell>
          <cell r="E16" t="str">
            <v>Homo sapiens</v>
          </cell>
          <cell r="F16" t="str">
            <v>Campylobacter jejuni</v>
          </cell>
          <cell r="G16" t="str">
            <v>exact</v>
          </cell>
          <cell r="H16" t="str">
            <v>CAMP0331(cmeB)_5</v>
          </cell>
          <cell r="I16" t="str">
            <v>CAMP0331(cmeB)</v>
          </cell>
          <cell r="J16">
            <v>5</v>
          </cell>
        </row>
        <row r="17">
          <cell r="A17" t="str">
            <v>SC0048</v>
          </cell>
          <cell r="B17" t="str">
            <v>SRR17898874</v>
          </cell>
          <cell r="C17">
            <v>486</v>
          </cell>
          <cell r="D17">
            <v>21</v>
          </cell>
          <cell r="E17" t="str">
            <v>Homo sapiens</v>
          </cell>
          <cell r="F17" t="str">
            <v>Campylobacter jejuni</v>
          </cell>
          <cell r="G17" t="str">
            <v>exact</v>
          </cell>
          <cell r="H17" t="str">
            <v>CAMP0331(cmeB)_1</v>
          </cell>
          <cell r="I17" t="str">
            <v>CAMP0331(cmeB)</v>
          </cell>
          <cell r="J17">
            <v>1</v>
          </cell>
        </row>
        <row r="18">
          <cell r="A18" t="str">
            <v>SC0047</v>
          </cell>
          <cell r="B18" t="str">
            <v>SRR17898875</v>
          </cell>
          <cell r="C18">
            <v>21</v>
          </cell>
          <cell r="D18">
            <v>21</v>
          </cell>
          <cell r="E18" t="str">
            <v>Homo sapiens</v>
          </cell>
          <cell r="F18" t="str">
            <v>Campylobacter jejuni</v>
          </cell>
          <cell r="G18" t="str">
            <v>exact</v>
          </cell>
          <cell r="H18" t="str">
            <v>CAMP0331(cmeB)_604</v>
          </cell>
          <cell r="I18" t="str">
            <v>CAMP0331(cmeB)</v>
          </cell>
          <cell r="J18">
            <v>604</v>
          </cell>
        </row>
        <row r="19">
          <cell r="A19" t="str">
            <v>SC0046</v>
          </cell>
          <cell r="B19" t="str">
            <v>SRR17898876</v>
          </cell>
          <cell r="C19">
            <v>50</v>
          </cell>
          <cell r="D19">
            <v>21</v>
          </cell>
          <cell r="E19" t="str">
            <v>Homo sapiens</v>
          </cell>
          <cell r="F19" t="str">
            <v>Campylobacter jejuni</v>
          </cell>
          <cell r="G19" t="str">
            <v>exact</v>
          </cell>
          <cell r="H19" t="str">
            <v>CAMP0331(cmeB)_637</v>
          </cell>
          <cell r="I19" t="str">
            <v>CAMP0331(cmeB)</v>
          </cell>
          <cell r="J19">
            <v>637</v>
          </cell>
        </row>
        <row r="20">
          <cell r="A20" t="str">
            <v>SC0045</v>
          </cell>
          <cell r="B20" t="str">
            <v>SRR17898877</v>
          </cell>
          <cell r="C20">
            <v>45</v>
          </cell>
          <cell r="D20">
            <v>45</v>
          </cell>
          <cell r="E20" t="str">
            <v>Homo sapiens</v>
          </cell>
          <cell r="F20" t="str">
            <v>Campylobacter jejuni</v>
          </cell>
          <cell r="G20" t="str">
            <v>exact</v>
          </cell>
          <cell r="H20" t="str">
            <v>CAMP0331(cmeB)_27</v>
          </cell>
          <cell r="I20" t="str">
            <v>CAMP0331(cmeB)</v>
          </cell>
          <cell r="J20">
            <v>27</v>
          </cell>
        </row>
        <row r="21">
          <cell r="A21" t="str">
            <v>SC0044</v>
          </cell>
          <cell r="B21" t="str">
            <v>SRR17898878</v>
          </cell>
          <cell r="C21">
            <v>8088</v>
          </cell>
          <cell r="D21">
            <v>0</v>
          </cell>
          <cell r="E21" t="str">
            <v>Homo sapiens</v>
          </cell>
          <cell r="F21" t="str">
            <v>Campylobacter jejuni</v>
          </cell>
          <cell r="G21" t="str">
            <v>exact</v>
          </cell>
          <cell r="H21" t="str">
            <v>CAMP0331(cmeB)_1483</v>
          </cell>
          <cell r="I21" t="str">
            <v>CAMP0331(cmeB)</v>
          </cell>
          <cell r="J21">
            <v>1483</v>
          </cell>
        </row>
        <row r="22">
          <cell r="A22" t="str">
            <v>SC0043</v>
          </cell>
          <cell r="B22" t="str">
            <v>SRR17898879</v>
          </cell>
          <cell r="C22">
            <v>45</v>
          </cell>
          <cell r="D22">
            <v>45</v>
          </cell>
          <cell r="E22" t="str">
            <v>Homo sapiens</v>
          </cell>
          <cell r="F22" t="str">
            <v>Campylobacter jejuni</v>
          </cell>
          <cell r="G22" t="str">
            <v>exact</v>
          </cell>
          <cell r="H22" t="str">
            <v>CAMP0331(cmeB)_3633</v>
          </cell>
          <cell r="I22" t="str">
            <v>CAMP0331(cmeB)</v>
          </cell>
          <cell r="J22">
            <v>3633</v>
          </cell>
        </row>
        <row r="23">
          <cell r="A23" t="str">
            <v>SC0042</v>
          </cell>
          <cell r="B23" t="str">
            <v>SRR17898880</v>
          </cell>
          <cell r="C23">
            <v>538</v>
          </cell>
          <cell r="D23">
            <v>45</v>
          </cell>
          <cell r="E23" t="str">
            <v>Homo sapiens</v>
          </cell>
          <cell r="F23" t="str">
            <v>Campylobacter jejuni</v>
          </cell>
          <cell r="G23" t="str">
            <v>exact</v>
          </cell>
          <cell r="H23" t="str">
            <v>CAMP0331(cmeB)_27</v>
          </cell>
          <cell r="I23" t="str">
            <v>CAMP0331(cmeB)</v>
          </cell>
          <cell r="J23">
            <v>27</v>
          </cell>
        </row>
        <row r="24">
          <cell r="A24" t="str">
            <v>SC0041</v>
          </cell>
          <cell r="B24" t="str">
            <v>SRR17898881</v>
          </cell>
          <cell r="C24">
            <v>48</v>
          </cell>
          <cell r="D24">
            <v>48</v>
          </cell>
          <cell r="E24" t="str">
            <v>Homo sapiens</v>
          </cell>
          <cell r="F24" t="str">
            <v>Campylobacter jejuni</v>
          </cell>
          <cell r="G24" t="str">
            <v>exact</v>
          </cell>
          <cell r="H24" t="str">
            <v>CAMP0331(cmeB)_94</v>
          </cell>
          <cell r="I24" t="str">
            <v>CAMP0331(cmeB)</v>
          </cell>
          <cell r="J24">
            <v>94</v>
          </cell>
        </row>
        <row r="25">
          <cell r="A25" t="str">
            <v>SC0014</v>
          </cell>
          <cell r="B25" t="str">
            <v>SRR17898882</v>
          </cell>
          <cell r="C25">
            <v>520</v>
          </cell>
          <cell r="D25">
            <v>21</v>
          </cell>
          <cell r="E25" t="str">
            <v>Ovis aries</v>
          </cell>
          <cell r="F25" t="str">
            <v>Campylobacter jejuni</v>
          </cell>
          <cell r="G25" t="str">
            <v>exact</v>
          </cell>
          <cell r="H25" t="str">
            <v>CAMP0331(cmeB)_604</v>
          </cell>
          <cell r="I25" t="str">
            <v>CAMP0331(cmeB)</v>
          </cell>
          <cell r="J25">
            <v>604</v>
          </cell>
        </row>
        <row r="26">
          <cell r="A26" t="str">
            <v>SC0040</v>
          </cell>
          <cell r="B26" t="str">
            <v>SRR17898883</v>
          </cell>
          <cell r="C26">
            <v>8097</v>
          </cell>
          <cell r="D26">
            <v>21</v>
          </cell>
          <cell r="E26" t="str">
            <v>Homo sapiens</v>
          </cell>
          <cell r="F26" t="str">
            <v>Campylobacter jejuni</v>
          </cell>
          <cell r="G26" t="str">
            <v>exact</v>
          </cell>
          <cell r="H26" t="str">
            <v>CAMP0331(cmeB)_604</v>
          </cell>
          <cell r="I26" t="str">
            <v>CAMP0331(cmeB)</v>
          </cell>
          <cell r="J26">
            <v>604</v>
          </cell>
        </row>
        <row r="27">
          <cell r="A27" t="str">
            <v>SC0039</v>
          </cell>
          <cell r="B27" t="str">
            <v>SRR17898884</v>
          </cell>
          <cell r="C27">
            <v>508</v>
          </cell>
          <cell r="D27">
            <v>508</v>
          </cell>
          <cell r="E27" t="str">
            <v>Homo sapiens</v>
          </cell>
          <cell r="F27" t="str">
            <v>Campylobacter jejuni</v>
          </cell>
          <cell r="G27" t="str">
            <v>exact</v>
          </cell>
          <cell r="H27" t="str">
            <v>CAMP0331(cmeB)_43</v>
          </cell>
          <cell r="I27" t="str">
            <v>CAMP0331(cmeB)</v>
          </cell>
          <cell r="J27">
            <v>43</v>
          </cell>
        </row>
        <row r="28">
          <cell r="A28" t="str">
            <v>SC0038</v>
          </cell>
          <cell r="B28" t="str">
            <v>SRR17898885</v>
          </cell>
          <cell r="C28">
            <v>6964</v>
          </cell>
          <cell r="D28">
            <v>354</v>
          </cell>
          <cell r="E28" t="str">
            <v>Homo sapiens</v>
          </cell>
          <cell r="F28" t="str">
            <v>Campylobacter jejuni</v>
          </cell>
          <cell r="G28" t="str">
            <v>exact</v>
          </cell>
          <cell r="H28" t="str">
            <v>CAMP0331(cmeB)_1451</v>
          </cell>
          <cell r="I28" t="str">
            <v>CAMP0331(cmeB)</v>
          </cell>
          <cell r="J28">
            <v>1451</v>
          </cell>
        </row>
        <row r="29">
          <cell r="A29" t="str">
            <v>SC0037</v>
          </cell>
          <cell r="B29" t="str">
            <v>SRR17898886</v>
          </cell>
          <cell r="C29">
            <v>354</v>
          </cell>
          <cell r="D29">
            <v>354</v>
          </cell>
          <cell r="E29" t="str">
            <v>Homo sapiens</v>
          </cell>
          <cell r="F29" t="str">
            <v>Campylobacter jejuni</v>
          </cell>
          <cell r="G29" t="str">
            <v>exact</v>
          </cell>
          <cell r="H29" t="str">
            <v>CAMP0331(cmeB)_53</v>
          </cell>
          <cell r="I29" t="str">
            <v>CAMP0331(cmeB)</v>
          </cell>
          <cell r="J29">
            <v>53</v>
          </cell>
        </row>
        <row r="30">
          <cell r="A30" t="str">
            <v>SC0036</v>
          </cell>
          <cell r="B30" t="str">
            <v>SRR17898887</v>
          </cell>
          <cell r="C30">
            <v>45</v>
          </cell>
          <cell r="D30">
            <v>45</v>
          </cell>
          <cell r="E30" t="str">
            <v>Homo sapiens</v>
          </cell>
          <cell r="F30" t="str">
            <v>Campylobacter jejuni</v>
          </cell>
          <cell r="G30" t="str">
            <v>exact</v>
          </cell>
          <cell r="H30" t="str">
            <v>CAMP0331(cmeB)_5</v>
          </cell>
          <cell r="I30" t="str">
            <v>CAMP0331(cmeB)</v>
          </cell>
          <cell r="J30">
            <v>5</v>
          </cell>
        </row>
        <row r="31">
          <cell r="A31" t="str">
            <v>SC0035</v>
          </cell>
          <cell r="B31" t="str">
            <v>SRR17898888</v>
          </cell>
          <cell r="C31">
            <v>2345</v>
          </cell>
          <cell r="D31">
            <v>206</v>
          </cell>
          <cell r="E31" t="str">
            <v>Homo sapiens</v>
          </cell>
          <cell r="F31" t="str">
            <v>Campylobacter jejuni</v>
          </cell>
          <cell r="G31" t="str">
            <v>exact</v>
          </cell>
          <cell r="H31" t="str">
            <v>CAMP0331(cmeB)_158</v>
          </cell>
          <cell r="I31" t="str">
            <v>CAMP0331(cmeB)</v>
          </cell>
          <cell r="J31">
            <v>158</v>
          </cell>
        </row>
        <row r="32">
          <cell r="A32" t="str">
            <v>SC0034</v>
          </cell>
          <cell r="B32" t="str">
            <v>SRR17898889</v>
          </cell>
          <cell r="C32">
            <v>508</v>
          </cell>
          <cell r="D32">
            <v>508</v>
          </cell>
          <cell r="E32" t="str">
            <v>Homo sapiens</v>
          </cell>
          <cell r="F32" t="str">
            <v>Campylobacter jejuni</v>
          </cell>
          <cell r="G32" t="str">
            <v>exact</v>
          </cell>
          <cell r="H32" t="str">
            <v>CAMP0331(cmeB)_43</v>
          </cell>
          <cell r="I32" t="str">
            <v>CAMP0331(cmeB)</v>
          </cell>
          <cell r="J32">
            <v>43</v>
          </cell>
        </row>
        <row r="33">
          <cell r="A33" t="str">
            <v>SC0033</v>
          </cell>
          <cell r="B33" t="str">
            <v>SRR17898890</v>
          </cell>
          <cell r="C33">
            <v>227</v>
          </cell>
          <cell r="D33">
            <v>206</v>
          </cell>
          <cell r="E33" t="str">
            <v>Homo sapiens</v>
          </cell>
          <cell r="F33" t="str">
            <v>Campylobacter jejuni</v>
          </cell>
          <cell r="G33" t="str">
            <v>exact</v>
          </cell>
          <cell r="H33" t="str">
            <v>CAMP0331(cmeB)_1</v>
          </cell>
          <cell r="I33" t="str">
            <v>CAMP0331(cmeB)</v>
          </cell>
          <cell r="J33">
            <v>1</v>
          </cell>
        </row>
        <row r="34">
          <cell r="A34" t="str">
            <v>SC0032</v>
          </cell>
          <cell r="B34" t="str">
            <v>SRR17898891</v>
          </cell>
          <cell r="C34">
            <v>48</v>
          </cell>
          <cell r="D34">
            <v>48</v>
          </cell>
          <cell r="E34" t="str">
            <v>Homo sapiens</v>
          </cell>
          <cell r="F34" t="str">
            <v>Campylobacter jejuni</v>
          </cell>
          <cell r="G34" t="str">
            <v>exact</v>
          </cell>
          <cell r="H34" t="str">
            <v>CAMP0331(cmeB)_94</v>
          </cell>
          <cell r="I34" t="str">
            <v>CAMP0331(cmeB)</v>
          </cell>
          <cell r="J34">
            <v>94</v>
          </cell>
        </row>
        <row r="35">
          <cell r="A35" t="str">
            <v>SC0031</v>
          </cell>
          <cell r="B35" t="str">
            <v>SRR17898892</v>
          </cell>
          <cell r="C35">
            <v>227</v>
          </cell>
          <cell r="D35">
            <v>206</v>
          </cell>
          <cell r="E35" t="str">
            <v>Homo sapiens</v>
          </cell>
          <cell r="F35" t="str">
            <v>Campylobacter jejuni</v>
          </cell>
          <cell r="G35" t="str">
            <v>exact</v>
          </cell>
          <cell r="H35" t="str">
            <v>CAMP0331(cmeB)_1</v>
          </cell>
          <cell r="I35" t="str">
            <v>CAMP0331(cmeB)</v>
          </cell>
          <cell r="J35">
            <v>1</v>
          </cell>
        </row>
        <row r="36">
          <cell r="A36" t="str">
            <v>SC0013</v>
          </cell>
          <cell r="B36" t="str">
            <v>SRR17898893</v>
          </cell>
          <cell r="C36">
            <v>190</v>
          </cell>
          <cell r="D36">
            <v>21</v>
          </cell>
          <cell r="E36" t="str">
            <v>Ovis aries</v>
          </cell>
          <cell r="F36" t="str">
            <v>Campylobacter jejuni</v>
          </cell>
          <cell r="G36" t="str">
            <v>exact</v>
          </cell>
          <cell r="H36" t="str">
            <v>CAMP0331(cmeB)_604</v>
          </cell>
          <cell r="I36" t="str">
            <v>CAMP0331(cmeB)</v>
          </cell>
          <cell r="J36">
            <v>604</v>
          </cell>
        </row>
        <row r="37">
          <cell r="A37" t="str">
            <v>SC0030</v>
          </cell>
          <cell r="B37" t="str">
            <v>SRR17898894</v>
          </cell>
          <cell r="C37">
            <v>50</v>
          </cell>
          <cell r="D37">
            <v>21</v>
          </cell>
          <cell r="E37" t="str">
            <v>Homo sapiens</v>
          </cell>
          <cell r="F37" t="str">
            <v>Campylobacter jejuni</v>
          </cell>
          <cell r="G37" t="str">
            <v>exact</v>
          </cell>
          <cell r="H37" t="str">
            <v>CAMP0331(cmeB)_637</v>
          </cell>
          <cell r="I37" t="str">
            <v>CAMP0331(cmeB)</v>
          </cell>
          <cell r="J37">
            <v>637</v>
          </cell>
        </row>
        <row r="38">
          <cell r="A38" t="str">
            <v>SC0029</v>
          </cell>
          <cell r="B38" t="str">
            <v>SRR17898895</v>
          </cell>
          <cell r="C38">
            <v>227</v>
          </cell>
          <cell r="D38">
            <v>206</v>
          </cell>
          <cell r="E38" t="str">
            <v>Homo sapiens</v>
          </cell>
          <cell r="F38" t="str">
            <v>Campylobacter jejuni</v>
          </cell>
          <cell r="G38" t="str">
            <v>exact</v>
          </cell>
          <cell r="H38" t="str">
            <v>CAMP0331(cmeB)_1</v>
          </cell>
          <cell r="I38" t="str">
            <v>CAMP0331(cmeB)</v>
          </cell>
          <cell r="J38">
            <v>1</v>
          </cell>
        </row>
        <row r="39">
          <cell r="A39" t="str">
            <v>SC0028</v>
          </cell>
          <cell r="B39" t="str">
            <v>SRR17898896</v>
          </cell>
          <cell r="C39">
            <v>0</v>
          </cell>
          <cell r="D39">
            <v>0</v>
          </cell>
          <cell r="E39" t="str">
            <v>Homo sapiens</v>
          </cell>
          <cell r="F39" t="str">
            <v>Campylobacter jejuni</v>
          </cell>
          <cell r="G39" t="str">
            <v>exact</v>
          </cell>
          <cell r="H39" t="str">
            <v>CAMP0331(cmeB)_657</v>
          </cell>
          <cell r="I39" t="str">
            <v>CAMP0331(cmeB)</v>
          </cell>
          <cell r="J39">
            <v>657</v>
          </cell>
        </row>
        <row r="40">
          <cell r="A40" t="str">
            <v>SC0027</v>
          </cell>
          <cell r="B40" t="str">
            <v>SRR17898897</v>
          </cell>
          <cell r="C40">
            <v>48</v>
          </cell>
          <cell r="D40">
            <v>48</v>
          </cell>
          <cell r="E40" t="str">
            <v>Homo sapiens</v>
          </cell>
          <cell r="F40" t="str">
            <v>Campylobacter jejuni</v>
          </cell>
          <cell r="G40" t="str">
            <v>exact</v>
          </cell>
          <cell r="H40" t="str">
            <v>CAMP0331(cmeB)_94</v>
          </cell>
          <cell r="I40" t="str">
            <v>CAMP0331(cmeB)</v>
          </cell>
          <cell r="J40">
            <v>94</v>
          </cell>
        </row>
        <row r="41">
          <cell r="A41" t="str">
            <v>SC0026</v>
          </cell>
          <cell r="B41" t="str">
            <v>SRR17898898</v>
          </cell>
          <cell r="C41">
            <v>6964</v>
          </cell>
          <cell r="D41">
            <v>354</v>
          </cell>
          <cell r="E41" t="str">
            <v>Homo sapiens</v>
          </cell>
          <cell r="F41" t="str">
            <v>Campylobacter jejuni</v>
          </cell>
          <cell r="G41" t="str">
            <v>exact</v>
          </cell>
          <cell r="H41" t="str">
            <v>CAMP0331(cmeB)_1451</v>
          </cell>
          <cell r="I41" t="str">
            <v>CAMP0331(cmeB)</v>
          </cell>
          <cell r="J41">
            <v>1451</v>
          </cell>
        </row>
        <row r="42">
          <cell r="A42" t="str">
            <v>SC0025</v>
          </cell>
          <cell r="B42" t="str">
            <v>SRR17898899</v>
          </cell>
          <cell r="C42">
            <v>827</v>
          </cell>
          <cell r="D42">
            <v>828</v>
          </cell>
          <cell r="E42" t="str">
            <v>Homo sapiens</v>
          </cell>
          <cell r="F42" t="str">
            <v>Campylobacter coli</v>
          </cell>
          <cell r="G42" t="str">
            <v>exact</v>
          </cell>
          <cell r="H42" t="str">
            <v>CAMP0331(cmeB)_1184</v>
          </cell>
          <cell r="I42" t="str">
            <v>CAMP0331(cmeB)</v>
          </cell>
          <cell r="J42">
            <v>1184</v>
          </cell>
        </row>
        <row r="43">
          <cell r="A43" t="str">
            <v>SC0024</v>
          </cell>
          <cell r="B43" t="str">
            <v>SRR17898900</v>
          </cell>
          <cell r="C43">
            <v>474</v>
          </cell>
          <cell r="D43">
            <v>48</v>
          </cell>
          <cell r="E43" t="str">
            <v>Homo sapiens</v>
          </cell>
          <cell r="F43" t="str">
            <v>Campylobacter jejuni</v>
          </cell>
          <cell r="G43" t="str">
            <v>exact</v>
          </cell>
          <cell r="H43" t="str">
            <v>CAMP0331(cmeB)_1</v>
          </cell>
          <cell r="I43" t="str">
            <v>CAMP0331(cmeB)</v>
          </cell>
          <cell r="J43">
            <v>1</v>
          </cell>
        </row>
        <row r="44">
          <cell r="A44" t="str">
            <v>SC0023</v>
          </cell>
          <cell r="B44" t="str">
            <v>SRR17898901</v>
          </cell>
          <cell r="C44">
            <v>4337</v>
          </cell>
          <cell r="D44">
            <v>21</v>
          </cell>
          <cell r="E44" t="str">
            <v>Homo sapiens</v>
          </cell>
          <cell r="F44" t="str">
            <v>Campylobacter jejuni</v>
          </cell>
          <cell r="G44" t="str">
            <v>exact</v>
          </cell>
          <cell r="H44" t="str">
            <v>CAMP0331(cmeB)_604</v>
          </cell>
          <cell r="I44" t="str">
            <v>CAMP0331(cmeB)</v>
          </cell>
          <cell r="J44">
            <v>604</v>
          </cell>
        </row>
        <row r="45">
          <cell r="A45" t="str">
            <v>SC0022</v>
          </cell>
          <cell r="B45" t="str">
            <v>SRR17898902</v>
          </cell>
          <cell r="C45">
            <v>474</v>
          </cell>
          <cell r="D45">
            <v>48</v>
          </cell>
          <cell r="E45" t="str">
            <v>Homo sapiens</v>
          </cell>
          <cell r="F45" t="str">
            <v>Campylobacter jejuni</v>
          </cell>
          <cell r="G45" t="str">
            <v>exact</v>
          </cell>
          <cell r="H45" t="str">
            <v>CAMP0331(cmeB)_1</v>
          </cell>
          <cell r="I45" t="str">
            <v>CAMP0331(cmeB)</v>
          </cell>
          <cell r="J45">
            <v>1</v>
          </cell>
        </row>
        <row r="46">
          <cell r="A46" t="str">
            <v>SC0021</v>
          </cell>
          <cell r="B46" t="str">
            <v>SRR17898903</v>
          </cell>
          <cell r="C46">
            <v>6964</v>
          </cell>
          <cell r="D46">
            <v>354</v>
          </cell>
          <cell r="E46" t="str">
            <v>Homo sapiens</v>
          </cell>
          <cell r="F46" t="str">
            <v>Campylobacter jejuni</v>
          </cell>
          <cell r="G46" t="str">
            <v>exact</v>
          </cell>
          <cell r="H46" t="str">
            <v>CAMP0331(cmeB)_1451</v>
          </cell>
          <cell r="I46" t="str">
            <v>CAMP0331(cmeB)</v>
          </cell>
          <cell r="J46">
            <v>1451</v>
          </cell>
        </row>
        <row r="47">
          <cell r="A47" t="str">
            <v>SC0012</v>
          </cell>
          <cell r="B47" t="str">
            <v>SRR17898904</v>
          </cell>
          <cell r="C47">
            <v>825</v>
          </cell>
          <cell r="D47">
            <v>828</v>
          </cell>
          <cell r="E47" t="str">
            <v>Ovis aries</v>
          </cell>
          <cell r="F47" t="str">
            <v>Campylobacter coli</v>
          </cell>
          <cell r="G47" t="str">
            <v>exact</v>
          </cell>
          <cell r="H47" t="str">
            <v>CAMP0331(cmeB)_253</v>
          </cell>
          <cell r="I47" t="str">
            <v>CAMP0331(cmeB)</v>
          </cell>
          <cell r="J47">
            <v>253</v>
          </cell>
        </row>
        <row r="48">
          <cell r="A48" t="str">
            <v>SC0011</v>
          </cell>
          <cell r="B48" t="str">
            <v>SRR17898905</v>
          </cell>
          <cell r="C48">
            <v>50</v>
          </cell>
          <cell r="D48">
            <v>21</v>
          </cell>
          <cell r="E48" t="str">
            <v>Ovis aries</v>
          </cell>
          <cell r="F48" t="str">
            <v>Campylobacter jejuni</v>
          </cell>
          <cell r="G48" t="str">
            <v>exact</v>
          </cell>
          <cell r="H48" t="str">
            <v>CAMP0331(cmeB)_604</v>
          </cell>
          <cell r="I48" t="str">
            <v>CAMP0331(cmeB)</v>
          </cell>
          <cell r="J48">
            <v>604</v>
          </cell>
        </row>
        <row r="49">
          <cell r="A49" t="str">
            <v>SC0200</v>
          </cell>
          <cell r="B49" t="str">
            <v>SRR17899180</v>
          </cell>
          <cell r="C49">
            <v>403</v>
          </cell>
          <cell r="D49">
            <v>403</v>
          </cell>
          <cell r="E49" t="str">
            <v>Bos taurus taurus</v>
          </cell>
          <cell r="F49" t="str">
            <v>Campylobacter jejuni</v>
          </cell>
          <cell r="G49" t="str">
            <v>exact</v>
          </cell>
          <cell r="H49" t="str">
            <v>CAMP0331(cmeB)_54</v>
          </cell>
          <cell r="I49" t="str">
            <v>CAMP0331(cmeB)</v>
          </cell>
          <cell r="J49">
            <v>54</v>
          </cell>
        </row>
        <row r="50">
          <cell r="A50" t="str">
            <v>SC0199</v>
          </cell>
          <cell r="B50" t="str">
            <v>SRR17899181</v>
          </cell>
          <cell r="C50">
            <v>403</v>
          </cell>
          <cell r="D50">
            <v>403</v>
          </cell>
          <cell r="E50" t="str">
            <v>Bos taurus taurus</v>
          </cell>
          <cell r="F50" t="str">
            <v>Campylobacter jejuni</v>
          </cell>
          <cell r="G50" t="str">
            <v>exact</v>
          </cell>
          <cell r="H50" t="str">
            <v>CAMP0331(cmeB)_54</v>
          </cell>
          <cell r="I50" t="str">
            <v>CAMP0331(cmeB)</v>
          </cell>
          <cell r="J50">
            <v>54</v>
          </cell>
        </row>
        <row r="51">
          <cell r="A51" t="str">
            <v>SC0197</v>
          </cell>
          <cell r="B51" t="str">
            <v>SRR17899183</v>
          </cell>
          <cell r="C51">
            <v>50</v>
          </cell>
          <cell r="D51">
            <v>21</v>
          </cell>
          <cell r="E51" t="str">
            <v>Homo sapiens</v>
          </cell>
          <cell r="F51" t="str">
            <v>Campylobacter jejuni</v>
          </cell>
          <cell r="G51" t="str">
            <v>exact</v>
          </cell>
          <cell r="H51" t="str">
            <v>CAMP0331(cmeB)_369</v>
          </cell>
          <cell r="I51" t="str">
            <v>CAMP0331(cmeB)</v>
          </cell>
          <cell r="J51">
            <v>369</v>
          </cell>
        </row>
        <row r="52">
          <cell r="A52" t="str">
            <v>SC0196</v>
          </cell>
          <cell r="B52" t="str">
            <v>SRR17899184</v>
          </cell>
          <cell r="C52">
            <v>53</v>
          </cell>
          <cell r="D52">
            <v>21</v>
          </cell>
          <cell r="E52" t="str">
            <v>Homo sapiens</v>
          </cell>
          <cell r="F52" t="str">
            <v>Campylobacter jejuni</v>
          </cell>
          <cell r="G52" t="str">
            <v>exact</v>
          </cell>
          <cell r="H52" t="str">
            <v>CAMP0331(cmeB)_604</v>
          </cell>
          <cell r="I52" t="str">
            <v>CAMP0331(cmeB)</v>
          </cell>
          <cell r="J52">
            <v>604</v>
          </cell>
        </row>
        <row r="53">
          <cell r="A53" t="str">
            <v>SC0195</v>
          </cell>
          <cell r="B53" t="str">
            <v>SRR17899185</v>
          </cell>
          <cell r="C53">
            <v>422</v>
          </cell>
          <cell r="D53">
            <v>21</v>
          </cell>
          <cell r="E53" t="str">
            <v>Homo sapiens</v>
          </cell>
          <cell r="F53" t="str">
            <v>Campylobacter jejuni</v>
          </cell>
          <cell r="G53" t="str">
            <v>exact</v>
          </cell>
          <cell r="H53" t="str">
            <v>CAMP0331(cmeB)_604</v>
          </cell>
          <cell r="I53" t="str">
            <v>CAMP0331(cmeB)</v>
          </cell>
          <cell r="J53">
            <v>604</v>
          </cell>
        </row>
        <row r="54">
          <cell r="A54" t="str">
            <v>SC0194</v>
          </cell>
          <cell r="B54" t="str">
            <v>SRR17899186</v>
          </cell>
          <cell r="C54">
            <v>825</v>
          </cell>
          <cell r="D54">
            <v>828</v>
          </cell>
          <cell r="E54" t="str">
            <v>Homo sapiens</v>
          </cell>
          <cell r="F54" t="str">
            <v>Campylobacter coli</v>
          </cell>
          <cell r="G54" t="str">
            <v>exact</v>
          </cell>
          <cell r="H54" t="str">
            <v>CAMP0331(cmeB)_253</v>
          </cell>
          <cell r="I54" t="str">
            <v>CAMP0331(cmeB)</v>
          </cell>
          <cell r="J54">
            <v>253</v>
          </cell>
        </row>
        <row r="55">
          <cell r="A55" t="str">
            <v>SC0193</v>
          </cell>
          <cell r="B55" t="str">
            <v>SRR17899187</v>
          </cell>
          <cell r="C55">
            <v>6964</v>
          </cell>
          <cell r="D55">
            <v>354</v>
          </cell>
          <cell r="E55" t="str">
            <v>Homo sapiens</v>
          </cell>
          <cell r="F55" t="str">
            <v>Campylobacter jejuni</v>
          </cell>
          <cell r="G55" t="str">
            <v>exact</v>
          </cell>
          <cell r="H55" t="str">
            <v>CAMP0331(cmeB)_1451</v>
          </cell>
          <cell r="I55" t="str">
            <v>CAMP0331(cmeB)</v>
          </cell>
          <cell r="J55">
            <v>1451</v>
          </cell>
        </row>
        <row r="56">
          <cell r="A56" t="str">
            <v>SC0110</v>
          </cell>
          <cell r="B56" t="str">
            <v>SRR17899188</v>
          </cell>
          <cell r="C56">
            <v>474</v>
          </cell>
          <cell r="D56">
            <v>48</v>
          </cell>
          <cell r="E56" t="str">
            <v>Gallus gallus</v>
          </cell>
          <cell r="F56" t="str">
            <v>Campylobacter jejuni</v>
          </cell>
          <cell r="G56" t="str">
            <v>exact</v>
          </cell>
          <cell r="H56" t="str">
            <v>CAMP0331(cmeB)_1</v>
          </cell>
          <cell r="I56" t="str">
            <v>CAMP0331(cmeB)</v>
          </cell>
          <cell r="J56">
            <v>1</v>
          </cell>
        </row>
        <row r="57">
          <cell r="A57" t="str">
            <v>SC0192</v>
          </cell>
          <cell r="B57" t="str">
            <v>SRR17899189</v>
          </cell>
          <cell r="C57">
            <v>6964</v>
          </cell>
          <cell r="D57">
            <v>354</v>
          </cell>
          <cell r="E57" t="str">
            <v>Homo sapiens</v>
          </cell>
          <cell r="F57" t="str">
            <v>Campylobacter jejuni</v>
          </cell>
          <cell r="G57" t="str">
            <v>exact</v>
          </cell>
          <cell r="H57" t="str">
            <v>CAMP0331(cmeB)_1451</v>
          </cell>
          <cell r="I57" t="str">
            <v>CAMP0331(cmeB)</v>
          </cell>
          <cell r="J57">
            <v>1451</v>
          </cell>
        </row>
        <row r="58">
          <cell r="A58" t="str">
            <v>SC0191</v>
          </cell>
          <cell r="B58" t="str">
            <v>SRR17899190</v>
          </cell>
          <cell r="C58">
            <v>50</v>
          </cell>
          <cell r="D58">
            <v>21</v>
          </cell>
          <cell r="E58" t="str">
            <v>Homo sapiens</v>
          </cell>
          <cell r="F58" t="str">
            <v>Campylobacter jejuni</v>
          </cell>
          <cell r="G58" t="str">
            <v>exact</v>
          </cell>
          <cell r="H58" t="str">
            <v>CAMP0331(cmeB)_1</v>
          </cell>
          <cell r="I58" t="str">
            <v>CAMP0331(cmeB)</v>
          </cell>
          <cell r="J58">
            <v>1</v>
          </cell>
        </row>
        <row r="59">
          <cell r="A59" t="str">
            <v>SC0190</v>
          </cell>
          <cell r="B59" t="str">
            <v>SRR17899191</v>
          </cell>
          <cell r="C59">
            <v>474</v>
          </cell>
          <cell r="D59">
            <v>48</v>
          </cell>
          <cell r="E59" t="str">
            <v>Homo sapiens</v>
          </cell>
          <cell r="F59" t="str">
            <v>Campylobacter jejuni</v>
          </cell>
          <cell r="G59" t="str">
            <v>exact</v>
          </cell>
          <cell r="H59" t="str">
            <v>CAMP0331(cmeB)_1</v>
          </cell>
          <cell r="I59" t="str">
            <v>CAMP0331(cmeB)</v>
          </cell>
          <cell r="J59">
            <v>1</v>
          </cell>
        </row>
        <row r="60">
          <cell r="A60" t="str">
            <v>SC0189</v>
          </cell>
          <cell r="B60" t="str">
            <v>SRR17899192</v>
          </cell>
          <cell r="C60">
            <v>6964</v>
          </cell>
          <cell r="D60">
            <v>354</v>
          </cell>
          <cell r="E60" t="str">
            <v>Gallus gallus</v>
          </cell>
          <cell r="F60" t="str">
            <v>Campylobacter jejuni</v>
          </cell>
          <cell r="G60" t="str">
            <v>exact</v>
          </cell>
          <cell r="H60" t="str">
            <v>CAMP0331(cmeB)_1451</v>
          </cell>
          <cell r="I60" t="str">
            <v>CAMP0331(cmeB)</v>
          </cell>
          <cell r="J60">
            <v>1451</v>
          </cell>
        </row>
        <row r="61">
          <cell r="A61" t="str">
            <v>SC0188</v>
          </cell>
          <cell r="B61" t="str">
            <v>SRR17899193</v>
          </cell>
          <cell r="C61">
            <v>6964</v>
          </cell>
          <cell r="D61">
            <v>354</v>
          </cell>
          <cell r="E61" t="str">
            <v>Gallus gallus</v>
          </cell>
          <cell r="F61" t="str">
            <v>Campylobacter jejuni</v>
          </cell>
          <cell r="G61" t="str">
            <v>exact</v>
          </cell>
          <cell r="H61" t="str">
            <v>CAMP0331(cmeB)_1451</v>
          </cell>
          <cell r="I61" t="str">
            <v>CAMP0331(cmeB)</v>
          </cell>
          <cell r="J61">
            <v>1451</v>
          </cell>
        </row>
        <row r="62">
          <cell r="A62" t="str">
            <v>SC0186</v>
          </cell>
          <cell r="B62" t="str">
            <v>SRR17899195</v>
          </cell>
          <cell r="C62">
            <v>6964</v>
          </cell>
          <cell r="D62">
            <v>354</v>
          </cell>
          <cell r="E62" t="str">
            <v>Gallus gallus</v>
          </cell>
          <cell r="F62" t="str">
            <v>Campylobacter jejuni</v>
          </cell>
          <cell r="G62" t="str">
            <v>exact</v>
          </cell>
          <cell r="H62" t="str">
            <v>CAMP0331(cmeB)_1451</v>
          </cell>
          <cell r="I62" t="str">
            <v>CAMP0331(cmeB)</v>
          </cell>
          <cell r="J62">
            <v>1451</v>
          </cell>
        </row>
        <row r="63">
          <cell r="A63" t="str">
            <v>SC0185</v>
          </cell>
          <cell r="B63" t="str">
            <v>SRR17899196</v>
          </cell>
          <cell r="C63">
            <v>658</v>
          </cell>
          <cell r="D63">
            <v>658</v>
          </cell>
          <cell r="E63" t="str">
            <v>Gallus gallus</v>
          </cell>
          <cell r="F63" t="str">
            <v>Campylobacter jejuni</v>
          </cell>
          <cell r="G63" t="str">
            <v>exact</v>
          </cell>
          <cell r="H63" t="str">
            <v>CAMP0331(cmeB)_26</v>
          </cell>
          <cell r="I63" t="str">
            <v>CAMP0331(cmeB)</v>
          </cell>
          <cell r="J63">
            <v>26</v>
          </cell>
        </row>
        <row r="64">
          <cell r="A64" t="str">
            <v>SC0184</v>
          </cell>
          <cell r="B64" t="str">
            <v>SRR17899197</v>
          </cell>
          <cell r="C64">
            <v>50</v>
          </cell>
          <cell r="D64">
            <v>21</v>
          </cell>
          <cell r="E64" t="str">
            <v>Gallus gallus</v>
          </cell>
          <cell r="F64" t="str">
            <v>Campylobacter jejuni</v>
          </cell>
          <cell r="G64" t="str">
            <v>exact</v>
          </cell>
          <cell r="H64" t="str">
            <v>CAMP0331(cmeB)_1</v>
          </cell>
          <cell r="I64" t="str">
            <v>CAMP0331(cmeB)</v>
          </cell>
          <cell r="J64">
            <v>1</v>
          </cell>
        </row>
        <row r="65">
          <cell r="A65" t="str">
            <v>SC0183</v>
          </cell>
          <cell r="B65" t="str">
            <v>SRR17899198</v>
          </cell>
          <cell r="C65">
            <v>190</v>
          </cell>
          <cell r="D65">
            <v>21</v>
          </cell>
          <cell r="E65" t="str">
            <v>Homo sapiens</v>
          </cell>
          <cell r="F65" t="str">
            <v>Campylobacter jejuni</v>
          </cell>
          <cell r="G65" t="str">
            <v>exact</v>
          </cell>
          <cell r="H65" t="str">
            <v>CAMP0331(cmeB)_604</v>
          </cell>
          <cell r="I65" t="str">
            <v>CAMP0331(cmeB)</v>
          </cell>
          <cell r="J65">
            <v>604</v>
          </cell>
        </row>
        <row r="66">
          <cell r="A66" t="str">
            <v>SC0109</v>
          </cell>
          <cell r="B66" t="str">
            <v>SRR17899199</v>
          </cell>
          <cell r="C66">
            <v>257</v>
          </cell>
          <cell r="D66">
            <v>257</v>
          </cell>
          <cell r="E66" t="str">
            <v>Gallus gallus</v>
          </cell>
          <cell r="F66" t="str">
            <v>Campylobacter jejuni</v>
          </cell>
          <cell r="G66" t="str">
            <v>exact</v>
          </cell>
          <cell r="H66" t="str">
            <v>CAMP0331(cmeB)_3614</v>
          </cell>
          <cell r="I66" t="str">
            <v>CAMP0331(cmeB)</v>
          </cell>
          <cell r="J66">
            <v>3614</v>
          </cell>
        </row>
        <row r="67">
          <cell r="A67" t="str">
            <v>SC0182</v>
          </cell>
          <cell r="B67" t="str">
            <v>SRR17899200</v>
          </cell>
          <cell r="C67">
            <v>474</v>
          </cell>
          <cell r="D67">
            <v>48</v>
          </cell>
          <cell r="E67" t="str">
            <v>Homo sapiens</v>
          </cell>
          <cell r="F67" t="str">
            <v>Campylobacter jejuni</v>
          </cell>
          <cell r="G67" t="str">
            <v>exact</v>
          </cell>
          <cell r="H67" t="str">
            <v>CAMP0331(cmeB)_1</v>
          </cell>
          <cell r="I67" t="str">
            <v>CAMP0331(cmeB)</v>
          </cell>
          <cell r="J67">
            <v>1</v>
          </cell>
        </row>
        <row r="68">
          <cell r="A68" t="str">
            <v>SC0181</v>
          </cell>
          <cell r="B68" t="str">
            <v>SRR17899201</v>
          </cell>
          <cell r="C68">
            <v>53</v>
          </cell>
          <cell r="D68">
            <v>21</v>
          </cell>
          <cell r="E68" t="str">
            <v>Homo sapiens</v>
          </cell>
          <cell r="F68" t="str">
            <v>Campylobacter jejuni</v>
          </cell>
          <cell r="G68" t="str">
            <v>exact</v>
          </cell>
          <cell r="H68" t="str">
            <v>CAMP0331(cmeB)_604</v>
          </cell>
          <cell r="I68" t="str">
            <v>CAMP0331(cmeB)</v>
          </cell>
          <cell r="J68">
            <v>604</v>
          </cell>
        </row>
        <row r="69">
          <cell r="A69" t="str">
            <v>SC0180</v>
          </cell>
          <cell r="B69" t="str">
            <v>SRR17899202</v>
          </cell>
          <cell r="C69">
            <v>61</v>
          </cell>
          <cell r="D69">
            <v>61</v>
          </cell>
          <cell r="E69" t="str">
            <v>Homo sapiens</v>
          </cell>
          <cell r="F69" t="str">
            <v>Campylobacter jejuni</v>
          </cell>
          <cell r="G69" t="str">
            <v>exact</v>
          </cell>
          <cell r="H69" t="str">
            <v>CAMP0331(cmeB)_14</v>
          </cell>
          <cell r="I69" t="str">
            <v>CAMP0331(cmeB)</v>
          </cell>
          <cell r="J69">
            <v>14</v>
          </cell>
        </row>
        <row r="70">
          <cell r="A70" t="str">
            <v>SC0179</v>
          </cell>
          <cell r="B70" t="str">
            <v>SRR17899203</v>
          </cell>
          <cell r="C70">
            <v>6964</v>
          </cell>
          <cell r="D70">
            <v>354</v>
          </cell>
          <cell r="E70" t="str">
            <v>Homo sapiens</v>
          </cell>
          <cell r="F70" t="str">
            <v>Campylobacter jejuni</v>
          </cell>
          <cell r="G70" t="str">
            <v>exact</v>
          </cell>
          <cell r="H70" t="str">
            <v>CAMP0331(cmeB)_1451</v>
          </cell>
          <cell r="I70" t="str">
            <v>CAMP0331(cmeB)</v>
          </cell>
          <cell r="J70">
            <v>1451</v>
          </cell>
        </row>
        <row r="71">
          <cell r="A71" t="str">
            <v>SC0178</v>
          </cell>
          <cell r="B71" t="str">
            <v>SRR17899204</v>
          </cell>
          <cell r="C71">
            <v>38</v>
          </cell>
          <cell r="D71">
            <v>48</v>
          </cell>
          <cell r="E71" t="str">
            <v>Homo sapiens</v>
          </cell>
          <cell r="F71" t="str">
            <v>Campylobacter jejuni</v>
          </cell>
          <cell r="G71" t="str">
            <v>exact</v>
          </cell>
          <cell r="H71" t="str">
            <v>CAMP0331(cmeB)_14</v>
          </cell>
          <cell r="I71" t="str">
            <v>CAMP0331(cmeB)</v>
          </cell>
          <cell r="J71">
            <v>14</v>
          </cell>
        </row>
        <row r="72">
          <cell r="A72" t="str">
            <v>SC0177</v>
          </cell>
          <cell r="B72" t="str">
            <v>SRR17899205</v>
          </cell>
          <cell r="C72">
            <v>53</v>
          </cell>
          <cell r="D72">
            <v>21</v>
          </cell>
          <cell r="E72" t="str">
            <v>Homo sapiens</v>
          </cell>
          <cell r="F72" t="str">
            <v>Campylobacter jejuni</v>
          </cell>
          <cell r="G72" t="str">
            <v>exact</v>
          </cell>
          <cell r="H72" t="str">
            <v>CAMP0331(cmeB)_604</v>
          </cell>
          <cell r="I72" t="str">
            <v>CAMP0331(cmeB)</v>
          </cell>
          <cell r="J72">
            <v>604</v>
          </cell>
        </row>
        <row r="73">
          <cell r="A73" t="str">
            <v>SC0175</v>
          </cell>
          <cell r="B73" t="str">
            <v>SRR17899207</v>
          </cell>
          <cell r="C73">
            <v>53</v>
          </cell>
          <cell r="D73">
            <v>21</v>
          </cell>
          <cell r="E73" t="str">
            <v>Homo sapiens</v>
          </cell>
          <cell r="F73" t="str">
            <v>Campylobacter jejuni</v>
          </cell>
          <cell r="G73" t="str">
            <v>exact</v>
          </cell>
          <cell r="H73" t="str">
            <v>CAMP0331(cmeB)_604</v>
          </cell>
          <cell r="I73" t="str">
            <v>CAMP0331(cmeB)</v>
          </cell>
          <cell r="J73">
            <v>604</v>
          </cell>
        </row>
        <row r="74">
          <cell r="A74" t="str">
            <v>SC0174</v>
          </cell>
          <cell r="B74" t="str">
            <v>SRR17899208</v>
          </cell>
          <cell r="C74">
            <v>53</v>
          </cell>
          <cell r="D74">
            <v>21</v>
          </cell>
          <cell r="E74" t="str">
            <v>Homo sapiens</v>
          </cell>
          <cell r="F74" t="str">
            <v>Campylobacter jejuni</v>
          </cell>
          <cell r="G74" t="str">
            <v>exact</v>
          </cell>
          <cell r="H74" t="str">
            <v>CAMP0331(cmeB)_604</v>
          </cell>
          <cell r="I74" t="str">
            <v>CAMP0331(cmeB)</v>
          </cell>
          <cell r="J74">
            <v>604</v>
          </cell>
        </row>
        <row r="75">
          <cell r="A75" t="str">
            <v>SC0173</v>
          </cell>
          <cell r="B75" t="str">
            <v>SRR17899209</v>
          </cell>
          <cell r="C75">
            <v>61</v>
          </cell>
          <cell r="D75">
            <v>61</v>
          </cell>
          <cell r="E75" t="str">
            <v>Homo sapiens</v>
          </cell>
          <cell r="F75" t="str">
            <v>Campylobacter jejuni</v>
          </cell>
          <cell r="G75" t="str">
            <v>exact</v>
          </cell>
          <cell r="H75" t="str">
            <v>CAMP0331(cmeB)_14</v>
          </cell>
          <cell r="I75" t="str">
            <v>CAMP0331(cmeB)</v>
          </cell>
          <cell r="J75">
            <v>14</v>
          </cell>
        </row>
        <row r="76">
          <cell r="A76" t="str">
            <v>SC0143</v>
          </cell>
          <cell r="B76" t="str">
            <v>SRR17899210</v>
          </cell>
          <cell r="C76">
            <v>50</v>
          </cell>
          <cell r="D76">
            <v>21</v>
          </cell>
          <cell r="E76" t="str">
            <v>Homo sapiens</v>
          </cell>
          <cell r="F76" t="str">
            <v>Campylobacter jejuni</v>
          </cell>
          <cell r="G76" t="str">
            <v>exact</v>
          </cell>
          <cell r="H76" t="str">
            <v>CAMP0331(cmeB)_3617</v>
          </cell>
          <cell r="I76" t="str">
            <v>CAMP0331(cmeB)</v>
          </cell>
          <cell r="J76">
            <v>3617</v>
          </cell>
        </row>
        <row r="77">
          <cell r="A77" t="str">
            <v>SC0105</v>
          </cell>
          <cell r="B77" t="str">
            <v>SRR17899211</v>
          </cell>
          <cell r="C77">
            <v>190</v>
          </cell>
          <cell r="D77">
            <v>21</v>
          </cell>
          <cell r="E77" t="str">
            <v>Homo sapiens</v>
          </cell>
          <cell r="F77" t="str">
            <v>Campylobacter jejuni</v>
          </cell>
          <cell r="G77" t="str">
            <v>exact</v>
          </cell>
          <cell r="H77" t="str">
            <v>CAMP0331(cmeB)_604</v>
          </cell>
          <cell r="I77" t="str">
            <v>CAMP0331(cmeB)</v>
          </cell>
          <cell r="J77">
            <v>604</v>
          </cell>
        </row>
        <row r="78">
          <cell r="A78" t="str">
            <v>SC0142</v>
          </cell>
          <cell r="B78" t="str">
            <v>SRR17899212</v>
          </cell>
          <cell r="C78">
            <v>0</v>
          </cell>
          <cell r="D78">
            <v>0</v>
          </cell>
          <cell r="E78" t="str">
            <v>Homo sapiens</v>
          </cell>
          <cell r="F78" t="str">
            <v>Campylobacter jejuni</v>
          </cell>
          <cell r="G78" t="str">
            <v>exact</v>
          </cell>
          <cell r="H78" t="str">
            <v>CAMP0331(cmeB)_4693</v>
          </cell>
          <cell r="I78" t="str">
            <v>CAMP0331(cmeB)</v>
          </cell>
          <cell r="J78">
            <v>4693</v>
          </cell>
        </row>
        <row r="79">
          <cell r="A79" t="str">
            <v>SC0141</v>
          </cell>
          <cell r="B79" t="str">
            <v>SRR17899213</v>
          </cell>
          <cell r="C79">
            <v>474</v>
          </cell>
          <cell r="D79">
            <v>48</v>
          </cell>
          <cell r="E79" t="str">
            <v>Homo sapiens</v>
          </cell>
          <cell r="F79" t="str">
            <v>Campylobacter jejuni</v>
          </cell>
          <cell r="G79" t="str">
            <v>exact</v>
          </cell>
          <cell r="H79" t="str">
            <v>CAMP0331(cmeB)_1</v>
          </cell>
          <cell r="I79" t="str">
            <v>CAMP0331(cmeB)</v>
          </cell>
          <cell r="J79">
            <v>1</v>
          </cell>
        </row>
        <row r="80">
          <cell r="A80" t="str">
            <v>SC0140</v>
          </cell>
          <cell r="B80" t="str">
            <v>SRR17899214</v>
          </cell>
          <cell r="C80">
            <v>474</v>
          </cell>
          <cell r="D80">
            <v>48</v>
          </cell>
          <cell r="E80" t="str">
            <v>Homo sapiens</v>
          </cell>
          <cell r="F80" t="str">
            <v>Campylobacter jejuni</v>
          </cell>
          <cell r="G80" t="str">
            <v>exact</v>
          </cell>
          <cell r="H80" t="str">
            <v>CAMP0331(cmeB)_1</v>
          </cell>
          <cell r="I80" t="str">
            <v>CAMP0331(cmeB)</v>
          </cell>
          <cell r="J80">
            <v>1</v>
          </cell>
        </row>
        <row r="81">
          <cell r="A81" t="str">
            <v>SC0139</v>
          </cell>
          <cell r="B81" t="str">
            <v>SRR17899215</v>
          </cell>
          <cell r="C81">
            <v>2347</v>
          </cell>
          <cell r="D81">
            <v>0</v>
          </cell>
          <cell r="E81" t="str">
            <v>Homo sapiens</v>
          </cell>
          <cell r="F81" t="str">
            <v>Campylobacter jejuni</v>
          </cell>
          <cell r="G81" t="str">
            <v>exact</v>
          </cell>
          <cell r="H81" t="str">
            <v>CAMP0331(cmeB)_465</v>
          </cell>
          <cell r="I81" t="str">
            <v>CAMP0331(cmeB)</v>
          </cell>
          <cell r="J81">
            <v>465</v>
          </cell>
        </row>
        <row r="82">
          <cell r="A82" t="str">
            <v>SC0138</v>
          </cell>
          <cell r="B82" t="str">
            <v>SRR17899216</v>
          </cell>
          <cell r="C82">
            <v>48</v>
          </cell>
          <cell r="D82">
            <v>48</v>
          </cell>
          <cell r="E82" t="str">
            <v>Homo sapiens</v>
          </cell>
          <cell r="F82" t="str">
            <v>Campylobacter jejuni</v>
          </cell>
          <cell r="G82" t="str">
            <v>exact</v>
          </cell>
          <cell r="H82" t="str">
            <v>CAMP0331(cmeB)_94</v>
          </cell>
          <cell r="I82" t="str">
            <v>CAMP0331(cmeB)</v>
          </cell>
          <cell r="J82">
            <v>94</v>
          </cell>
        </row>
        <row r="83">
          <cell r="A83" t="str">
            <v>SC0137</v>
          </cell>
          <cell r="B83" t="str">
            <v>SRR17899217</v>
          </cell>
          <cell r="C83">
            <v>48</v>
          </cell>
          <cell r="D83">
            <v>48</v>
          </cell>
          <cell r="E83" t="str">
            <v>Homo sapiens</v>
          </cell>
          <cell r="F83" t="str">
            <v>Campylobacter jejuni</v>
          </cell>
          <cell r="G83" t="str">
            <v>exact</v>
          </cell>
          <cell r="H83" t="str">
            <v>CAMP0331(cmeB)_94</v>
          </cell>
          <cell r="I83" t="str">
            <v>CAMP0331(cmeB)</v>
          </cell>
          <cell r="J83">
            <v>94</v>
          </cell>
        </row>
        <row r="84">
          <cell r="A84" t="str">
            <v>SC0136</v>
          </cell>
          <cell r="B84" t="str">
            <v>SRR17899218</v>
          </cell>
          <cell r="C84">
            <v>8185</v>
          </cell>
          <cell r="D84">
            <v>21</v>
          </cell>
          <cell r="E84" t="str">
            <v>Homo sapiens</v>
          </cell>
          <cell r="F84" t="str">
            <v>Campylobacter jejuni</v>
          </cell>
          <cell r="G84" t="str">
            <v>exact</v>
          </cell>
          <cell r="H84" t="str">
            <v>CAMP0331(cmeB)_3615</v>
          </cell>
          <cell r="I84" t="str">
            <v>CAMP0331(cmeB)</v>
          </cell>
          <cell r="J84">
            <v>3615</v>
          </cell>
        </row>
        <row r="85">
          <cell r="A85" t="str">
            <v>SC0135</v>
          </cell>
          <cell r="B85" t="str">
            <v>SRR17899219</v>
          </cell>
          <cell r="C85">
            <v>3538</v>
          </cell>
          <cell r="D85">
            <v>0</v>
          </cell>
          <cell r="E85" t="str">
            <v>Homo sapiens</v>
          </cell>
          <cell r="F85" t="str">
            <v>Campylobacter jejuni</v>
          </cell>
          <cell r="G85" t="str">
            <v>exact</v>
          </cell>
          <cell r="H85" t="str">
            <v>CAMP0331(cmeB)_14</v>
          </cell>
          <cell r="I85" t="str">
            <v>CAMP0331(cmeB)</v>
          </cell>
          <cell r="J85">
            <v>14</v>
          </cell>
        </row>
        <row r="86">
          <cell r="A86" t="str">
            <v>SC0134</v>
          </cell>
          <cell r="B86" t="str">
            <v>SRR17899220</v>
          </cell>
          <cell r="C86">
            <v>535</v>
          </cell>
          <cell r="D86">
            <v>460</v>
          </cell>
          <cell r="E86" t="str">
            <v>Homo sapiens</v>
          </cell>
          <cell r="F86" t="str">
            <v>Campylobacter jejuni</v>
          </cell>
          <cell r="G86" t="str">
            <v>exact</v>
          </cell>
          <cell r="H86" t="str">
            <v>CAMP0331(cmeB)_3618</v>
          </cell>
          <cell r="I86" t="str">
            <v>CAMP0331(cmeB)</v>
          </cell>
          <cell r="J86">
            <v>3618</v>
          </cell>
        </row>
        <row r="87">
          <cell r="A87" t="str">
            <v>SC0133</v>
          </cell>
          <cell r="B87" t="str">
            <v>SRR17899221</v>
          </cell>
          <cell r="C87">
            <v>474</v>
          </cell>
          <cell r="D87">
            <v>48</v>
          </cell>
          <cell r="E87" t="str">
            <v>Homo sapiens</v>
          </cell>
          <cell r="F87" t="str">
            <v>Campylobacter jejuni</v>
          </cell>
          <cell r="G87" t="str">
            <v>exact</v>
          </cell>
          <cell r="H87" t="str">
            <v>CAMP0331(cmeB)_1</v>
          </cell>
          <cell r="I87" t="str">
            <v>CAMP0331(cmeB)</v>
          </cell>
          <cell r="J87">
            <v>1</v>
          </cell>
        </row>
        <row r="88">
          <cell r="A88" t="str">
            <v>SC0104</v>
          </cell>
          <cell r="B88" t="str">
            <v>SRR17899222</v>
          </cell>
          <cell r="C88">
            <v>8065</v>
          </cell>
          <cell r="D88">
            <v>353</v>
          </cell>
          <cell r="E88" t="str">
            <v>Homo sapiens</v>
          </cell>
          <cell r="F88" t="str">
            <v>Campylobacter jejuni</v>
          </cell>
          <cell r="G88" t="str">
            <v>exact</v>
          </cell>
          <cell r="H88" t="str">
            <v>CAMP0331(cmeB)_41</v>
          </cell>
          <cell r="I88" t="str">
            <v>CAMP0331(cmeB)</v>
          </cell>
          <cell r="J88">
            <v>41</v>
          </cell>
        </row>
        <row r="89">
          <cell r="A89" t="str">
            <v>SC0132</v>
          </cell>
          <cell r="B89" t="str">
            <v>SRR17899223</v>
          </cell>
          <cell r="C89">
            <v>190</v>
          </cell>
          <cell r="D89">
            <v>21</v>
          </cell>
          <cell r="E89" t="str">
            <v>Ovis aries</v>
          </cell>
          <cell r="F89" t="str">
            <v>Campylobacter jejuni</v>
          </cell>
          <cell r="G89" t="str">
            <v>exact</v>
          </cell>
          <cell r="H89" t="str">
            <v>CAMP0331(cmeB)_604</v>
          </cell>
          <cell r="I89" t="str">
            <v>CAMP0331(cmeB)</v>
          </cell>
          <cell r="J89">
            <v>604</v>
          </cell>
        </row>
        <row r="90">
          <cell r="A90" t="str">
            <v>SC0131</v>
          </cell>
          <cell r="B90" t="str">
            <v>SRR17899224</v>
          </cell>
          <cell r="C90">
            <v>422</v>
          </cell>
          <cell r="D90">
            <v>21</v>
          </cell>
          <cell r="E90" t="str">
            <v>Ovis aries</v>
          </cell>
          <cell r="F90" t="str">
            <v>Campylobacter jejuni</v>
          </cell>
          <cell r="G90" t="str">
            <v>exact</v>
          </cell>
          <cell r="H90" t="str">
            <v>CAMP0331(cmeB)_604</v>
          </cell>
          <cell r="I90" t="str">
            <v>CAMP0331(cmeB)</v>
          </cell>
          <cell r="J90">
            <v>604</v>
          </cell>
        </row>
        <row r="91">
          <cell r="A91" t="str">
            <v>SC0130</v>
          </cell>
          <cell r="B91" t="str">
            <v>SRR17899225</v>
          </cell>
          <cell r="C91">
            <v>190</v>
          </cell>
          <cell r="D91">
            <v>21</v>
          </cell>
          <cell r="E91" t="str">
            <v>Ovis aries</v>
          </cell>
          <cell r="F91" t="str">
            <v>Campylobacter jejuni</v>
          </cell>
          <cell r="G91" t="str">
            <v>exact</v>
          </cell>
          <cell r="H91" t="str">
            <v>CAMP0331(cmeB)_604</v>
          </cell>
          <cell r="I91" t="str">
            <v>CAMP0331(cmeB)</v>
          </cell>
          <cell r="J91">
            <v>604</v>
          </cell>
        </row>
        <row r="92">
          <cell r="A92" t="str">
            <v>SC0129</v>
          </cell>
          <cell r="B92" t="str">
            <v>SRR17899226</v>
          </cell>
          <cell r="C92">
            <v>61</v>
          </cell>
          <cell r="D92">
            <v>61</v>
          </cell>
          <cell r="E92" t="str">
            <v>Ovis aries</v>
          </cell>
          <cell r="F92" t="str">
            <v>Campylobacter jejuni</v>
          </cell>
          <cell r="G92" t="str">
            <v>exact</v>
          </cell>
          <cell r="H92" t="str">
            <v>CAMP0331(cmeB)_14</v>
          </cell>
          <cell r="I92" t="str">
            <v>CAMP0331(cmeB)</v>
          </cell>
          <cell r="J92">
            <v>14</v>
          </cell>
        </row>
        <row r="93">
          <cell r="A93" t="str">
            <v>SC0128</v>
          </cell>
          <cell r="B93" t="str">
            <v>SRR17899227</v>
          </cell>
          <cell r="C93">
            <v>422</v>
          </cell>
          <cell r="D93">
            <v>21</v>
          </cell>
          <cell r="E93" t="str">
            <v>Ovis aries</v>
          </cell>
          <cell r="F93" t="str">
            <v>Campylobacter jejuni</v>
          </cell>
          <cell r="G93" t="str">
            <v>exact</v>
          </cell>
          <cell r="H93" t="str">
            <v>CAMP0331(cmeB)_604</v>
          </cell>
          <cell r="I93" t="str">
            <v>CAMP0331(cmeB)</v>
          </cell>
          <cell r="J93">
            <v>604</v>
          </cell>
        </row>
        <row r="94">
          <cell r="A94" t="str">
            <v>SC0126</v>
          </cell>
          <cell r="B94" t="str">
            <v>SRR17899228</v>
          </cell>
          <cell r="C94">
            <v>42</v>
          </cell>
          <cell r="D94">
            <v>42</v>
          </cell>
          <cell r="E94" t="str">
            <v>Ovis aries</v>
          </cell>
          <cell r="F94" t="str">
            <v>Campylobacter jejuni</v>
          </cell>
          <cell r="G94" t="str">
            <v>exact</v>
          </cell>
          <cell r="H94" t="str">
            <v>CAMP0331(cmeB)_22</v>
          </cell>
          <cell r="I94" t="str">
            <v>CAMP0331(cmeB)</v>
          </cell>
          <cell r="J94">
            <v>22</v>
          </cell>
        </row>
        <row r="95">
          <cell r="A95" t="str">
            <v>SC0125</v>
          </cell>
          <cell r="B95" t="str">
            <v>SRR17899229</v>
          </cell>
          <cell r="C95">
            <v>190</v>
          </cell>
          <cell r="D95">
            <v>21</v>
          </cell>
          <cell r="E95" t="str">
            <v>Ovis aries</v>
          </cell>
          <cell r="F95" t="str">
            <v>Campylobacter jejuni</v>
          </cell>
          <cell r="G95" t="str">
            <v>exact</v>
          </cell>
          <cell r="H95" t="str">
            <v>CAMP0331(cmeB)_604</v>
          </cell>
          <cell r="I95" t="str">
            <v>CAMP0331(cmeB)</v>
          </cell>
          <cell r="J95">
            <v>604</v>
          </cell>
        </row>
        <row r="96">
          <cell r="A96" t="str">
            <v>SC0124</v>
          </cell>
          <cell r="B96" t="str">
            <v>SRR17899230</v>
          </cell>
          <cell r="C96">
            <v>61</v>
          </cell>
          <cell r="D96">
            <v>61</v>
          </cell>
          <cell r="E96" t="str">
            <v>Ovis aries</v>
          </cell>
          <cell r="F96" t="str">
            <v>Campylobacter jejuni</v>
          </cell>
          <cell r="G96" t="str">
            <v>exact</v>
          </cell>
          <cell r="H96" t="str">
            <v>CAMP0331(cmeB)_14</v>
          </cell>
          <cell r="I96" t="str">
            <v>CAMP0331(cmeB)</v>
          </cell>
          <cell r="J96">
            <v>14</v>
          </cell>
        </row>
        <row r="97">
          <cell r="A97" t="str">
            <v>SC0123</v>
          </cell>
          <cell r="B97" t="str">
            <v>SRR17899231</v>
          </cell>
          <cell r="C97">
            <v>61</v>
          </cell>
          <cell r="D97">
            <v>61</v>
          </cell>
          <cell r="E97" t="str">
            <v>Ovis aries</v>
          </cell>
          <cell r="F97" t="str">
            <v>Campylobacter jejuni</v>
          </cell>
          <cell r="G97" t="str">
            <v>exact</v>
          </cell>
          <cell r="H97" t="str">
            <v>CAMP0331(cmeB)_14</v>
          </cell>
          <cell r="I97" t="str">
            <v>CAMP0331(cmeB)</v>
          </cell>
          <cell r="J97">
            <v>14</v>
          </cell>
        </row>
        <row r="98">
          <cell r="A98" t="str">
            <v>SC0122</v>
          </cell>
          <cell r="B98" t="str">
            <v>SRR17899232</v>
          </cell>
          <cell r="C98">
            <v>61</v>
          </cell>
          <cell r="D98">
            <v>61</v>
          </cell>
          <cell r="E98" t="str">
            <v>Ovis aries</v>
          </cell>
          <cell r="F98" t="str">
            <v>Campylobacter jejuni</v>
          </cell>
          <cell r="G98" t="str">
            <v>exact</v>
          </cell>
          <cell r="H98" t="str">
            <v>CAMP0331(cmeB)_14</v>
          </cell>
          <cell r="I98" t="str">
            <v>CAMP0331(cmeB)</v>
          </cell>
          <cell r="J98">
            <v>14</v>
          </cell>
        </row>
        <row r="99">
          <cell r="A99" t="str">
            <v>SC0103</v>
          </cell>
          <cell r="B99" t="str">
            <v>SRR17899233</v>
          </cell>
          <cell r="C99">
            <v>61</v>
          </cell>
          <cell r="D99">
            <v>61</v>
          </cell>
          <cell r="E99" t="str">
            <v>Homo sapiens</v>
          </cell>
          <cell r="F99" t="str">
            <v>Campylobacter jejuni</v>
          </cell>
          <cell r="G99" t="str">
            <v>exact</v>
          </cell>
          <cell r="H99" t="str">
            <v>CAMP0331(cmeB)_14</v>
          </cell>
          <cell r="I99" t="str">
            <v>CAMP0331(cmeB)</v>
          </cell>
          <cell r="J99">
            <v>14</v>
          </cell>
        </row>
        <row r="100">
          <cell r="A100" t="str">
            <v>SC0121</v>
          </cell>
          <cell r="B100" t="str">
            <v>SRR17899234</v>
          </cell>
          <cell r="C100">
            <v>61</v>
          </cell>
          <cell r="D100">
            <v>61</v>
          </cell>
          <cell r="E100" t="str">
            <v>Ovis aries</v>
          </cell>
          <cell r="F100" t="str">
            <v>Campylobacter jejuni</v>
          </cell>
          <cell r="G100" t="str">
            <v>exact</v>
          </cell>
          <cell r="H100" t="str">
            <v>CAMP0331(cmeB)_14</v>
          </cell>
          <cell r="I100" t="str">
            <v>CAMP0331(cmeB)</v>
          </cell>
          <cell r="J100">
            <v>14</v>
          </cell>
        </row>
        <row r="101">
          <cell r="A101" t="str">
            <v>SC0120</v>
          </cell>
          <cell r="B101" t="str">
            <v>SRR17899235</v>
          </cell>
          <cell r="C101">
            <v>257</v>
          </cell>
          <cell r="D101">
            <v>257</v>
          </cell>
          <cell r="E101" t="str">
            <v>Ovis aries</v>
          </cell>
          <cell r="F101" t="str">
            <v>Campylobacter jejuni</v>
          </cell>
          <cell r="G101" t="str">
            <v>exact</v>
          </cell>
          <cell r="H101" t="str">
            <v>CAMP0331(cmeB)_51</v>
          </cell>
          <cell r="I101" t="str">
            <v>CAMP0331(cmeB)</v>
          </cell>
          <cell r="J101">
            <v>51</v>
          </cell>
        </row>
        <row r="102">
          <cell r="A102" t="str">
            <v>SC0119</v>
          </cell>
          <cell r="B102" t="str">
            <v>SRR17899236</v>
          </cell>
          <cell r="C102">
            <v>474</v>
          </cell>
          <cell r="D102">
            <v>48</v>
          </cell>
          <cell r="E102" t="str">
            <v>Bos taurus taurus</v>
          </cell>
          <cell r="F102" t="str">
            <v>Campylobacter jejuni</v>
          </cell>
          <cell r="G102" t="str">
            <v>exact</v>
          </cell>
          <cell r="H102" t="str">
            <v>CAMP0331(cmeB)_1</v>
          </cell>
          <cell r="I102" t="str">
            <v>CAMP0331(cmeB)</v>
          </cell>
          <cell r="J102">
            <v>1</v>
          </cell>
        </row>
        <row r="103">
          <cell r="A103" t="str">
            <v>SC0118</v>
          </cell>
          <cell r="B103" t="str">
            <v>SRR17899237</v>
          </cell>
          <cell r="C103">
            <v>53</v>
          </cell>
          <cell r="D103">
            <v>21</v>
          </cell>
          <cell r="E103" t="str">
            <v>Bos taurus taurus</v>
          </cell>
          <cell r="F103" t="str">
            <v>Campylobacter jejuni</v>
          </cell>
          <cell r="G103" t="str">
            <v>exact</v>
          </cell>
          <cell r="H103" t="str">
            <v>CAMP0331(cmeB)_604</v>
          </cell>
          <cell r="I103" t="str">
            <v>CAMP0331(cmeB)</v>
          </cell>
          <cell r="J103">
            <v>604</v>
          </cell>
        </row>
        <row r="104">
          <cell r="A104" t="str">
            <v>SC0117</v>
          </cell>
          <cell r="B104" t="str">
            <v>SRR17899238</v>
          </cell>
          <cell r="C104">
            <v>48</v>
          </cell>
          <cell r="D104">
            <v>48</v>
          </cell>
          <cell r="E104" t="str">
            <v>Gallus gallus</v>
          </cell>
          <cell r="F104" t="str">
            <v>Campylobacter jejuni</v>
          </cell>
          <cell r="G104" t="str">
            <v>exact</v>
          </cell>
          <cell r="H104" t="str">
            <v>CAMP0331(cmeB)_94</v>
          </cell>
          <cell r="I104" t="str">
            <v>CAMP0331(cmeB)</v>
          </cell>
          <cell r="J104">
            <v>94</v>
          </cell>
        </row>
        <row r="105">
          <cell r="A105" t="str">
            <v>SC0116</v>
          </cell>
          <cell r="B105" t="str">
            <v>SRR17899239</v>
          </cell>
          <cell r="C105">
            <v>45</v>
          </cell>
          <cell r="D105">
            <v>45</v>
          </cell>
          <cell r="E105" t="str">
            <v>Gallus gallus</v>
          </cell>
          <cell r="F105" t="str">
            <v>Campylobacter jejuni</v>
          </cell>
          <cell r="G105" t="str">
            <v>exact</v>
          </cell>
          <cell r="H105" t="str">
            <v>CAMP0331(cmeB)_260</v>
          </cell>
          <cell r="I105" t="str">
            <v>CAMP0331(cmeB)</v>
          </cell>
          <cell r="J105">
            <v>260</v>
          </cell>
        </row>
        <row r="106">
          <cell r="A106" t="str">
            <v>SC0115</v>
          </cell>
          <cell r="B106" t="str">
            <v>SRR17899240</v>
          </cell>
          <cell r="C106">
            <v>474</v>
          </cell>
          <cell r="D106">
            <v>48</v>
          </cell>
          <cell r="E106" t="str">
            <v>Gallus gallus</v>
          </cell>
          <cell r="F106" t="str">
            <v>Campylobacter jejuni</v>
          </cell>
          <cell r="G106" t="str">
            <v>exact</v>
          </cell>
          <cell r="H106" t="str">
            <v>CAMP0331(cmeB)_1</v>
          </cell>
          <cell r="I106" t="str">
            <v>CAMP0331(cmeB)</v>
          </cell>
          <cell r="J106">
            <v>1</v>
          </cell>
        </row>
        <row r="107">
          <cell r="A107" t="str">
            <v>SC0114</v>
          </cell>
          <cell r="B107" t="str">
            <v>SRR17899241</v>
          </cell>
          <cell r="C107">
            <v>474</v>
          </cell>
          <cell r="D107">
            <v>48</v>
          </cell>
          <cell r="E107" t="str">
            <v>Gallus gallus</v>
          </cell>
          <cell r="F107" t="str">
            <v>Campylobacter jejuni</v>
          </cell>
          <cell r="G107" t="str">
            <v>exact</v>
          </cell>
          <cell r="H107" t="str">
            <v>CAMP0331(cmeB)_1</v>
          </cell>
          <cell r="I107" t="str">
            <v>CAMP0331(cmeB)</v>
          </cell>
          <cell r="J107">
            <v>1</v>
          </cell>
        </row>
        <row r="108">
          <cell r="A108" t="str">
            <v>SC0108</v>
          </cell>
          <cell r="B108" t="str">
            <v>SRR17899242</v>
          </cell>
          <cell r="C108">
            <v>825</v>
          </cell>
          <cell r="D108">
            <v>828</v>
          </cell>
          <cell r="E108" t="str">
            <v>Homo sapiens</v>
          </cell>
          <cell r="F108" t="str">
            <v>Campylobacter coli</v>
          </cell>
          <cell r="G108" t="str">
            <v>exact</v>
          </cell>
          <cell r="H108" t="str">
            <v>CAMP0331(cmeB)_253</v>
          </cell>
          <cell r="I108" t="str">
            <v>CAMP0331(cmeB)</v>
          </cell>
          <cell r="J108">
            <v>253</v>
          </cell>
        </row>
        <row r="109">
          <cell r="A109" t="str">
            <v>SC0172</v>
          </cell>
          <cell r="B109" t="str">
            <v>SRR17899243</v>
          </cell>
          <cell r="C109">
            <v>486</v>
          </cell>
          <cell r="D109">
            <v>21</v>
          </cell>
          <cell r="E109" t="str">
            <v>Homo sapiens</v>
          </cell>
          <cell r="F109" t="str">
            <v>Campylobacter jejuni</v>
          </cell>
          <cell r="G109" t="str">
            <v>exact</v>
          </cell>
          <cell r="H109" t="str">
            <v>CAMP0331(cmeB)_1</v>
          </cell>
          <cell r="I109" t="str">
            <v>CAMP0331(cmeB)</v>
          </cell>
          <cell r="J109">
            <v>1</v>
          </cell>
        </row>
        <row r="110">
          <cell r="A110" t="str">
            <v>SC0171</v>
          </cell>
          <cell r="B110" t="str">
            <v>SRR17899244</v>
          </cell>
          <cell r="C110">
            <v>53</v>
          </cell>
          <cell r="D110">
            <v>21</v>
          </cell>
          <cell r="E110" t="str">
            <v>Homo sapiens</v>
          </cell>
          <cell r="F110" t="str">
            <v>Campylobacter jejuni</v>
          </cell>
          <cell r="G110" t="str">
            <v>exact</v>
          </cell>
          <cell r="H110" t="str">
            <v>CAMP0331(cmeB)_604</v>
          </cell>
          <cell r="I110" t="str">
            <v>CAMP0331(cmeB)</v>
          </cell>
          <cell r="J110">
            <v>604</v>
          </cell>
        </row>
        <row r="111">
          <cell r="A111" t="str">
            <v>SC0170</v>
          </cell>
          <cell r="B111" t="str">
            <v>SRR17899245</v>
          </cell>
          <cell r="C111">
            <v>6964</v>
          </cell>
          <cell r="D111">
            <v>354</v>
          </cell>
          <cell r="E111" t="str">
            <v>Homo sapiens</v>
          </cell>
          <cell r="F111" t="str">
            <v>Campylobacter jejuni</v>
          </cell>
          <cell r="G111" t="str">
            <v>exact</v>
          </cell>
          <cell r="H111" t="str">
            <v>CAMP0331(cmeB)_1451</v>
          </cell>
          <cell r="I111" t="str">
            <v>CAMP0331(cmeB)</v>
          </cell>
          <cell r="J111">
            <v>1451</v>
          </cell>
        </row>
        <row r="112">
          <cell r="A112" t="str">
            <v>SC0169</v>
          </cell>
          <cell r="B112" t="str">
            <v>SRR17899246</v>
          </cell>
          <cell r="C112">
            <v>436</v>
          </cell>
          <cell r="D112">
            <v>0</v>
          </cell>
          <cell r="E112" t="str">
            <v>Homo sapiens</v>
          </cell>
          <cell r="F112" t="str">
            <v>Campylobacter jejuni</v>
          </cell>
          <cell r="G112" t="str">
            <v>exact</v>
          </cell>
          <cell r="H112" t="str">
            <v>CAMP0331(cmeB)_252</v>
          </cell>
          <cell r="I112" t="str">
            <v>CAMP0331(cmeB)</v>
          </cell>
          <cell r="J112">
            <v>252</v>
          </cell>
        </row>
        <row r="113">
          <cell r="A113" t="str">
            <v>SC0168</v>
          </cell>
          <cell r="B113" t="str">
            <v>SRR17899247</v>
          </cell>
          <cell r="C113">
            <v>520</v>
          </cell>
          <cell r="D113">
            <v>21</v>
          </cell>
          <cell r="E113" t="str">
            <v>Homo sapiens</v>
          </cell>
          <cell r="F113" t="str">
            <v>Campylobacter jejuni</v>
          </cell>
          <cell r="G113" t="str">
            <v>exact</v>
          </cell>
          <cell r="H113" t="str">
            <v>CAMP0331(cmeB)_604</v>
          </cell>
          <cell r="I113" t="str">
            <v>CAMP0331(cmeB)</v>
          </cell>
          <cell r="J113">
            <v>604</v>
          </cell>
        </row>
        <row r="114">
          <cell r="A114" t="str">
            <v>SC0167</v>
          </cell>
          <cell r="B114" t="str">
            <v>SRR17899248</v>
          </cell>
          <cell r="C114">
            <v>50</v>
          </cell>
          <cell r="D114">
            <v>21</v>
          </cell>
          <cell r="E114" t="str">
            <v>Homo sapiens</v>
          </cell>
          <cell r="F114" t="str">
            <v>Campylobacter jejuni</v>
          </cell>
          <cell r="G114" t="str">
            <v>exact</v>
          </cell>
          <cell r="H114" t="str">
            <v>CAMP0331(cmeB)_604</v>
          </cell>
          <cell r="I114" t="str">
            <v>CAMP0331(cmeB)</v>
          </cell>
          <cell r="J114">
            <v>604</v>
          </cell>
        </row>
        <row r="115">
          <cell r="A115" t="str">
            <v>SC0166</v>
          </cell>
          <cell r="B115" t="str">
            <v>SRR17899249</v>
          </cell>
          <cell r="C115">
            <v>474</v>
          </cell>
          <cell r="D115">
            <v>48</v>
          </cell>
          <cell r="E115" t="str">
            <v>Homo sapiens</v>
          </cell>
          <cell r="F115" t="str">
            <v>Campylobacter jejuni</v>
          </cell>
          <cell r="G115" t="str">
            <v>exact</v>
          </cell>
          <cell r="H115" t="str">
            <v>CAMP0331(cmeB)_1</v>
          </cell>
          <cell r="I115" t="str">
            <v>CAMP0331(cmeB)</v>
          </cell>
          <cell r="J115">
            <v>1</v>
          </cell>
        </row>
        <row r="116">
          <cell r="A116" t="str">
            <v>SC0165</v>
          </cell>
          <cell r="B116" t="str">
            <v>SRR17899250</v>
          </cell>
          <cell r="C116">
            <v>190</v>
          </cell>
          <cell r="D116">
            <v>21</v>
          </cell>
          <cell r="E116" t="str">
            <v>Homo sapiens</v>
          </cell>
          <cell r="F116" t="str">
            <v>Campylobacter jejuni</v>
          </cell>
          <cell r="G116" t="str">
            <v>exact</v>
          </cell>
          <cell r="H116" t="str">
            <v>CAMP0331(cmeB)_604</v>
          </cell>
          <cell r="I116" t="str">
            <v>CAMP0331(cmeB)</v>
          </cell>
          <cell r="J116">
            <v>604</v>
          </cell>
        </row>
        <row r="117">
          <cell r="A117" t="str">
            <v>SC0164</v>
          </cell>
          <cell r="B117" t="str">
            <v>SRR17899251</v>
          </cell>
          <cell r="C117">
            <v>45</v>
          </cell>
          <cell r="D117">
            <v>45</v>
          </cell>
          <cell r="E117" t="str">
            <v>Gallus gallus</v>
          </cell>
          <cell r="F117" t="str">
            <v>Campylobacter jejuni</v>
          </cell>
          <cell r="G117" t="str">
            <v>exact</v>
          </cell>
          <cell r="H117" t="str">
            <v>CAMP0331(cmeB)_27</v>
          </cell>
          <cell r="I117" t="str">
            <v>CAMP0331(cmeB)</v>
          </cell>
          <cell r="J117">
            <v>27</v>
          </cell>
        </row>
        <row r="118">
          <cell r="A118" t="str">
            <v>SC0163</v>
          </cell>
          <cell r="B118" t="str">
            <v>SRR17899252</v>
          </cell>
          <cell r="C118">
            <v>6964</v>
          </cell>
          <cell r="D118">
            <v>354</v>
          </cell>
          <cell r="E118" t="str">
            <v>Gallus gallus</v>
          </cell>
          <cell r="F118" t="str">
            <v>Campylobacter jejuni</v>
          </cell>
          <cell r="G118" t="str">
            <v>exact</v>
          </cell>
          <cell r="H118" t="str">
            <v>CAMP0331(cmeB)_1451</v>
          </cell>
          <cell r="I118" t="str">
            <v>CAMP0331(cmeB)</v>
          </cell>
          <cell r="J118">
            <v>1451</v>
          </cell>
        </row>
        <row r="119">
          <cell r="A119" t="str">
            <v>SC0107</v>
          </cell>
          <cell r="B119" t="str">
            <v>SRR17899253</v>
          </cell>
          <cell r="C119">
            <v>3610</v>
          </cell>
          <cell r="D119">
            <v>21</v>
          </cell>
          <cell r="E119" t="str">
            <v>Homo sapiens</v>
          </cell>
          <cell r="F119" t="str">
            <v>Campylobacter jejuni</v>
          </cell>
          <cell r="G119" t="str">
            <v>exact</v>
          </cell>
          <cell r="H119" t="str">
            <v>CAMP0331(cmeB)_604</v>
          </cell>
          <cell r="I119" t="str">
            <v>CAMP0331(cmeB)</v>
          </cell>
          <cell r="J119">
            <v>604</v>
          </cell>
        </row>
        <row r="120">
          <cell r="A120" t="str">
            <v>SC0162</v>
          </cell>
          <cell r="B120" t="str">
            <v>SRR17899254</v>
          </cell>
          <cell r="C120">
            <v>2345</v>
          </cell>
          <cell r="D120">
            <v>206</v>
          </cell>
          <cell r="E120" t="str">
            <v>Gallus gallus</v>
          </cell>
          <cell r="F120" t="str">
            <v>Campylobacter jejuni</v>
          </cell>
          <cell r="G120" t="str">
            <v>exact</v>
          </cell>
          <cell r="H120" t="str">
            <v>CAMP0331(cmeB)_158</v>
          </cell>
          <cell r="I120" t="str">
            <v>CAMP0331(cmeB)</v>
          </cell>
          <cell r="J120">
            <v>158</v>
          </cell>
        </row>
        <row r="121">
          <cell r="A121" t="str">
            <v>SC0161</v>
          </cell>
          <cell r="B121" t="str">
            <v>SRR17899255</v>
          </cell>
          <cell r="C121">
            <v>6964</v>
          </cell>
          <cell r="D121">
            <v>354</v>
          </cell>
          <cell r="E121" t="str">
            <v>Gallus gallus</v>
          </cell>
          <cell r="F121" t="str">
            <v>Campylobacter jejuni</v>
          </cell>
          <cell r="G121" t="str">
            <v>exact</v>
          </cell>
          <cell r="H121" t="str">
            <v>CAMP0331(cmeB)_1451</v>
          </cell>
          <cell r="I121" t="str">
            <v>CAMP0331(cmeB)</v>
          </cell>
          <cell r="J121">
            <v>1451</v>
          </cell>
        </row>
        <row r="122">
          <cell r="A122" t="str">
            <v>SC0160</v>
          </cell>
          <cell r="B122" t="str">
            <v>SRR17899256</v>
          </cell>
          <cell r="C122">
            <v>6964</v>
          </cell>
          <cell r="D122">
            <v>354</v>
          </cell>
          <cell r="E122" t="str">
            <v>Homo sapiens</v>
          </cell>
          <cell r="F122" t="str">
            <v>Campylobacter jejuni</v>
          </cell>
          <cell r="G122" t="str">
            <v>exact</v>
          </cell>
          <cell r="H122" t="str">
            <v>CAMP0331(cmeB)_1451</v>
          </cell>
          <cell r="I122" t="str">
            <v>CAMP0331(cmeB)</v>
          </cell>
          <cell r="J122">
            <v>1451</v>
          </cell>
        </row>
        <row r="123">
          <cell r="A123" t="str">
            <v>SC0159</v>
          </cell>
          <cell r="B123" t="str">
            <v>SRR17899257</v>
          </cell>
          <cell r="C123">
            <v>48</v>
          </cell>
          <cell r="D123">
            <v>48</v>
          </cell>
          <cell r="E123" t="str">
            <v>Homo sapiens</v>
          </cell>
          <cell r="F123" t="str">
            <v>Campylobacter jejuni</v>
          </cell>
          <cell r="G123" t="str">
            <v>exact</v>
          </cell>
          <cell r="H123" t="str">
            <v>CAMP0331(cmeB)_94</v>
          </cell>
          <cell r="I123" t="str">
            <v>CAMP0331(cmeB)</v>
          </cell>
          <cell r="J123">
            <v>94</v>
          </cell>
        </row>
        <row r="124">
          <cell r="A124" t="str">
            <v>SC0158</v>
          </cell>
          <cell r="B124" t="str">
            <v>SRR17899258</v>
          </cell>
          <cell r="C124">
            <v>42</v>
          </cell>
          <cell r="D124">
            <v>42</v>
          </cell>
          <cell r="E124" t="str">
            <v>Homo sapiens</v>
          </cell>
          <cell r="F124" t="str">
            <v>Campylobacter jejuni</v>
          </cell>
          <cell r="G124" t="str">
            <v>exact</v>
          </cell>
          <cell r="H124" t="str">
            <v>CAMP0331(cmeB)_22</v>
          </cell>
          <cell r="I124" t="str">
            <v>CAMP0331(cmeB)</v>
          </cell>
          <cell r="J124">
            <v>22</v>
          </cell>
        </row>
        <row r="125">
          <cell r="A125" t="str">
            <v>SC0157</v>
          </cell>
          <cell r="B125" t="str">
            <v>SRR17899259</v>
          </cell>
          <cell r="C125">
            <v>227</v>
          </cell>
          <cell r="D125">
            <v>206</v>
          </cell>
          <cell r="E125" t="str">
            <v>Homo sapiens</v>
          </cell>
          <cell r="F125" t="str">
            <v>Campylobacter jejuni</v>
          </cell>
          <cell r="G125" t="str">
            <v>exact</v>
          </cell>
          <cell r="H125" t="str">
            <v>CAMP0331(cmeB)_1</v>
          </cell>
          <cell r="I125" t="str">
            <v>CAMP0331(cmeB)</v>
          </cell>
          <cell r="J125">
            <v>1</v>
          </cell>
        </row>
        <row r="126">
          <cell r="A126" t="str">
            <v>SC0156</v>
          </cell>
          <cell r="B126" t="str">
            <v>SRR17899260</v>
          </cell>
          <cell r="C126">
            <v>177</v>
          </cell>
          <cell r="D126">
            <v>177</v>
          </cell>
          <cell r="E126" t="str">
            <v>Homo sapiens</v>
          </cell>
          <cell r="F126" t="str">
            <v>Campylobacter jejuni</v>
          </cell>
          <cell r="G126" t="str">
            <v>exact</v>
          </cell>
          <cell r="H126" t="str">
            <v>CAMP0331(cmeB)_60</v>
          </cell>
          <cell r="I126" t="str">
            <v>CAMP0331(cmeB)</v>
          </cell>
          <cell r="J126">
            <v>60</v>
          </cell>
        </row>
        <row r="127">
          <cell r="A127" t="str">
            <v>SC0155</v>
          </cell>
          <cell r="B127" t="str">
            <v>SRR17899261</v>
          </cell>
          <cell r="C127">
            <v>474</v>
          </cell>
          <cell r="D127">
            <v>48</v>
          </cell>
          <cell r="E127" t="str">
            <v>Homo sapiens</v>
          </cell>
          <cell r="F127" t="str">
            <v>Campylobacter jejuni</v>
          </cell>
          <cell r="G127" t="str">
            <v>exact</v>
          </cell>
          <cell r="H127" t="str">
            <v>CAMP0331(cmeB)_1</v>
          </cell>
          <cell r="I127" t="str">
            <v>CAMP0331(cmeB)</v>
          </cell>
          <cell r="J127">
            <v>1</v>
          </cell>
        </row>
        <row r="128">
          <cell r="A128" t="str">
            <v>SC0154</v>
          </cell>
          <cell r="B128" t="str">
            <v>SRR17899262</v>
          </cell>
          <cell r="C128">
            <v>3538</v>
          </cell>
          <cell r="D128">
            <v>0</v>
          </cell>
          <cell r="E128" t="str">
            <v>Homo sapiens</v>
          </cell>
          <cell r="F128" t="str">
            <v>Campylobacter jejuni</v>
          </cell>
          <cell r="G128" t="str">
            <v>exact</v>
          </cell>
          <cell r="H128" t="str">
            <v>CAMP0331(cmeB)_14</v>
          </cell>
          <cell r="I128" t="str">
            <v>CAMP0331(cmeB)</v>
          </cell>
          <cell r="J128">
            <v>14</v>
          </cell>
        </row>
        <row r="129">
          <cell r="A129" t="str">
            <v>SC0153</v>
          </cell>
          <cell r="B129" t="str">
            <v>SRR17899263</v>
          </cell>
          <cell r="C129">
            <v>3538</v>
          </cell>
          <cell r="D129">
            <v>0</v>
          </cell>
          <cell r="E129" t="str">
            <v>Homo sapiens</v>
          </cell>
          <cell r="F129" t="str">
            <v>Campylobacter jejuni</v>
          </cell>
          <cell r="G129" t="str">
            <v>exact</v>
          </cell>
          <cell r="H129" t="str">
            <v>CAMP0331(cmeB)_14</v>
          </cell>
          <cell r="I129" t="str">
            <v>CAMP0331(cmeB)</v>
          </cell>
          <cell r="J129">
            <v>14</v>
          </cell>
        </row>
        <row r="130">
          <cell r="A130" t="str">
            <v>SC0106</v>
          </cell>
          <cell r="B130" t="str">
            <v>SRR17899264</v>
          </cell>
          <cell r="C130">
            <v>9390</v>
          </cell>
          <cell r="D130">
            <v>353</v>
          </cell>
          <cell r="E130" t="str">
            <v>Homo sapiens</v>
          </cell>
          <cell r="F130" t="str">
            <v>Campylobacter jejuni</v>
          </cell>
          <cell r="G130" t="str">
            <v>exact</v>
          </cell>
          <cell r="H130" t="str">
            <v>CAMP0331(cmeB)_215</v>
          </cell>
          <cell r="I130" t="str">
            <v>CAMP0331(cmeB)</v>
          </cell>
          <cell r="J130">
            <v>215</v>
          </cell>
        </row>
        <row r="131">
          <cell r="A131" t="str">
            <v>SC0152</v>
          </cell>
          <cell r="B131" t="str">
            <v>SRR17899265</v>
          </cell>
          <cell r="C131">
            <v>61</v>
          </cell>
          <cell r="D131">
            <v>61</v>
          </cell>
          <cell r="E131" t="str">
            <v>Homo sapiens</v>
          </cell>
          <cell r="F131" t="str">
            <v>Campylobacter jejuni</v>
          </cell>
          <cell r="G131" t="str">
            <v>exact</v>
          </cell>
          <cell r="H131" t="str">
            <v>CAMP0331(cmeB)_14</v>
          </cell>
          <cell r="I131" t="str">
            <v>CAMP0331(cmeB)</v>
          </cell>
          <cell r="J131">
            <v>14</v>
          </cell>
        </row>
        <row r="132">
          <cell r="A132" t="str">
            <v>SC0151</v>
          </cell>
          <cell r="B132" t="str">
            <v>SRR17899266</v>
          </cell>
          <cell r="C132">
            <v>6964</v>
          </cell>
          <cell r="D132">
            <v>354</v>
          </cell>
          <cell r="E132" t="str">
            <v>Homo sapiens</v>
          </cell>
          <cell r="F132" t="str">
            <v>Campylobacter jejuni</v>
          </cell>
          <cell r="G132" t="str">
            <v>exact</v>
          </cell>
          <cell r="H132" t="str">
            <v>CAMP0331(cmeB)_1451</v>
          </cell>
          <cell r="I132" t="str">
            <v>CAMP0331(cmeB)</v>
          </cell>
          <cell r="J132">
            <v>1451</v>
          </cell>
        </row>
        <row r="133">
          <cell r="A133" t="str">
            <v>SC0150</v>
          </cell>
          <cell r="B133" t="str">
            <v>SRR17899267</v>
          </cell>
          <cell r="C133">
            <v>422</v>
          </cell>
          <cell r="D133">
            <v>21</v>
          </cell>
          <cell r="E133" t="str">
            <v>Ovis aries</v>
          </cell>
          <cell r="F133" t="str">
            <v>Campylobacter jejuni</v>
          </cell>
          <cell r="G133" t="str">
            <v>exact</v>
          </cell>
          <cell r="H133" t="str">
            <v>CAMP0331(cmeB)_604</v>
          </cell>
          <cell r="I133" t="str">
            <v>CAMP0331(cmeB)</v>
          </cell>
          <cell r="J133">
            <v>604</v>
          </cell>
        </row>
        <row r="134">
          <cell r="A134" t="str">
            <v>SC0149</v>
          </cell>
          <cell r="B134" t="str">
            <v>SRR17899268</v>
          </cell>
          <cell r="C134">
            <v>486</v>
          </cell>
          <cell r="D134">
            <v>21</v>
          </cell>
          <cell r="E134" t="str">
            <v>Homo sapiens</v>
          </cell>
          <cell r="F134" t="str">
            <v>Campylobacter jejuni</v>
          </cell>
          <cell r="G134" t="str">
            <v>exact</v>
          </cell>
          <cell r="H134" t="str">
            <v>CAMP0331(cmeB)_1</v>
          </cell>
          <cell r="I134" t="str">
            <v>CAMP0331(cmeB)</v>
          </cell>
          <cell r="J134">
            <v>1</v>
          </cell>
        </row>
        <row r="135">
          <cell r="A135" t="str">
            <v>SC0148</v>
          </cell>
          <cell r="B135" t="str">
            <v>SRR17899269</v>
          </cell>
          <cell r="C135">
            <v>825</v>
          </cell>
          <cell r="D135">
            <v>828</v>
          </cell>
          <cell r="E135" t="str">
            <v>Homo sapiens</v>
          </cell>
          <cell r="F135" t="str">
            <v>Campylobacter coli</v>
          </cell>
          <cell r="G135" t="str">
            <v>exact</v>
          </cell>
          <cell r="H135" t="str">
            <v>CAMP0331(cmeB)_253</v>
          </cell>
          <cell r="I135" t="str">
            <v>CAMP0331(cmeB)</v>
          </cell>
          <cell r="J135">
            <v>253</v>
          </cell>
        </row>
        <row r="136">
          <cell r="A136" t="str">
            <v>SC0147</v>
          </cell>
          <cell r="B136" t="str">
            <v>SRR17899270</v>
          </cell>
          <cell r="C136">
            <v>257</v>
          </cell>
          <cell r="D136">
            <v>257</v>
          </cell>
          <cell r="E136" t="str">
            <v>Homo sapiens</v>
          </cell>
          <cell r="F136" t="str">
            <v>Campylobacter jejuni</v>
          </cell>
          <cell r="G136" t="str">
            <v>exact</v>
          </cell>
          <cell r="H136" t="str">
            <v>CAMP0331(cmeB)_3614</v>
          </cell>
          <cell r="I136" t="str">
            <v>CAMP0331(cmeB)</v>
          </cell>
          <cell r="J136">
            <v>3614</v>
          </cell>
        </row>
        <row r="137">
          <cell r="A137" t="str">
            <v>SC0146</v>
          </cell>
          <cell r="B137" t="str">
            <v>SRR17899271</v>
          </cell>
          <cell r="C137">
            <v>2345</v>
          </cell>
          <cell r="D137">
            <v>206</v>
          </cell>
          <cell r="E137" t="str">
            <v>Homo sapiens</v>
          </cell>
          <cell r="F137" t="str">
            <v>Campylobacter jejuni</v>
          </cell>
          <cell r="G137" t="str">
            <v>exact</v>
          </cell>
          <cell r="H137" t="str">
            <v>CAMP0331(cmeB)_158</v>
          </cell>
          <cell r="I137" t="str">
            <v>CAMP0331(cmeB)</v>
          </cell>
          <cell r="J137">
            <v>158</v>
          </cell>
        </row>
        <row r="138">
          <cell r="A138" t="str">
            <v>SC0145</v>
          </cell>
          <cell r="B138" t="str">
            <v>SRR17899272</v>
          </cell>
          <cell r="C138">
            <v>257</v>
          </cell>
          <cell r="D138">
            <v>257</v>
          </cell>
          <cell r="E138" t="str">
            <v>Homo sapiens</v>
          </cell>
          <cell r="F138" t="str">
            <v>Campylobacter jejuni</v>
          </cell>
          <cell r="G138" t="str">
            <v>exact</v>
          </cell>
          <cell r="H138" t="str">
            <v>CAMP0331(cmeB)_3614</v>
          </cell>
          <cell r="I138" t="str">
            <v>CAMP0331(cmeB)</v>
          </cell>
          <cell r="J138">
            <v>3614</v>
          </cell>
        </row>
        <row r="139">
          <cell r="A139" t="str">
            <v>SC0144</v>
          </cell>
          <cell r="B139" t="str">
            <v>SRR17899273</v>
          </cell>
          <cell r="C139">
            <v>8065</v>
          </cell>
          <cell r="D139">
            <v>353</v>
          </cell>
          <cell r="E139" t="str">
            <v>Homo sapiens</v>
          </cell>
          <cell r="F139" t="str">
            <v>Campylobacter jejuni</v>
          </cell>
          <cell r="G139" t="str">
            <v>exact</v>
          </cell>
          <cell r="H139" t="str">
            <v>CAMP0331(cmeB)_41</v>
          </cell>
          <cell r="I139" t="str">
            <v>CAMP0331(cmeB)</v>
          </cell>
          <cell r="J139">
            <v>41</v>
          </cell>
        </row>
        <row r="140">
          <cell r="A140" t="str">
            <v>SC0113</v>
          </cell>
          <cell r="B140" t="str">
            <v>SRR17899274</v>
          </cell>
          <cell r="C140">
            <v>474</v>
          </cell>
          <cell r="D140">
            <v>48</v>
          </cell>
          <cell r="E140" t="str">
            <v>Gallus gallus</v>
          </cell>
          <cell r="F140" t="str">
            <v>Campylobacter jejuni</v>
          </cell>
          <cell r="G140" t="str">
            <v>exact</v>
          </cell>
          <cell r="H140" t="str">
            <v>CAMP0331(cmeB)_1</v>
          </cell>
          <cell r="I140" t="str">
            <v>CAMP0331(cmeB)</v>
          </cell>
          <cell r="J140">
            <v>1</v>
          </cell>
        </row>
        <row r="141">
          <cell r="A141" t="str">
            <v>SC0111</v>
          </cell>
          <cell r="B141" t="str">
            <v>SRR17899275</v>
          </cell>
          <cell r="C141">
            <v>825</v>
          </cell>
          <cell r="D141">
            <v>828</v>
          </cell>
          <cell r="E141" t="str">
            <v>Gallus gallus</v>
          </cell>
          <cell r="F141" t="str">
            <v>Campylobacter coli</v>
          </cell>
          <cell r="G141" t="str">
            <v>exact</v>
          </cell>
          <cell r="H141" t="str">
            <v>CAMP0331(cmeB)_253</v>
          </cell>
          <cell r="I141" t="str">
            <v>CAMP0331(cmeB)</v>
          </cell>
          <cell r="J141">
            <v>253</v>
          </cell>
        </row>
        <row r="142">
          <cell r="A142" t="str">
            <v>SC0102</v>
          </cell>
          <cell r="B142" t="str">
            <v>SRR17899276</v>
          </cell>
          <cell r="C142">
            <v>2347</v>
          </cell>
          <cell r="D142">
            <v>0</v>
          </cell>
          <cell r="E142" t="str">
            <v>Homo sapiens</v>
          </cell>
          <cell r="F142" t="str">
            <v>Campylobacter jejuni</v>
          </cell>
          <cell r="G142" t="str">
            <v>exact</v>
          </cell>
          <cell r="H142" t="str">
            <v>CAMP0331(cmeB)_465</v>
          </cell>
          <cell r="I142" t="str">
            <v>CAMP0331(cmeB)</v>
          </cell>
          <cell r="J142">
            <v>465</v>
          </cell>
        </row>
        <row r="143">
          <cell r="A143" t="str">
            <v>SC0101</v>
          </cell>
          <cell r="B143" t="str">
            <v>SRR17899277</v>
          </cell>
          <cell r="C143">
            <v>6964</v>
          </cell>
          <cell r="D143">
            <v>354</v>
          </cell>
          <cell r="E143" t="str">
            <v>Homo sapiens</v>
          </cell>
          <cell r="F143" t="str">
            <v>Campylobacter jejuni</v>
          </cell>
          <cell r="G143" t="str">
            <v>exact</v>
          </cell>
          <cell r="H143" t="str">
            <v>CAMP0331(cmeB)_1451</v>
          </cell>
          <cell r="I143" t="str">
            <v>CAMP0331(cmeB)</v>
          </cell>
          <cell r="J143">
            <v>1451</v>
          </cell>
        </row>
        <row r="144">
          <cell r="A144" t="str">
            <v>SC0301</v>
          </cell>
          <cell r="B144" t="str">
            <v>SRR17900290</v>
          </cell>
          <cell r="C144">
            <v>2345</v>
          </cell>
          <cell r="D144">
            <v>206</v>
          </cell>
          <cell r="E144" t="str">
            <v>Homo sapiens</v>
          </cell>
          <cell r="F144" t="str">
            <v>Campylobacter jejuni</v>
          </cell>
          <cell r="G144" t="str">
            <v>exact</v>
          </cell>
          <cell r="H144" t="str">
            <v>CAMP0331(cmeB)_158</v>
          </cell>
          <cell r="I144" t="str">
            <v>CAMP0331(cmeB)</v>
          </cell>
          <cell r="J144">
            <v>158</v>
          </cell>
        </row>
        <row r="145">
          <cell r="A145" t="str">
            <v>SC0300</v>
          </cell>
          <cell r="B145" t="str">
            <v>SRR17900291</v>
          </cell>
          <cell r="C145">
            <v>61</v>
          </cell>
          <cell r="D145">
            <v>61</v>
          </cell>
          <cell r="E145" t="str">
            <v>Homo sapiens</v>
          </cell>
          <cell r="F145" t="str">
            <v>Campylobacter jejuni</v>
          </cell>
          <cell r="G145" t="str">
            <v>exact</v>
          </cell>
          <cell r="H145" t="str">
            <v>CAMP0331(cmeB)_14</v>
          </cell>
          <cell r="I145" t="str">
            <v>CAMP0331(cmeB)</v>
          </cell>
          <cell r="J145">
            <v>14</v>
          </cell>
        </row>
        <row r="146">
          <cell r="A146" t="str">
            <v>SC0299</v>
          </cell>
          <cell r="B146" t="str">
            <v>SRR17900292</v>
          </cell>
          <cell r="C146">
            <v>61</v>
          </cell>
          <cell r="D146">
            <v>61</v>
          </cell>
          <cell r="E146" t="str">
            <v>Homo sapiens</v>
          </cell>
          <cell r="F146" t="str">
            <v>Campylobacter jejuni</v>
          </cell>
          <cell r="G146" t="str">
            <v>exact</v>
          </cell>
          <cell r="H146" t="str">
            <v>CAMP0331(cmeB)_14</v>
          </cell>
          <cell r="I146" t="str">
            <v>CAMP0331(cmeB)</v>
          </cell>
          <cell r="J146">
            <v>14</v>
          </cell>
        </row>
        <row r="147">
          <cell r="A147" t="str">
            <v>SC0298</v>
          </cell>
          <cell r="B147" t="str">
            <v>SRR17900293</v>
          </cell>
          <cell r="C147">
            <v>190</v>
          </cell>
          <cell r="D147">
            <v>21</v>
          </cell>
          <cell r="E147" t="str">
            <v>Homo sapiens</v>
          </cell>
          <cell r="F147" t="str">
            <v>Campylobacter jejuni</v>
          </cell>
          <cell r="G147" t="str">
            <v>exact</v>
          </cell>
          <cell r="H147" t="str">
            <v>CAMP0331(cmeB)_604</v>
          </cell>
          <cell r="I147" t="str">
            <v>CAMP0331(cmeB)</v>
          </cell>
          <cell r="J147">
            <v>604</v>
          </cell>
        </row>
        <row r="148">
          <cell r="A148" t="str">
            <v>SC0297</v>
          </cell>
          <cell r="B148" t="str">
            <v>SRR17900294</v>
          </cell>
          <cell r="C148">
            <v>6964</v>
          </cell>
          <cell r="D148">
            <v>354</v>
          </cell>
          <cell r="E148" t="str">
            <v>Homo sapiens</v>
          </cell>
          <cell r="F148" t="str">
            <v>Campylobacter jejuni</v>
          </cell>
          <cell r="G148" t="str">
            <v>exact</v>
          </cell>
          <cell r="H148" t="str">
            <v>CAMP0331(cmeB)_1451</v>
          </cell>
          <cell r="I148" t="str">
            <v>CAMP0331(cmeB)</v>
          </cell>
          <cell r="J148">
            <v>1451</v>
          </cell>
        </row>
        <row r="149">
          <cell r="A149" t="str">
            <v>SC0296</v>
          </cell>
          <cell r="B149" t="str">
            <v>SRR17900295</v>
          </cell>
          <cell r="C149">
            <v>48</v>
          </cell>
          <cell r="D149">
            <v>48</v>
          </cell>
          <cell r="E149" t="str">
            <v>Homo sapiens</v>
          </cell>
          <cell r="F149" t="str">
            <v>Campylobacter jejuni</v>
          </cell>
          <cell r="G149" t="str">
            <v>exact</v>
          </cell>
          <cell r="H149" t="str">
            <v>CAMP0331(cmeB)_94</v>
          </cell>
          <cell r="I149" t="str">
            <v>CAMP0331(cmeB)</v>
          </cell>
          <cell r="J149">
            <v>94</v>
          </cell>
        </row>
        <row r="150">
          <cell r="A150" t="str">
            <v>SC0295</v>
          </cell>
          <cell r="B150" t="str">
            <v>SRR17900296</v>
          </cell>
          <cell r="C150">
            <v>486</v>
          </cell>
          <cell r="D150">
            <v>21</v>
          </cell>
          <cell r="E150" t="str">
            <v>Homo sapiens</v>
          </cell>
          <cell r="F150" t="str">
            <v>Campylobacter jejuni</v>
          </cell>
          <cell r="G150" t="str">
            <v>exact</v>
          </cell>
          <cell r="H150" t="str">
            <v>CAMP0331(cmeB)_1</v>
          </cell>
          <cell r="I150" t="str">
            <v>CAMP0331(cmeB)</v>
          </cell>
          <cell r="J150">
            <v>1</v>
          </cell>
        </row>
        <row r="151">
          <cell r="A151" t="str">
            <v>SC0294</v>
          </cell>
          <cell r="B151" t="str">
            <v>SRR17900297</v>
          </cell>
          <cell r="C151">
            <v>4337</v>
          </cell>
          <cell r="D151">
            <v>21</v>
          </cell>
          <cell r="E151" t="str">
            <v>Homo sapiens</v>
          </cell>
          <cell r="F151" t="str">
            <v>Campylobacter jejuni</v>
          </cell>
          <cell r="G151" t="str">
            <v>exact</v>
          </cell>
          <cell r="H151" t="str">
            <v>CAMP0331(cmeB)_604</v>
          </cell>
          <cell r="I151" t="str">
            <v>CAMP0331(cmeB)</v>
          </cell>
          <cell r="J151">
            <v>604</v>
          </cell>
        </row>
        <row r="152">
          <cell r="A152" t="str">
            <v>SC0293</v>
          </cell>
          <cell r="B152" t="str">
            <v>SRR17900298</v>
          </cell>
          <cell r="C152">
            <v>50</v>
          </cell>
          <cell r="D152">
            <v>21</v>
          </cell>
          <cell r="E152" t="str">
            <v>Homo sapiens</v>
          </cell>
          <cell r="F152" t="str">
            <v>Campylobacter jejuni</v>
          </cell>
          <cell r="G152" t="str">
            <v>exact</v>
          </cell>
          <cell r="H152" t="str">
            <v>CAMP0331(cmeB)_369</v>
          </cell>
          <cell r="I152" t="str">
            <v>CAMP0331(cmeB)</v>
          </cell>
          <cell r="J152">
            <v>369</v>
          </cell>
        </row>
        <row r="153">
          <cell r="A153" t="str">
            <v>SC0292</v>
          </cell>
          <cell r="B153" t="str">
            <v>SRR17900299</v>
          </cell>
          <cell r="C153">
            <v>2247</v>
          </cell>
          <cell r="D153">
            <v>0</v>
          </cell>
          <cell r="E153" t="str">
            <v>Homo sapiens</v>
          </cell>
          <cell r="F153" t="str">
            <v>Campylobacter jejuni</v>
          </cell>
          <cell r="G153" t="str">
            <v>exact</v>
          </cell>
          <cell r="H153" t="str">
            <v>CAMP0331(cmeB)_500</v>
          </cell>
          <cell r="I153" t="str">
            <v>CAMP0331(cmeB)</v>
          </cell>
          <cell r="J153">
            <v>500</v>
          </cell>
        </row>
        <row r="154">
          <cell r="A154" t="str">
            <v>SC0210</v>
          </cell>
          <cell r="B154" t="str">
            <v>SRR17900300</v>
          </cell>
          <cell r="C154">
            <v>4492</v>
          </cell>
          <cell r="D154">
            <v>61</v>
          </cell>
          <cell r="E154" t="str">
            <v>Bos taurus taurus</v>
          </cell>
          <cell r="F154" t="str">
            <v>Campylobacter jejuni</v>
          </cell>
          <cell r="G154" t="str">
            <v>exact</v>
          </cell>
          <cell r="H154" t="str">
            <v>CAMP0331(cmeB)_14</v>
          </cell>
          <cell r="I154" t="str">
            <v>CAMP0331(cmeB)</v>
          </cell>
          <cell r="J154">
            <v>14</v>
          </cell>
        </row>
        <row r="155">
          <cell r="A155" t="str">
            <v>SC0291</v>
          </cell>
          <cell r="B155" t="str">
            <v>SRR17900301</v>
          </cell>
          <cell r="C155">
            <v>8556</v>
          </cell>
          <cell r="D155">
            <v>0</v>
          </cell>
          <cell r="E155" t="str">
            <v>Homo sapiens</v>
          </cell>
          <cell r="F155" t="str">
            <v>Campylobacter jejuni</v>
          </cell>
          <cell r="G155" t="str">
            <v>exact</v>
          </cell>
          <cell r="H155" t="str">
            <v>CAMP0331(cmeB)_267</v>
          </cell>
          <cell r="I155" t="str">
            <v>CAMP0331(cmeB)</v>
          </cell>
          <cell r="J155">
            <v>267</v>
          </cell>
        </row>
        <row r="156">
          <cell r="A156" t="str">
            <v>SC0290</v>
          </cell>
          <cell r="B156" t="str">
            <v>SRR17900302</v>
          </cell>
          <cell r="C156">
            <v>0</v>
          </cell>
          <cell r="D156">
            <v>0</v>
          </cell>
          <cell r="E156" t="str">
            <v>Homo sapiens</v>
          </cell>
          <cell r="F156" t="str">
            <v>Campylobacter jejuni</v>
          </cell>
          <cell r="G156" t="str">
            <v>exact</v>
          </cell>
          <cell r="H156" t="str">
            <v>CAMP0331(cmeB)_113</v>
          </cell>
          <cell r="I156" t="str">
            <v>CAMP0331(cmeB)</v>
          </cell>
          <cell r="J156">
            <v>113</v>
          </cell>
        </row>
        <row r="157">
          <cell r="A157" t="str">
            <v>SC0289</v>
          </cell>
          <cell r="B157" t="str">
            <v>SRR17900303</v>
          </cell>
          <cell r="C157">
            <v>6964</v>
          </cell>
          <cell r="D157">
            <v>354</v>
          </cell>
          <cell r="E157" t="str">
            <v>Gallus gallus</v>
          </cell>
          <cell r="F157" t="str">
            <v>Campylobacter jejuni</v>
          </cell>
          <cell r="G157" t="str">
            <v>exact</v>
          </cell>
          <cell r="H157" t="str">
            <v>CAMP0331(cmeB)_1451</v>
          </cell>
          <cell r="I157" t="str">
            <v>CAMP0331(cmeB)</v>
          </cell>
          <cell r="J157">
            <v>1451</v>
          </cell>
        </row>
        <row r="158">
          <cell r="A158" t="str">
            <v>SC0288</v>
          </cell>
          <cell r="B158" t="str">
            <v>SRR17900304</v>
          </cell>
          <cell r="C158">
            <v>45</v>
          </cell>
          <cell r="D158">
            <v>45</v>
          </cell>
          <cell r="E158" t="str">
            <v>Gallus gallus</v>
          </cell>
          <cell r="F158" t="str">
            <v>Campylobacter jejuni</v>
          </cell>
          <cell r="G158" t="str">
            <v>exact</v>
          </cell>
          <cell r="H158" t="str">
            <v>CAMP0331(cmeB)_27</v>
          </cell>
          <cell r="I158" t="str">
            <v>CAMP0331(cmeB)</v>
          </cell>
          <cell r="J158">
            <v>27</v>
          </cell>
        </row>
        <row r="159">
          <cell r="A159" t="str">
            <v>SC0287</v>
          </cell>
          <cell r="B159" t="str">
            <v>SRR17900305</v>
          </cell>
          <cell r="C159">
            <v>4337</v>
          </cell>
          <cell r="D159">
            <v>21</v>
          </cell>
          <cell r="E159" t="str">
            <v>Gallus gallus</v>
          </cell>
          <cell r="F159" t="str">
            <v>Campylobacter jejuni</v>
          </cell>
          <cell r="G159" t="str">
            <v>exact</v>
          </cell>
          <cell r="H159" t="str">
            <v>CAMP0331(cmeB)_604</v>
          </cell>
          <cell r="I159" t="str">
            <v>CAMP0331(cmeB)</v>
          </cell>
          <cell r="J159">
            <v>604</v>
          </cell>
        </row>
        <row r="160">
          <cell r="A160" t="str">
            <v>SC0285</v>
          </cell>
          <cell r="B160" t="str">
            <v>SRR17900307</v>
          </cell>
          <cell r="C160">
            <v>61</v>
          </cell>
          <cell r="D160">
            <v>61</v>
          </cell>
          <cell r="E160" t="str">
            <v>Homo sapiens</v>
          </cell>
          <cell r="F160" t="str">
            <v>Campylobacter jejuni</v>
          </cell>
          <cell r="G160" t="str">
            <v>exact</v>
          </cell>
          <cell r="H160" t="str">
            <v>CAMP0331(cmeB)_14</v>
          </cell>
          <cell r="I160" t="str">
            <v>CAMP0331(cmeB)</v>
          </cell>
          <cell r="J160">
            <v>14</v>
          </cell>
        </row>
        <row r="161">
          <cell r="A161" t="str">
            <v>SC0284</v>
          </cell>
          <cell r="B161" t="str">
            <v>SRR17900308</v>
          </cell>
          <cell r="C161">
            <v>50</v>
          </cell>
          <cell r="D161">
            <v>21</v>
          </cell>
          <cell r="E161" t="str">
            <v>Homo sapiens</v>
          </cell>
          <cell r="F161" t="str">
            <v>Campylobacter jejuni</v>
          </cell>
          <cell r="G161" t="str">
            <v>exact</v>
          </cell>
          <cell r="H161" t="str">
            <v>CAMP0331(cmeB)_604</v>
          </cell>
          <cell r="I161" t="str">
            <v>CAMP0331(cmeB)</v>
          </cell>
          <cell r="J161">
            <v>604</v>
          </cell>
        </row>
        <row r="162">
          <cell r="A162" t="str">
            <v>SC0283</v>
          </cell>
          <cell r="B162" t="str">
            <v>SRR17900309</v>
          </cell>
          <cell r="C162">
            <v>45</v>
          </cell>
          <cell r="D162">
            <v>45</v>
          </cell>
          <cell r="E162" t="str">
            <v>Homo sapiens</v>
          </cell>
          <cell r="F162" t="str">
            <v>Campylobacter jejuni</v>
          </cell>
          <cell r="G162" t="str">
            <v>exact</v>
          </cell>
          <cell r="H162" t="str">
            <v>CAMP0331(cmeB)_5</v>
          </cell>
          <cell r="I162" t="str">
            <v>CAMP0331(cmeB)</v>
          </cell>
          <cell r="J162">
            <v>5</v>
          </cell>
        </row>
        <row r="163">
          <cell r="A163" t="str">
            <v>SC0282</v>
          </cell>
          <cell r="B163" t="str">
            <v>SRR17900310</v>
          </cell>
          <cell r="C163">
            <v>474</v>
          </cell>
          <cell r="D163">
            <v>48</v>
          </cell>
          <cell r="E163" t="str">
            <v>Homo sapiens</v>
          </cell>
          <cell r="F163" t="str">
            <v>Campylobacter jejuni</v>
          </cell>
          <cell r="G163" t="str">
            <v>exact</v>
          </cell>
          <cell r="H163" t="str">
            <v>CAMP0331(cmeB)_1</v>
          </cell>
          <cell r="I163" t="str">
            <v>CAMP0331(cmeB)</v>
          </cell>
          <cell r="J163">
            <v>1</v>
          </cell>
        </row>
        <row r="164">
          <cell r="A164" t="str">
            <v>SC0209</v>
          </cell>
          <cell r="B164" t="str">
            <v>SRR17900311</v>
          </cell>
          <cell r="C164">
            <v>3222</v>
          </cell>
          <cell r="D164">
            <v>0</v>
          </cell>
          <cell r="E164" t="str">
            <v>Bos taurus taurus</v>
          </cell>
          <cell r="F164" t="str">
            <v>Campylobacter coli</v>
          </cell>
          <cell r="G164" t="str">
            <v>exact</v>
          </cell>
          <cell r="H164" t="str">
            <v>CAMP0331(cmeB)_1205</v>
          </cell>
          <cell r="I164" t="str">
            <v>CAMP0331(cmeB)</v>
          </cell>
          <cell r="J164">
            <v>1205</v>
          </cell>
        </row>
        <row r="165">
          <cell r="A165" t="str">
            <v>SC0281</v>
          </cell>
          <cell r="B165" t="str">
            <v>SRR17900312</v>
          </cell>
          <cell r="C165">
            <v>3105</v>
          </cell>
          <cell r="D165">
            <v>0</v>
          </cell>
          <cell r="E165" t="str">
            <v>Homo sapiens</v>
          </cell>
          <cell r="F165" t="str">
            <v>Campylobacter jejuni</v>
          </cell>
          <cell r="G165" t="str">
            <v>exact</v>
          </cell>
          <cell r="H165" t="str">
            <v>CAMP0331(cmeB)_49</v>
          </cell>
          <cell r="I165" t="str">
            <v>CAMP0331(cmeB)</v>
          </cell>
          <cell r="J165">
            <v>49</v>
          </cell>
        </row>
        <row r="166">
          <cell r="A166" t="str">
            <v>SC0279</v>
          </cell>
          <cell r="B166" t="str">
            <v>SRR17900314</v>
          </cell>
          <cell r="C166">
            <v>508</v>
          </cell>
          <cell r="D166">
            <v>508</v>
          </cell>
          <cell r="E166" t="str">
            <v>Homo sapiens</v>
          </cell>
          <cell r="F166" t="str">
            <v>Campylobacter jejuni</v>
          </cell>
          <cell r="G166" t="str">
            <v>exact</v>
          </cell>
          <cell r="H166" t="str">
            <v>CAMP0331(cmeB)_43</v>
          </cell>
          <cell r="I166" t="str">
            <v>CAMP0331(cmeB)</v>
          </cell>
          <cell r="J166">
            <v>43</v>
          </cell>
        </row>
        <row r="167">
          <cell r="A167" t="str">
            <v>SC0278</v>
          </cell>
          <cell r="B167" t="str">
            <v>SRR17900315</v>
          </cell>
          <cell r="C167">
            <v>474</v>
          </cell>
          <cell r="D167">
            <v>48</v>
          </cell>
          <cell r="E167" t="str">
            <v>Homo sapiens</v>
          </cell>
          <cell r="F167" t="str">
            <v>Campylobacter jejuni</v>
          </cell>
          <cell r="G167" t="str">
            <v>exact</v>
          </cell>
          <cell r="H167" t="str">
            <v>CAMP0331(cmeB)_1</v>
          </cell>
          <cell r="I167" t="str">
            <v>CAMP0331(cmeB)</v>
          </cell>
          <cell r="J167">
            <v>1</v>
          </cell>
        </row>
        <row r="168">
          <cell r="A168" t="str">
            <v>SC0277</v>
          </cell>
          <cell r="B168" t="str">
            <v>SRR17900316</v>
          </cell>
          <cell r="C168">
            <v>0</v>
          </cell>
          <cell r="D168">
            <v>0</v>
          </cell>
          <cell r="E168" t="str">
            <v>Homo sapiens</v>
          </cell>
          <cell r="F168" t="str">
            <v>Campylobacter jejuni</v>
          </cell>
          <cell r="G168" t="str">
            <v>exact</v>
          </cell>
          <cell r="H168" t="str">
            <v>CAMP0331(cmeB)_3629</v>
          </cell>
          <cell r="I168" t="str">
            <v>CAMP0331(cmeB)</v>
          </cell>
          <cell r="J168">
            <v>3629</v>
          </cell>
        </row>
        <row r="169">
          <cell r="A169" t="str">
            <v>SC0276</v>
          </cell>
          <cell r="B169" t="str">
            <v>SRR17900317</v>
          </cell>
          <cell r="C169">
            <v>6964</v>
          </cell>
          <cell r="D169">
            <v>354</v>
          </cell>
          <cell r="E169" t="str">
            <v>Homo sapiens</v>
          </cell>
          <cell r="F169" t="str">
            <v>Campylobacter jejuni</v>
          </cell>
          <cell r="G169" t="str">
            <v>exact</v>
          </cell>
          <cell r="H169" t="str">
            <v>CAMP0331(cmeB)_1451</v>
          </cell>
          <cell r="I169" t="str">
            <v>CAMP0331(cmeB)</v>
          </cell>
          <cell r="J169">
            <v>1451</v>
          </cell>
        </row>
        <row r="170">
          <cell r="A170" t="str">
            <v>SC0275</v>
          </cell>
          <cell r="B170" t="str">
            <v>SRR17900318</v>
          </cell>
          <cell r="C170">
            <v>227</v>
          </cell>
          <cell r="D170">
            <v>206</v>
          </cell>
          <cell r="E170" t="str">
            <v>Homo sapiens</v>
          </cell>
          <cell r="F170" t="str">
            <v>Campylobacter jejuni</v>
          </cell>
          <cell r="G170" t="str">
            <v>exact</v>
          </cell>
          <cell r="H170" t="str">
            <v>CAMP0331(cmeB)_1</v>
          </cell>
          <cell r="I170" t="str">
            <v>CAMP0331(cmeB)</v>
          </cell>
          <cell r="J170">
            <v>1</v>
          </cell>
        </row>
        <row r="171">
          <cell r="A171" t="str">
            <v>SC0274</v>
          </cell>
          <cell r="B171" t="str">
            <v>SRR17900319</v>
          </cell>
          <cell r="C171">
            <v>227</v>
          </cell>
          <cell r="D171">
            <v>206</v>
          </cell>
          <cell r="E171" t="str">
            <v>Homo sapiens</v>
          </cell>
          <cell r="F171" t="str">
            <v>Campylobacter jejuni</v>
          </cell>
          <cell r="G171" t="str">
            <v>exact</v>
          </cell>
          <cell r="H171" t="str">
            <v>CAMP0331(cmeB)_1</v>
          </cell>
          <cell r="I171" t="str">
            <v>CAMP0331(cmeB)</v>
          </cell>
          <cell r="J171">
            <v>1</v>
          </cell>
        </row>
        <row r="172">
          <cell r="A172" t="str">
            <v>SC0273</v>
          </cell>
          <cell r="B172" t="str">
            <v>SRR17900320</v>
          </cell>
          <cell r="C172">
            <v>508</v>
          </cell>
          <cell r="D172">
            <v>508</v>
          </cell>
          <cell r="E172" t="str">
            <v>Homo sapiens</v>
          </cell>
          <cell r="F172" t="str">
            <v>Campylobacter jejuni</v>
          </cell>
          <cell r="G172" t="str">
            <v>exact</v>
          </cell>
          <cell r="H172" t="str">
            <v>CAMP0331(cmeB)_43</v>
          </cell>
          <cell r="I172" t="str">
            <v>CAMP0331(cmeB)</v>
          </cell>
          <cell r="J172">
            <v>43</v>
          </cell>
        </row>
        <row r="173">
          <cell r="A173" t="str">
            <v>SC0272</v>
          </cell>
          <cell r="B173" t="str">
            <v>SRR17900321</v>
          </cell>
          <cell r="C173">
            <v>6964</v>
          </cell>
          <cell r="D173">
            <v>354</v>
          </cell>
          <cell r="E173" t="str">
            <v>Homo sapiens</v>
          </cell>
          <cell r="F173" t="str">
            <v>Campylobacter jejuni</v>
          </cell>
          <cell r="G173" t="str">
            <v>exact</v>
          </cell>
          <cell r="H173" t="str">
            <v>CAMP0331(cmeB)_1451</v>
          </cell>
          <cell r="I173" t="str">
            <v>CAMP0331(cmeB)</v>
          </cell>
          <cell r="J173">
            <v>1451</v>
          </cell>
        </row>
        <row r="174">
          <cell r="A174" t="str">
            <v>SC0208</v>
          </cell>
          <cell r="B174" t="str">
            <v>SRR17900322</v>
          </cell>
          <cell r="C174">
            <v>257</v>
          </cell>
          <cell r="D174">
            <v>257</v>
          </cell>
          <cell r="E174" t="str">
            <v>Bos taurus taurus</v>
          </cell>
          <cell r="F174" t="str">
            <v>Campylobacter jejuni</v>
          </cell>
          <cell r="G174" t="str">
            <v>exact</v>
          </cell>
          <cell r="H174" t="str">
            <v>CAMP0331(cmeB)_51</v>
          </cell>
          <cell r="I174" t="str">
            <v>CAMP0331(cmeB)</v>
          </cell>
          <cell r="J174">
            <v>51</v>
          </cell>
        </row>
        <row r="175">
          <cell r="A175" t="str">
            <v>SC0271</v>
          </cell>
          <cell r="B175" t="str">
            <v>SRR17900323</v>
          </cell>
          <cell r="C175">
            <v>50</v>
          </cell>
          <cell r="D175">
            <v>21</v>
          </cell>
          <cell r="E175" t="str">
            <v>Homo sapiens</v>
          </cell>
          <cell r="F175" t="str">
            <v>Campylobacter jejuni</v>
          </cell>
          <cell r="G175" t="str">
            <v>exact</v>
          </cell>
          <cell r="H175" t="str">
            <v>CAMP0331(cmeB)_369</v>
          </cell>
          <cell r="I175" t="str">
            <v>CAMP0331(cmeB)</v>
          </cell>
          <cell r="J175">
            <v>369</v>
          </cell>
        </row>
        <row r="176">
          <cell r="A176" t="str">
            <v>SC0270</v>
          </cell>
          <cell r="B176" t="str">
            <v>SRR17900324</v>
          </cell>
          <cell r="C176">
            <v>6964</v>
          </cell>
          <cell r="D176">
            <v>354</v>
          </cell>
          <cell r="E176" t="str">
            <v>Gallus gallus</v>
          </cell>
          <cell r="F176" t="str">
            <v>Campylobacter jejuni</v>
          </cell>
          <cell r="G176" t="str">
            <v>exact</v>
          </cell>
          <cell r="H176" t="str">
            <v>CAMP0331(cmeB)_1451</v>
          </cell>
          <cell r="I176" t="str">
            <v>CAMP0331(cmeB)</v>
          </cell>
          <cell r="J176">
            <v>1451</v>
          </cell>
        </row>
        <row r="177">
          <cell r="A177" t="str">
            <v>SC0269</v>
          </cell>
          <cell r="B177" t="str">
            <v>SRR17900325</v>
          </cell>
          <cell r="C177">
            <v>6964</v>
          </cell>
          <cell r="D177">
            <v>354</v>
          </cell>
          <cell r="E177" t="str">
            <v>Homo sapiens</v>
          </cell>
          <cell r="F177" t="str">
            <v>Campylobacter jejuni</v>
          </cell>
          <cell r="G177" t="str">
            <v>exact</v>
          </cell>
          <cell r="H177" t="str">
            <v>CAMP0331(cmeB)_1451</v>
          </cell>
          <cell r="I177" t="str">
            <v>CAMP0331(cmeB)</v>
          </cell>
          <cell r="J177">
            <v>1451</v>
          </cell>
        </row>
        <row r="178">
          <cell r="A178" t="str">
            <v>SC0268</v>
          </cell>
          <cell r="B178" t="str">
            <v>SRR17900326</v>
          </cell>
          <cell r="C178">
            <v>474</v>
          </cell>
          <cell r="D178">
            <v>48</v>
          </cell>
          <cell r="E178" t="str">
            <v>Homo sapiens</v>
          </cell>
          <cell r="F178" t="str">
            <v>Campylobacter jejuni</v>
          </cell>
          <cell r="G178" t="str">
            <v>exact</v>
          </cell>
          <cell r="H178" t="str">
            <v>CAMP0331(cmeB)_1</v>
          </cell>
          <cell r="I178" t="str">
            <v>CAMP0331(cmeB)</v>
          </cell>
          <cell r="J178">
            <v>1</v>
          </cell>
        </row>
        <row r="179">
          <cell r="A179" t="str">
            <v>SC0267</v>
          </cell>
          <cell r="B179" t="str">
            <v>SRR17900327</v>
          </cell>
          <cell r="C179">
            <v>486</v>
          </cell>
          <cell r="D179">
            <v>21</v>
          </cell>
          <cell r="E179" t="str">
            <v>Homo sapiens</v>
          </cell>
          <cell r="F179" t="str">
            <v>Campylobacter jejuni</v>
          </cell>
          <cell r="G179" t="str">
            <v>exact</v>
          </cell>
          <cell r="H179" t="str">
            <v>CAMP0331(cmeB)_1</v>
          </cell>
          <cell r="I179" t="str">
            <v>CAMP0331(cmeB)</v>
          </cell>
          <cell r="J179">
            <v>1</v>
          </cell>
        </row>
        <row r="180">
          <cell r="A180" t="str">
            <v>SC0266</v>
          </cell>
          <cell r="B180" t="str">
            <v>SRR17900328</v>
          </cell>
          <cell r="C180">
            <v>38</v>
          </cell>
          <cell r="D180">
            <v>48</v>
          </cell>
          <cell r="E180" t="str">
            <v>Homo sapiens</v>
          </cell>
          <cell r="F180" t="str">
            <v>Campylobacter jejuni</v>
          </cell>
          <cell r="G180" t="str">
            <v>exact</v>
          </cell>
          <cell r="H180" t="str">
            <v>CAMP0331(cmeB)_14</v>
          </cell>
          <cell r="I180" t="str">
            <v>CAMP0331(cmeB)</v>
          </cell>
          <cell r="J180">
            <v>14</v>
          </cell>
        </row>
        <row r="181">
          <cell r="A181" t="str">
            <v>SC0265</v>
          </cell>
          <cell r="B181" t="str">
            <v>SRR17900329</v>
          </cell>
          <cell r="C181">
            <v>42</v>
          </cell>
          <cell r="D181">
            <v>42</v>
          </cell>
          <cell r="E181" t="str">
            <v>Homo sapiens</v>
          </cell>
          <cell r="F181" t="str">
            <v>Campylobacter jejuni</v>
          </cell>
          <cell r="G181" t="str">
            <v>exact</v>
          </cell>
          <cell r="H181" t="str">
            <v>CAMP0331(cmeB)_22</v>
          </cell>
          <cell r="I181" t="str">
            <v>CAMP0331(cmeB)</v>
          </cell>
          <cell r="J181">
            <v>22</v>
          </cell>
        </row>
        <row r="182">
          <cell r="A182" t="str">
            <v>SC0264</v>
          </cell>
          <cell r="B182" t="str">
            <v>SRR17900330</v>
          </cell>
          <cell r="C182">
            <v>45</v>
          </cell>
          <cell r="D182">
            <v>45</v>
          </cell>
          <cell r="E182" t="str">
            <v>Homo sapiens</v>
          </cell>
          <cell r="F182" t="str">
            <v>Campylobacter jejuni</v>
          </cell>
          <cell r="G182" t="str">
            <v>exact</v>
          </cell>
          <cell r="H182" t="str">
            <v>CAMP0331(cmeB)_260</v>
          </cell>
          <cell r="I182" t="str">
            <v>CAMP0331(cmeB)</v>
          </cell>
          <cell r="J182">
            <v>260</v>
          </cell>
        </row>
        <row r="183">
          <cell r="A183" t="str">
            <v>SC0415</v>
          </cell>
          <cell r="B183" t="str">
            <v>SRR17900331</v>
          </cell>
          <cell r="C183">
            <v>4337</v>
          </cell>
          <cell r="D183">
            <v>21</v>
          </cell>
          <cell r="E183" t="str">
            <v>Homo sapiens</v>
          </cell>
          <cell r="F183" t="str">
            <v>Campylobacter jejuni</v>
          </cell>
          <cell r="G183" t="str">
            <v>exact</v>
          </cell>
          <cell r="H183" t="str">
            <v>CAMP0331(cmeB)_604</v>
          </cell>
          <cell r="I183" t="str">
            <v>CAMP0331(cmeB)</v>
          </cell>
          <cell r="J183">
            <v>604</v>
          </cell>
        </row>
        <row r="184">
          <cell r="A184" t="str">
            <v>SC0414</v>
          </cell>
          <cell r="B184" t="str">
            <v>SRR17900332</v>
          </cell>
          <cell r="C184">
            <v>227</v>
          </cell>
          <cell r="D184">
            <v>206</v>
          </cell>
          <cell r="E184" t="str">
            <v>Homo sapiens</v>
          </cell>
          <cell r="F184" t="str">
            <v>Campylobacter jejuni</v>
          </cell>
          <cell r="G184" t="str">
            <v>exact</v>
          </cell>
          <cell r="H184" t="str">
            <v>CAMP0331(cmeB)_1</v>
          </cell>
          <cell r="I184" t="str">
            <v>CAMP0331(cmeB)</v>
          </cell>
          <cell r="J184">
            <v>1</v>
          </cell>
        </row>
        <row r="185">
          <cell r="A185" t="str">
            <v>SC0413</v>
          </cell>
          <cell r="B185" t="str">
            <v>SRR17900333</v>
          </cell>
          <cell r="C185">
            <v>5655</v>
          </cell>
          <cell r="D185">
            <v>21</v>
          </cell>
          <cell r="E185" t="str">
            <v>Homo sapiens</v>
          </cell>
          <cell r="F185" t="str">
            <v>Campylobacter jejuni</v>
          </cell>
          <cell r="G185" t="str">
            <v>exact</v>
          </cell>
          <cell r="H185" t="str">
            <v>CAMP0331(cmeB)_604</v>
          </cell>
          <cell r="I185" t="str">
            <v>CAMP0331(cmeB)</v>
          </cell>
          <cell r="J185">
            <v>604</v>
          </cell>
        </row>
        <row r="186">
          <cell r="A186" t="str">
            <v>SC0222</v>
          </cell>
          <cell r="B186" t="str">
            <v>SRR17900334</v>
          </cell>
          <cell r="C186">
            <v>520</v>
          </cell>
          <cell r="D186">
            <v>21</v>
          </cell>
          <cell r="E186" t="str">
            <v>Homo sapiens</v>
          </cell>
          <cell r="F186" t="str">
            <v>Campylobacter jejuni</v>
          </cell>
          <cell r="G186" t="str">
            <v>exact</v>
          </cell>
          <cell r="H186" t="str">
            <v>CAMP0331(cmeB)_604</v>
          </cell>
          <cell r="I186" t="str">
            <v>CAMP0331(cmeB)</v>
          </cell>
          <cell r="J186">
            <v>604</v>
          </cell>
        </row>
        <row r="187">
          <cell r="A187" t="str">
            <v>SC0412</v>
          </cell>
          <cell r="B187" t="str">
            <v>SRR17900335</v>
          </cell>
          <cell r="C187">
            <v>2031</v>
          </cell>
          <cell r="D187">
            <v>574</v>
          </cell>
          <cell r="E187" t="str">
            <v>Homo sapiens</v>
          </cell>
          <cell r="F187" t="str">
            <v>Campylobacter jejuni</v>
          </cell>
          <cell r="G187" t="str">
            <v>exact</v>
          </cell>
          <cell r="H187" t="str">
            <v>CAMP0331(cmeB)_4629</v>
          </cell>
          <cell r="I187" t="str">
            <v>CAMP0331(cmeB)</v>
          </cell>
          <cell r="J187">
            <v>4629</v>
          </cell>
        </row>
        <row r="188">
          <cell r="A188" t="str">
            <v>SC0411</v>
          </cell>
          <cell r="B188" t="str">
            <v>SRR17900336</v>
          </cell>
          <cell r="C188">
            <v>48</v>
          </cell>
          <cell r="D188">
            <v>48</v>
          </cell>
          <cell r="E188" t="str">
            <v>Homo sapiens</v>
          </cell>
          <cell r="F188" t="str">
            <v>Campylobacter jejuni</v>
          </cell>
          <cell r="G188" t="str">
            <v>exact</v>
          </cell>
          <cell r="H188" t="str">
            <v>CAMP0331(cmeB)_94</v>
          </cell>
          <cell r="I188" t="str">
            <v>CAMP0331(cmeB)</v>
          </cell>
          <cell r="J188">
            <v>94</v>
          </cell>
        </row>
        <row r="189">
          <cell r="A189" t="str">
            <v>SC0410</v>
          </cell>
          <cell r="B189" t="str">
            <v>SRR17900337</v>
          </cell>
          <cell r="C189">
            <v>45</v>
          </cell>
          <cell r="D189">
            <v>45</v>
          </cell>
          <cell r="E189" t="str">
            <v>Homo sapiens</v>
          </cell>
          <cell r="F189" t="str">
            <v>Campylobacter jejuni</v>
          </cell>
          <cell r="G189" t="str">
            <v>exact</v>
          </cell>
          <cell r="H189" t="str">
            <v>CAMP0331(cmeB)_5</v>
          </cell>
          <cell r="I189" t="str">
            <v>CAMP0331(cmeB)</v>
          </cell>
          <cell r="J189">
            <v>5</v>
          </cell>
        </row>
        <row r="190">
          <cell r="A190" t="str">
            <v>SC0409</v>
          </cell>
          <cell r="B190" t="str">
            <v>SRR17900338</v>
          </cell>
          <cell r="C190">
            <v>486</v>
          </cell>
          <cell r="D190">
            <v>21</v>
          </cell>
          <cell r="E190" t="str">
            <v>Homo sapiens</v>
          </cell>
          <cell r="F190" t="str">
            <v>Campylobacter jejuni</v>
          </cell>
          <cell r="G190" t="str">
            <v>exact</v>
          </cell>
          <cell r="H190" t="str">
            <v>CAMP0331(cmeB)_1</v>
          </cell>
          <cell r="I190" t="str">
            <v>CAMP0331(cmeB)</v>
          </cell>
          <cell r="J190">
            <v>1</v>
          </cell>
        </row>
        <row r="191">
          <cell r="A191" t="str">
            <v>SC0407</v>
          </cell>
          <cell r="B191" t="str">
            <v>SRR17900340</v>
          </cell>
          <cell r="C191">
            <v>190</v>
          </cell>
          <cell r="D191">
            <v>21</v>
          </cell>
          <cell r="E191" t="str">
            <v>Gallus gallus</v>
          </cell>
          <cell r="F191" t="str">
            <v>Campylobacter jejuni</v>
          </cell>
          <cell r="G191" t="str">
            <v>exact</v>
          </cell>
          <cell r="H191" t="str">
            <v>CAMP0331(cmeB)_604</v>
          </cell>
          <cell r="I191" t="str">
            <v>CAMP0331(cmeB)</v>
          </cell>
          <cell r="J191">
            <v>604</v>
          </cell>
        </row>
        <row r="192">
          <cell r="A192" t="str">
            <v>SC0406</v>
          </cell>
          <cell r="B192" t="str">
            <v>SRR17900341</v>
          </cell>
          <cell r="C192">
            <v>696</v>
          </cell>
          <cell r="D192">
            <v>1332</v>
          </cell>
          <cell r="E192" t="str">
            <v>Gallus gallus</v>
          </cell>
          <cell r="F192" t="str">
            <v>Campylobacter jejuni</v>
          </cell>
          <cell r="G192" t="str">
            <v>exact</v>
          </cell>
          <cell r="H192" t="str">
            <v>CAMP0331(cmeB)_560</v>
          </cell>
          <cell r="I192" t="str">
            <v>CAMP0331(cmeB)</v>
          </cell>
          <cell r="J192">
            <v>560</v>
          </cell>
        </row>
        <row r="193">
          <cell r="A193" t="str">
            <v>SC0405</v>
          </cell>
          <cell r="B193" t="str">
            <v>SRR17900342</v>
          </cell>
          <cell r="C193">
            <v>48</v>
          </cell>
          <cell r="D193">
            <v>48</v>
          </cell>
          <cell r="E193" t="str">
            <v>Gallus gallus</v>
          </cell>
          <cell r="F193" t="str">
            <v>Campylobacter jejuni</v>
          </cell>
          <cell r="G193" t="str">
            <v>exact</v>
          </cell>
          <cell r="H193" t="str">
            <v>CAMP0331(cmeB)_94</v>
          </cell>
          <cell r="I193" t="str">
            <v>CAMP0331(cmeB)</v>
          </cell>
          <cell r="J193">
            <v>94</v>
          </cell>
        </row>
        <row r="194">
          <cell r="A194" t="str">
            <v>SC0404</v>
          </cell>
          <cell r="B194" t="str">
            <v>SRR17900343</v>
          </cell>
          <cell r="C194">
            <v>422</v>
          </cell>
          <cell r="D194">
            <v>21</v>
          </cell>
          <cell r="E194" t="str">
            <v>Homo sapiens</v>
          </cell>
          <cell r="F194" t="str">
            <v>Campylobacter jejuni</v>
          </cell>
          <cell r="G194" t="str">
            <v>exact</v>
          </cell>
          <cell r="H194" t="str">
            <v>CAMP0331(cmeB)_604</v>
          </cell>
          <cell r="I194" t="str">
            <v>CAMP0331(cmeB)</v>
          </cell>
          <cell r="J194">
            <v>604</v>
          </cell>
        </row>
        <row r="195">
          <cell r="A195" t="str">
            <v>SC0403</v>
          </cell>
          <cell r="B195" t="str">
            <v>SRR17900344</v>
          </cell>
          <cell r="C195">
            <v>61</v>
          </cell>
          <cell r="D195">
            <v>61</v>
          </cell>
          <cell r="E195" t="str">
            <v>Homo sapiens</v>
          </cell>
          <cell r="F195" t="str">
            <v>Campylobacter jejuni</v>
          </cell>
          <cell r="G195" t="str">
            <v>exact</v>
          </cell>
          <cell r="H195" t="str">
            <v>CAMP0331(cmeB)_14</v>
          </cell>
          <cell r="I195" t="str">
            <v>CAMP0331(cmeB)</v>
          </cell>
          <cell r="J195">
            <v>14</v>
          </cell>
        </row>
        <row r="196">
          <cell r="A196" t="str">
            <v>SC0221</v>
          </cell>
          <cell r="B196" t="str">
            <v>SRR17900345</v>
          </cell>
          <cell r="C196">
            <v>48</v>
          </cell>
          <cell r="D196">
            <v>48</v>
          </cell>
          <cell r="E196" t="str">
            <v>Homo sapiens</v>
          </cell>
          <cell r="F196" t="str">
            <v>Campylobacter jejuni</v>
          </cell>
          <cell r="G196" t="str">
            <v>exact</v>
          </cell>
          <cell r="H196" t="str">
            <v>CAMP0331(cmeB)_94</v>
          </cell>
          <cell r="I196" t="str">
            <v>CAMP0331(cmeB)</v>
          </cell>
          <cell r="J196">
            <v>94</v>
          </cell>
        </row>
        <row r="197">
          <cell r="A197" t="str">
            <v>SC0203</v>
          </cell>
          <cell r="B197" t="str">
            <v>SRR17900346</v>
          </cell>
          <cell r="C197">
            <v>2026</v>
          </cell>
          <cell r="D197">
            <v>403</v>
          </cell>
          <cell r="E197" t="str">
            <v>Bos taurus taurus</v>
          </cell>
          <cell r="F197" t="str">
            <v>Campylobacter jejuni</v>
          </cell>
          <cell r="G197" t="str">
            <v>exact</v>
          </cell>
          <cell r="H197" t="str">
            <v>CAMP0331(cmeB)_54</v>
          </cell>
          <cell r="I197" t="str">
            <v>CAMP0331(cmeB)</v>
          </cell>
          <cell r="J197">
            <v>54</v>
          </cell>
        </row>
        <row r="198">
          <cell r="A198" t="str">
            <v>SC0402</v>
          </cell>
          <cell r="B198" t="str">
            <v>SRR17900347</v>
          </cell>
          <cell r="C198">
            <v>618</v>
          </cell>
          <cell r="D198">
            <v>61</v>
          </cell>
          <cell r="E198" t="str">
            <v>Homo sapiens</v>
          </cell>
          <cell r="F198" t="str">
            <v>Campylobacter jejuni</v>
          </cell>
          <cell r="G198" t="str">
            <v>exact</v>
          </cell>
          <cell r="H198" t="str">
            <v>CAMP0331(cmeB)_14</v>
          </cell>
          <cell r="I198" t="str">
            <v>CAMP0331(cmeB)</v>
          </cell>
          <cell r="J198">
            <v>14</v>
          </cell>
        </row>
        <row r="199">
          <cell r="A199" t="str">
            <v>SC0401</v>
          </cell>
          <cell r="B199" t="str">
            <v>SRR17900348</v>
          </cell>
          <cell r="C199">
            <v>227</v>
          </cell>
          <cell r="D199">
            <v>206</v>
          </cell>
          <cell r="E199" t="str">
            <v>Homo sapiens</v>
          </cell>
          <cell r="F199" t="str">
            <v>Campylobacter jejuni</v>
          </cell>
          <cell r="G199" t="str">
            <v>exact</v>
          </cell>
          <cell r="H199" t="str">
            <v>CAMP0331(cmeB)_1</v>
          </cell>
          <cell r="I199" t="str">
            <v>CAMP0331(cmeB)</v>
          </cell>
          <cell r="J199">
            <v>1</v>
          </cell>
        </row>
        <row r="200">
          <cell r="A200" t="str">
            <v>SC0400</v>
          </cell>
          <cell r="B200" t="str">
            <v>SRR17900349</v>
          </cell>
          <cell r="C200">
            <v>50</v>
          </cell>
          <cell r="D200">
            <v>21</v>
          </cell>
          <cell r="E200" t="str">
            <v>Homo sapiens</v>
          </cell>
          <cell r="F200" t="str">
            <v>Campylobacter jejuni</v>
          </cell>
          <cell r="G200" t="str">
            <v>exact</v>
          </cell>
          <cell r="H200" t="str">
            <v>CAMP0331(cmeB)_1</v>
          </cell>
          <cell r="I200" t="str">
            <v>CAMP0331(cmeB)</v>
          </cell>
          <cell r="J200">
            <v>1</v>
          </cell>
        </row>
        <row r="201">
          <cell r="A201" t="str">
            <v>SC0399</v>
          </cell>
          <cell r="B201" t="str">
            <v>SRR17900350</v>
          </cell>
          <cell r="C201">
            <v>61</v>
          </cell>
          <cell r="D201">
            <v>61</v>
          </cell>
          <cell r="E201" t="str">
            <v>Homo sapiens</v>
          </cell>
          <cell r="F201" t="str">
            <v>Campylobacter jejuni</v>
          </cell>
          <cell r="G201" t="str">
            <v>exact</v>
          </cell>
          <cell r="H201" t="str">
            <v>CAMP0331(cmeB)_14</v>
          </cell>
          <cell r="I201" t="str">
            <v>CAMP0331(cmeB)</v>
          </cell>
          <cell r="J201">
            <v>14</v>
          </cell>
        </row>
        <row r="202">
          <cell r="A202" t="str">
            <v>SC0398</v>
          </cell>
          <cell r="B202" t="str">
            <v>SRR17900351</v>
          </cell>
          <cell r="C202">
            <v>2026</v>
          </cell>
          <cell r="D202">
            <v>403</v>
          </cell>
          <cell r="E202" t="str">
            <v>Homo sapiens</v>
          </cell>
          <cell r="F202" t="str">
            <v>Campylobacter jejuni</v>
          </cell>
          <cell r="G202" t="str">
            <v>exact</v>
          </cell>
          <cell r="H202" t="str">
            <v>CAMP0331(cmeB)_54</v>
          </cell>
          <cell r="I202" t="str">
            <v>CAMP0331(cmeB)</v>
          </cell>
          <cell r="J202">
            <v>54</v>
          </cell>
        </row>
        <row r="203">
          <cell r="A203" t="str">
            <v>SC0397</v>
          </cell>
          <cell r="B203" t="str">
            <v>SRR17900352</v>
          </cell>
          <cell r="C203">
            <v>50</v>
          </cell>
          <cell r="D203">
            <v>21</v>
          </cell>
          <cell r="E203" t="str">
            <v>Homo sapiens</v>
          </cell>
          <cell r="F203" t="str">
            <v>Campylobacter jejuni</v>
          </cell>
          <cell r="G203" t="str">
            <v>exact</v>
          </cell>
          <cell r="H203" t="str">
            <v>CAMP0331(cmeB)_1</v>
          </cell>
          <cell r="I203" t="str">
            <v>CAMP0331(cmeB)</v>
          </cell>
          <cell r="J203">
            <v>1</v>
          </cell>
        </row>
        <row r="204">
          <cell r="A204" t="str">
            <v>SC0396</v>
          </cell>
          <cell r="B204" t="str">
            <v>SRR17900353</v>
          </cell>
          <cell r="C204">
            <v>825</v>
          </cell>
          <cell r="D204">
            <v>828</v>
          </cell>
          <cell r="E204" t="str">
            <v>Homo sapiens</v>
          </cell>
          <cell r="F204" t="str">
            <v>Campylobacter coli</v>
          </cell>
          <cell r="G204" t="str">
            <v>exact</v>
          </cell>
          <cell r="H204" t="str">
            <v>CAMP0331(cmeB)_253</v>
          </cell>
          <cell r="I204" t="str">
            <v>CAMP0331(cmeB)</v>
          </cell>
          <cell r="J204">
            <v>253</v>
          </cell>
        </row>
        <row r="205">
          <cell r="A205" t="str">
            <v>SC0395</v>
          </cell>
          <cell r="B205" t="str">
            <v>SRR17900354</v>
          </cell>
          <cell r="C205">
            <v>486</v>
          </cell>
          <cell r="D205">
            <v>21</v>
          </cell>
          <cell r="E205" t="str">
            <v>Homo sapiens</v>
          </cell>
          <cell r="F205" t="str">
            <v>Campylobacter jejuni</v>
          </cell>
          <cell r="G205" t="str">
            <v>exact</v>
          </cell>
          <cell r="H205" t="str">
            <v>CAMP0331(cmeB)_1</v>
          </cell>
          <cell r="I205" t="str">
            <v>CAMP0331(cmeB)</v>
          </cell>
          <cell r="J205">
            <v>1</v>
          </cell>
        </row>
        <row r="206">
          <cell r="A206" t="str">
            <v>SC0394</v>
          </cell>
          <cell r="B206" t="str">
            <v>SRR17900355</v>
          </cell>
          <cell r="C206">
            <v>53</v>
          </cell>
          <cell r="D206">
            <v>21</v>
          </cell>
          <cell r="E206" t="str">
            <v>Homo sapiens</v>
          </cell>
          <cell r="F206" t="str">
            <v>Campylobacter jejuni</v>
          </cell>
          <cell r="G206" t="str">
            <v>exact</v>
          </cell>
          <cell r="H206" t="str">
            <v>CAMP0331(cmeB)_604</v>
          </cell>
          <cell r="I206" t="str">
            <v>CAMP0331(cmeB)</v>
          </cell>
          <cell r="J206">
            <v>604</v>
          </cell>
        </row>
        <row r="207">
          <cell r="A207" t="str">
            <v>SC0393</v>
          </cell>
          <cell r="B207" t="str">
            <v>SRR17900356</v>
          </cell>
          <cell r="C207">
            <v>45</v>
          </cell>
          <cell r="D207">
            <v>45</v>
          </cell>
          <cell r="E207" t="str">
            <v>Homo sapiens</v>
          </cell>
          <cell r="F207" t="str">
            <v>Campylobacter jejuni</v>
          </cell>
          <cell r="G207" t="str">
            <v>exact</v>
          </cell>
          <cell r="H207" t="str">
            <v>CAMP0331(cmeB)_5</v>
          </cell>
          <cell r="I207" t="str">
            <v>CAMP0331(cmeB)</v>
          </cell>
          <cell r="J207">
            <v>5</v>
          </cell>
        </row>
        <row r="208">
          <cell r="A208" t="str">
            <v>SC0220</v>
          </cell>
          <cell r="B208" t="str">
            <v>SRR17900357</v>
          </cell>
          <cell r="C208">
            <v>520</v>
          </cell>
          <cell r="D208">
            <v>21</v>
          </cell>
          <cell r="E208" t="str">
            <v>Homo sapiens</v>
          </cell>
          <cell r="F208" t="str">
            <v>Campylobacter jejuni</v>
          </cell>
          <cell r="G208" t="str">
            <v>exact</v>
          </cell>
          <cell r="H208" t="str">
            <v>CAMP0331(cmeB)_604</v>
          </cell>
          <cell r="I208" t="str">
            <v>CAMP0331(cmeB)</v>
          </cell>
          <cell r="J208">
            <v>604</v>
          </cell>
        </row>
        <row r="209">
          <cell r="A209" t="str">
            <v>SC0392</v>
          </cell>
          <cell r="B209" t="str">
            <v>SRR17900358</v>
          </cell>
          <cell r="C209">
            <v>48</v>
          </cell>
          <cell r="D209">
            <v>48</v>
          </cell>
          <cell r="E209" t="str">
            <v>Homo sapiens</v>
          </cell>
          <cell r="F209" t="str">
            <v>Campylobacter jejuni</v>
          </cell>
          <cell r="G209" t="str">
            <v>exact</v>
          </cell>
          <cell r="H209" t="str">
            <v>CAMP0331(cmeB)_94</v>
          </cell>
          <cell r="I209" t="str">
            <v>CAMP0331(cmeB)</v>
          </cell>
          <cell r="J209">
            <v>94</v>
          </cell>
        </row>
        <row r="210">
          <cell r="A210" t="str">
            <v>SC0389</v>
          </cell>
          <cell r="B210" t="str">
            <v>SRR17900360</v>
          </cell>
          <cell r="C210">
            <v>6964</v>
          </cell>
          <cell r="D210">
            <v>354</v>
          </cell>
          <cell r="E210" t="str">
            <v>Gallus gallus</v>
          </cell>
          <cell r="F210" t="str">
            <v>Campylobacter jejuni</v>
          </cell>
          <cell r="G210" t="str">
            <v>exact</v>
          </cell>
          <cell r="H210" t="str">
            <v>CAMP0331(cmeB)_1451</v>
          </cell>
          <cell r="I210" t="str">
            <v>CAMP0331(cmeB)</v>
          </cell>
          <cell r="J210">
            <v>1451</v>
          </cell>
        </row>
        <row r="211">
          <cell r="A211" t="str">
            <v>SC0388</v>
          </cell>
          <cell r="B211" t="str">
            <v>SRR17900361</v>
          </cell>
          <cell r="C211">
            <v>1115</v>
          </cell>
          <cell r="D211">
            <v>0</v>
          </cell>
          <cell r="E211" t="str">
            <v>Ovis aries</v>
          </cell>
          <cell r="F211" t="str">
            <v>Campylobacter coli</v>
          </cell>
          <cell r="G211" t="str">
            <v>exact</v>
          </cell>
          <cell r="H211" t="str">
            <v>CAMP0331(cmeB)_490</v>
          </cell>
          <cell r="I211" t="str">
            <v>CAMP0331(cmeB)</v>
          </cell>
          <cell r="J211">
            <v>490</v>
          </cell>
        </row>
        <row r="212">
          <cell r="A212" t="str">
            <v>SC0387</v>
          </cell>
          <cell r="B212" t="str">
            <v>SRR17900362</v>
          </cell>
          <cell r="C212">
            <v>825</v>
          </cell>
          <cell r="D212">
            <v>828</v>
          </cell>
          <cell r="E212" t="str">
            <v>Ovis aries</v>
          </cell>
          <cell r="F212" t="str">
            <v>Campylobacter coli</v>
          </cell>
          <cell r="G212" t="str">
            <v>exact</v>
          </cell>
          <cell r="H212" t="str">
            <v>CAMP0331(cmeB)_253</v>
          </cell>
          <cell r="I212" t="str">
            <v>CAMP0331(cmeB)</v>
          </cell>
          <cell r="J212">
            <v>253</v>
          </cell>
        </row>
        <row r="213">
          <cell r="A213" t="str">
            <v>SC0233</v>
          </cell>
          <cell r="B213" t="str">
            <v>SRR17900363</v>
          </cell>
          <cell r="C213">
            <v>3610</v>
          </cell>
          <cell r="D213">
            <v>21</v>
          </cell>
          <cell r="E213" t="str">
            <v>Homo sapiens</v>
          </cell>
          <cell r="F213" t="str">
            <v>Campylobacter jejuni</v>
          </cell>
          <cell r="G213" t="str">
            <v>exact</v>
          </cell>
          <cell r="H213" t="str">
            <v>CAMP0331(cmeB)_604</v>
          </cell>
          <cell r="I213" t="str">
            <v>CAMP0331(cmeB)</v>
          </cell>
          <cell r="J213">
            <v>604</v>
          </cell>
        </row>
        <row r="214">
          <cell r="A214" t="str">
            <v>SC0232</v>
          </cell>
          <cell r="B214" t="str">
            <v>SRR17900364</v>
          </cell>
          <cell r="C214">
            <v>50</v>
          </cell>
          <cell r="D214">
            <v>21</v>
          </cell>
          <cell r="E214" t="str">
            <v>Homo sapiens</v>
          </cell>
          <cell r="F214" t="str">
            <v>Campylobacter jejuni</v>
          </cell>
          <cell r="G214" t="str">
            <v>exact</v>
          </cell>
          <cell r="H214" t="str">
            <v>CAMP0331(cmeB)_369</v>
          </cell>
          <cell r="I214" t="str">
            <v>CAMP0331(cmeB)</v>
          </cell>
          <cell r="J214">
            <v>369</v>
          </cell>
        </row>
        <row r="215">
          <cell r="A215" t="str">
            <v>SC0204</v>
          </cell>
          <cell r="B215" t="str">
            <v>SRR17900366</v>
          </cell>
          <cell r="C215">
            <v>3676</v>
          </cell>
          <cell r="D215">
            <v>42</v>
          </cell>
          <cell r="E215" t="str">
            <v>Bos taurus taurus</v>
          </cell>
          <cell r="F215" t="str">
            <v>Campylobacter jejuni</v>
          </cell>
          <cell r="G215" t="str">
            <v>exact</v>
          </cell>
          <cell r="H215" t="str">
            <v>CAMP0331(cmeB)_22</v>
          </cell>
          <cell r="I215" t="str">
            <v>CAMP0331(cmeB)</v>
          </cell>
          <cell r="J215">
            <v>22</v>
          </cell>
        </row>
        <row r="216">
          <cell r="A216" t="str">
            <v>SC0500</v>
          </cell>
          <cell r="B216" t="str">
            <v>SRR17900367</v>
          </cell>
          <cell r="C216">
            <v>6964</v>
          </cell>
          <cell r="D216">
            <v>354</v>
          </cell>
          <cell r="E216" t="str">
            <v>Gallus gallus</v>
          </cell>
          <cell r="F216" t="str">
            <v>Campylobacter jejuni</v>
          </cell>
          <cell r="G216" t="str">
            <v>exact</v>
          </cell>
          <cell r="H216" t="str">
            <v>CAMP0331(cmeB)_1451</v>
          </cell>
          <cell r="I216" t="str">
            <v>CAMP0331(cmeB)</v>
          </cell>
          <cell r="J216">
            <v>1451</v>
          </cell>
        </row>
        <row r="217">
          <cell r="A217" t="str">
            <v>SC0499</v>
          </cell>
          <cell r="B217" t="str">
            <v>SRR17900368</v>
          </cell>
          <cell r="C217">
            <v>6964</v>
          </cell>
          <cell r="D217">
            <v>354</v>
          </cell>
          <cell r="E217" t="str">
            <v>Gallus gallus</v>
          </cell>
          <cell r="F217" t="str">
            <v>Campylobacter jejuni</v>
          </cell>
          <cell r="G217" t="str">
            <v>exact</v>
          </cell>
          <cell r="H217" t="str">
            <v>CAMP0331(cmeB)_1451</v>
          </cell>
          <cell r="I217" t="str">
            <v>CAMP0331(cmeB)</v>
          </cell>
          <cell r="J217">
            <v>1451</v>
          </cell>
        </row>
        <row r="218">
          <cell r="A218" t="str">
            <v>SC0498</v>
          </cell>
          <cell r="B218" t="str">
            <v>SRR17900369</v>
          </cell>
          <cell r="C218">
            <v>6964</v>
          </cell>
          <cell r="D218">
            <v>354</v>
          </cell>
          <cell r="E218" t="str">
            <v>Gallus gallus</v>
          </cell>
          <cell r="F218" t="str">
            <v>Campylobacter jejuni</v>
          </cell>
          <cell r="G218" t="str">
            <v>exact</v>
          </cell>
          <cell r="H218" t="str">
            <v>CAMP0331(cmeB)_1451</v>
          </cell>
          <cell r="I218" t="str">
            <v>CAMP0331(cmeB)</v>
          </cell>
          <cell r="J218">
            <v>1451</v>
          </cell>
        </row>
        <row r="219">
          <cell r="A219" t="str">
            <v>SC0497</v>
          </cell>
          <cell r="B219" t="str">
            <v>SRR17900370</v>
          </cell>
          <cell r="C219">
            <v>48</v>
          </cell>
          <cell r="D219">
            <v>48</v>
          </cell>
          <cell r="E219" t="str">
            <v>Homo sapiens</v>
          </cell>
          <cell r="F219" t="str">
            <v>Campylobacter jejuni</v>
          </cell>
          <cell r="G219" t="str">
            <v>exact</v>
          </cell>
          <cell r="H219" t="str">
            <v>CAMP0331(cmeB)_94</v>
          </cell>
          <cell r="I219" t="str">
            <v>CAMP0331(cmeB)</v>
          </cell>
          <cell r="J219">
            <v>94</v>
          </cell>
        </row>
        <row r="220">
          <cell r="A220" t="str">
            <v>SC0495</v>
          </cell>
          <cell r="B220" t="str">
            <v>SRR17900372</v>
          </cell>
          <cell r="C220">
            <v>6964</v>
          </cell>
          <cell r="D220">
            <v>354</v>
          </cell>
          <cell r="E220" t="str">
            <v>Homo sapiens</v>
          </cell>
          <cell r="F220" t="str">
            <v>Campylobacter jejuni</v>
          </cell>
          <cell r="G220" t="str">
            <v>exact</v>
          </cell>
          <cell r="H220" t="str">
            <v>CAMP0331(cmeB)_1451</v>
          </cell>
          <cell r="I220" t="str">
            <v>CAMP0331(cmeB)</v>
          </cell>
          <cell r="J220">
            <v>1451</v>
          </cell>
        </row>
        <row r="221">
          <cell r="A221" t="str">
            <v>SC0230</v>
          </cell>
          <cell r="B221" t="str">
            <v>SRR17900374</v>
          </cell>
          <cell r="C221">
            <v>50</v>
          </cell>
          <cell r="D221">
            <v>21</v>
          </cell>
          <cell r="E221" t="str">
            <v>Homo sapiens</v>
          </cell>
          <cell r="F221" t="str">
            <v>Campylobacter jejuni</v>
          </cell>
          <cell r="G221" t="str">
            <v>exact</v>
          </cell>
          <cell r="H221" t="str">
            <v>CAMP0331(cmeB)_1</v>
          </cell>
          <cell r="I221" t="str">
            <v>CAMP0331(cmeB)</v>
          </cell>
          <cell r="J221">
            <v>1</v>
          </cell>
        </row>
        <row r="222">
          <cell r="A222" t="str">
            <v>SC0492</v>
          </cell>
          <cell r="B222" t="str">
            <v>SRR17900376</v>
          </cell>
          <cell r="C222">
            <v>45</v>
          </cell>
          <cell r="D222">
            <v>45</v>
          </cell>
          <cell r="E222" t="str">
            <v>Homo sapiens</v>
          </cell>
          <cell r="F222" t="str">
            <v>Campylobacter jejuni</v>
          </cell>
          <cell r="G222" t="str">
            <v>exact</v>
          </cell>
          <cell r="H222" t="str">
            <v>CAMP0331(cmeB)_3616</v>
          </cell>
          <cell r="I222" t="str">
            <v>CAMP0331(cmeB)</v>
          </cell>
          <cell r="J222">
            <v>3616</v>
          </cell>
        </row>
        <row r="223">
          <cell r="A223" t="str">
            <v>SC0491</v>
          </cell>
          <cell r="B223" t="str">
            <v>SRR17900377</v>
          </cell>
          <cell r="C223">
            <v>48</v>
          </cell>
          <cell r="D223">
            <v>48</v>
          </cell>
          <cell r="E223" t="str">
            <v>Homo sapiens</v>
          </cell>
          <cell r="F223" t="str">
            <v>Campylobacter jejuni</v>
          </cell>
          <cell r="G223" t="str">
            <v>exact</v>
          </cell>
          <cell r="H223" t="str">
            <v>CAMP0331(cmeB)_94</v>
          </cell>
          <cell r="I223" t="str">
            <v>CAMP0331(cmeB)</v>
          </cell>
          <cell r="J223">
            <v>94</v>
          </cell>
        </row>
        <row r="224">
          <cell r="A224" t="str">
            <v>SC0490</v>
          </cell>
          <cell r="B224" t="str">
            <v>SRR17900378</v>
          </cell>
          <cell r="C224">
            <v>190</v>
          </cell>
          <cell r="D224">
            <v>21</v>
          </cell>
          <cell r="E224" t="str">
            <v>Homo sapiens</v>
          </cell>
          <cell r="F224" t="str">
            <v>Campylobacter jejuni</v>
          </cell>
          <cell r="G224" t="str">
            <v>exact</v>
          </cell>
          <cell r="H224" t="str">
            <v>CAMP0331(cmeB)_604</v>
          </cell>
          <cell r="I224" t="str">
            <v>CAMP0331(cmeB)</v>
          </cell>
          <cell r="J224">
            <v>604</v>
          </cell>
        </row>
        <row r="225">
          <cell r="A225" t="str">
            <v>SC0488</v>
          </cell>
          <cell r="B225" t="str">
            <v>SRR17900379</v>
          </cell>
          <cell r="C225">
            <v>48</v>
          </cell>
          <cell r="D225">
            <v>48</v>
          </cell>
          <cell r="E225" t="str">
            <v>Homo sapiens</v>
          </cell>
          <cell r="F225" t="str">
            <v>Campylobacter jejuni</v>
          </cell>
          <cell r="G225" t="str">
            <v>exact</v>
          </cell>
          <cell r="H225" t="str">
            <v>CAMP0331(cmeB)_94</v>
          </cell>
          <cell r="I225" t="str">
            <v>CAMP0331(cmeB)</v>
          </cell>
          <cell r="J225">
            <v>94</v>
          </cell>
        </row>
        <row r="226">
          <cell r="A226" t="str">
            <v>SC0487</v>
          </cell>
          <cell r="B226" t="str">
            <v>SRR17900380</v>
          </cell>
          <cell r="C226">
            <v>474</v>
          </cell>
          <cell r="D226">
            <v>48</v>
          </cell>
          <cell r="E226" t="str">
            <v>Homo sapiens</v>
          </cell>
          <cell r="F226" t="str">
            <v>Campylobacter jejuni</v>
          </cell>
          <cell r="G226" t="str">
            <v>exact</v>
          </cell>
          <cell r="H226" t="str">
            <v>CAMP0331(cmeB)_1</v>
          </cell>
          <cell r="I226" t="str">
            <v>CAMP0331(cmeB)</v>
          </cell>
          <cell r="J226">
            <v>1</v>
          </cell>
        </row>
        <row r="227">
          <cell r="A227" t="str">
            <v>SC0485</v>
          </cell>
          <cell r="B227" t="str">
            <v>SRR17900382</v>
          </cell>
          <cell r="C227">
            <v>0</v>
          </cell>
          <cell r="D227">
            <v>0</v>
          </cell>
          <cell r="E227" t="str">
            <v>Ovis aries</v>
          </cell>
          <cell r="F227" t="str">
            <v>Campylobacter coli</v>
          </cell>
          <cell r="G227" t="str">
            <v>exact</v>
          </cell>
          <cell r="H227" t="str">
            <v>CAMP0331(cmeB)_490</v>
          </cell>
          <cell r="I227" t="str">
            <v>CAMP0331(cmeB)</v>
          </cell>
          <cell r="J227">
            <v>490</v>
          </cell>
        </row>
        <row r="228">
          <cell r="A228" t="str">
            <v>SC0483</v>
          </cell>
          <cell r="B228" t="str">
            <v>SRR17900384</v>
          </cell>
          <cell r="C228">
            <v>825</v>
          </cell>
          <cell r="D228">
            <v>828</v>
          </cell>
          <cell r="E228" t="str">
            <v>Ovis aries</v>
          </cell>
          <cell r="F228" t="str">
            <v>Campylobacter coli</v>
          </cell>
          <cell r="G228" t="str">
            <v>exact</v>
          </cell>
          <cell r="H228" t="str">
            <v>CAMP0331(cmeB)_253</v>
          </cell>
          <cell r="I228" t="str">
            <v>CAMP0331(cmeB)</v>
          </cell>
          <cell r="J228">
            <v>253</v>
          </cell>
        </row>
        <row r="229">
          <cell r="A229" t="str">
            <v>SC0229</v>
          </cell>
          <cell r="B229" t="str">
            <v>SRR17900385</v>
          </cell>
          <cell r="C229">
            <v>0</v>
          </cell>
          <cell r="D229">
            <v>0</v>
          </cell>
          <cell r="E229" t="str">
            <v>Homo sapiens</v>
          </cell>
          <cell r="F229" t="str">
            <v>Campylobacter jejuni</v>
          </cell>
          <cell r="G229" t="str">
            <v>exact</v>
          </cell>
          <cell r="H229" t="str">
            <v>CAMP0331(cmeB)_582</v>
          </cell>
          <cell r="I229" t="str">
            <v>CAMP0331(cmeB)</v>
          </cell>
          <cell r="J229">
            <v>582</v>
          </cell>
        </row>
        <row r="230">
          <cell r="A230" t="str">
            <v>SC0482</v>
          </cell>
          <cell r="B230" t="str">
            <v>SRR17900386</v>
          </cell>
          <cell r="C230">
            <v>42</v>
          </cell>
          <cell r="D230">
            <v>42</v>
          </cell>
          <cell r="E230" t="str">
            <v>Ovis aries</v>
          </cell>
          <cell r="F230" t="str">
            <v>Campylobacter jejuni</v>
          </cell>
          <cell r="G230" t="str">
            <v>exact</v>
          </cell>
          <cell r="H230" t="str">
            <v>CAMP0331(cmeB)_22</v>
          </cell>
          <cell r="I230" t="str">
            <v>CAMP0331(cmeB)</v>
          </cell>
          <cell r="J230">
            <v>22</v>
          </cell>
        </row>
        <row r="231">
          <cell r="A231" t="str">
            <v>SC0481</v>
          </cell>
          <cell r="B231" t="str">
            <v>SRR17900387</v>
          </cell>
          <cell r="C231">
            <v>3222</v>
          </cell>
          <cell r="D231">
            <v>0</v>
          </cell>
          <cell r="E231" t="str">
            <v>Ovis aries</v>
          </cell>
          <cell r="F231" t="str">
            <v>Campylobacter coli</v>
          </cell>
          <cell r="G231" t="str">
            <v>exact</v>
          </cell>
          <cell r="H231" t="str">
            <v>CAMP0331(cmeB)_1205</v>
          </cell>
          <cell r="I231" t="str">
            <v>CAMP0331(cmeB)</v>
          </cell>
          <cell r="J231">
            <v>1205</v>
          </cell>
        </row>
        <row r="232">
          <cell r="A232" t="str">
            <v>SC0480</v>
          </cell>
          <cell r="B232" t="str">
            <v>SRR17900388</v>
          </cell>
          <cell r="C232">
            <v>436</v>
          </cell>
          <cell r="D232">
            <v>0</v>
          </cell>
          <cell r="E232" t="str">
            <v>Ovis aries</v>
          </cell>
          <cell r="F232" t="str">
            <v>Campylobacter jejuni</v>
          </cell>
          <cell r="G232" t="str">
            <v>exact</v>
          </cell>
          <cell r="H232" t="str">
            <v>CAMP0331(cmeB)_252</v>
          </cell>
          <cell r="I232" t="str">
            <v>CAMP0331(cmeB)</v>
          </cell>
          <cell r="J232">
            <v>252</v>
          </cell>
        </row>
        <row r="233">
          <cell r="A233" t="str">
            <v>SC0479</v>
          </cell>
          <cell r="B233" t="str">
            <v>SRR17900389</v>
          </cell>
          <cell r="C233">
            <v>190</v>
          </cell>
          <cell r="D233">
            <v>21</v>
          </cell>
          <cell r="E233" t="str">
            <v>Ovis aries</v>
          </cell>
          <cell r="F233" t="str">
            <v>Campylobacter jejuni</v>
          </cell>
          <cell r="G233" t="str">
            <v>exact</v>
          </cell>
          <cell r="H233" t="str">
            <v>CAMP0331(cmeB)_604</v>
          </cell>
          <cell r="I233" t="str">
            <v>CAMP0331(cmeB)</v>
          </cell>
          <cell r="J233">
            <v>604</v>
          </cell>
        </row>
        <row r="234">
          <cell r="A234" t="str">
            <v>SC0478</v>
          </cell>
          <cell r="B234" t="str">
            <v>SRR17900390</v>
          </cell>
          <cell r="C234">
            <v>3072</v>
          </cell>
          <cell r="D234">
            <v>828</v>
          </cell>
          <cell r="E234" t="str">
            <v>Ovis aries</v>
          </cell>
          <cell r="F234" t="str">
            <v>Campylobacter coli</v>
          </cell>
          <cell r="G234" t="str">
            <v>exact</v>
          </cell>
          <cell r="H234" t="str">
            <v>CAMP0331(cmeB)_1205</v>
          </cell>
          <cell r="I234" t="str">
            <v>CAMP0331(cmeB)</v>
          </cell>
          <cell r="J234">
            <v>1205</v>
          </cell>
        </row>
        <row r="235">
          <cell r="A235" t="str">
            <v>SC0474</v>
          </cell>
          <cell r="B235" t="str">
            <v>SRR17900394</v>
          </cell>
          <cell r="C235">
            <v>422</v>
          </cell>
          <cell r="D235">
            <v>21</v>
          </cell>
          <cell r="E235" t="str">
            <v>Gallus gallus</v>
          </cell>
          <cell r="F235" t="str">
            <v>Campylobacter jejuni</v>
          </cell>
          <cell r="G235" t="str">
            <v>exact</v>
          </cell>
          <cell r="H235" t="str">
            <v>CAMP0331(cmeB)_604</v>
          </cell>
          <cell r="I235" t="str">
            <v>CAMP0331(cmeB)</v>
          </cell>
          <cell r="J235">
            <v>604</v>
          </cell>
        </row>
        <row r="236">
          <cell r="A236" t="str">
            <v>SC0443</v>
          </cell>
          <cell r="B236" t="str">
            <v>SRR17900396</v>
          </cell>
          <cell r="C236">
            <v>992</v>
          </cell>
          <cell r="D236">
            <v>0</v>
          </cell>
          <cell r="E236" t="str">
            <v>Bos taurus taurus</v>
          </cell>
          <cell r="F236" t="str">
            <v>Campylobacter jejuni</v>
          </cell>
          <cell r="G236" t="str">
            <v>exact</v>
          </cell>
          <cell r="H236" t="str">
            <v>CAMP0331(cmeB)_758</v>
          </cell>
          <cell r="I236" t="str">
            <v>CAMP0331(cmeB)</v>
          </cell>
          <cell r="J236">
            <v>758</v>
          </cell>
        </row>
        <row r="237">
          <cell r="A237" t="str">
            <v>SC0225</v>
          </cell>
          <cell r="B237" t="str">
            <v>SRR17900397</v>
          </cell>
          <cell r="C237">
            <v>48</v>
          </cell>
          <cell r="D237">
            <v>48</v>
          </cell>
          <cell r="E237" t="str">
            <v>Gallus gallus</v>
          </cell>
          <cell r="F237" t="str">
            <v>Campylobacter jejuni</v>
          </cell>
          <cell r="G237" t="str">
            <v>exact</v>
          </cell>
          <cell r="H237" t="str">
            <v>CAMP0331(cmeB)_94</v>
          </cell>
          <cell r="I237" t="str">
            <v>CAMP0331(cmeB)</v>
          </cell>
          <cell r="J237">
            <v>94</v>
          </cell>
        </row>
        <row r="238">
          <cell r="A238" t="str">
            <v>SC0442</v>
          </cell>
          <cell r="B238" t="str">
            <v>SRR17900398</v>
          </cell>
          <cell r="C238">
            <v>696</v>
          </cell>
          <cell r="D238">
            <v>1332</v>
          </cell>
          <cell r="E238" t="str">
            <v>Bos taurus taurus</v>
          </cell>
          <cell r="F238" t="str">
            <v>Campylobacter jejuni</v>
          </cell>
          <cell r="G238" t="str">
            <v>exact</v>
          </cell>
          <cell r="H238" t="str">
            <v>CAMP0331(cmeB)_560</v>
          </cell>
          <cell r="I238" t="str">
            <v>CAMP0331(cmeB)</v>
          </cell>
          <cell r="J238">
            <v>560</v>
          </cell>
        </row>
        <row r="239">
          <cell r="A239" t="str">
            <v>SC0441</v>
          </cell>
          <cell r="B239" t="str">
            <v>SRR17900399</v>
          </cell>
          <cell r="C239">
            <v>583</v>
          </cell>
          <cell r="D239">
            <v>45</v>
          </cell>
          <cell r="E239" t="str">
            <v>Bos taurus taurus</v>
          </cell>
          <cell r="F239" t="str">
            <v>Campylobacter jejuni</v>
          </cell>
          <cell r="G239" t="str">
            <v>exact</v>
          </cell>
          <cell r="H239" t="str">
            <v>CAMP0331(cmeB)_24</v>
          </cell>
          <cell r="I239" t="str">
            <v>CAMP0331(cmeB)</v>
          </cell>
          <cell r="J239">
            <v>24</v>
          </cell>
        </row>
        <row r="240">
          <cell r="A240" t="str">
            <v>SC0440</v>
          </cell>
          <cell r="B240" t="str">
            <v>SRR17900400</v>
          </cell>
          <cell r="C240">
            <v>61</v>
          </cell>
          <cell r="D240">
            <v>61</v>
          </cell>
          <cell r="E240" t="str">
            <v>Bos taurus taurus</v>
          </cell>
          <cell r="F240" t="str">
            <v>Campylobacter jejuni</v>
          </cell>
          <cell r="G240" t="str">
            <v>exact</v>
          </cell>
          <cell r="H240" t="str">
            <v>CAMP0331(cmeB)_14</v>
          </cell>
          <cell r="I240" t="str">
            <v>CAMP0331(cmeB)</v>
          </cell>
          <cell r="J240">
            <v>14</v>
          </cell>
        </row>
        <row r="241">
          <cell r="A241" t="str">
            <v>SC0439</v>
          </cell>
          <cell r="B241" t="str">
            <v>SRR17900401</v>
          </cell>
          <cell r="C241">
            <v>53</v>
          </cell>
          <cell r="D241">
            <v>21</v>
          </cell>
          <cell r="E241" t="str">
            <v>Bos taurus taurus</v>
          </cell>
          <cell r="F241" t="str">
            <v>Campylobacter jejuni</v>
          </cell>
          <cell r="G241" t="str">
            <v>exact</v>
          </cell>
          <cell r="H241" t="str">
            <v>CAMP0331(cmeB)_604</v>
          </cell>
          <cell r="I241" t="str">
            <v>CAMP0331(cmeB)</v>
          </cell>
          <cell r="J241">
            <v>604</v>
          </cell>
        </row>
        <row r="242">
          <cell r="A242" t="str">
            <v>SC0438</v>
          </cell>
          <cell r="B242" t="str">
            <v>SRR17900402</v>
          </cell>
          <cell r="C242">
            <v>3222</v>
          </cell>
          <cell r="D242">
            <v>0</v>
          </cell>
          <cell r="E242" t="str">
            <v>Bos taurus taurus</v>
          </cell>
          <cell r="F242" t="str">
            <v>Campylobacter coli</v>
          </cell>
          <cell r="G242" t="str">
            <v>exact</v>
          </cell>
          <cell r="H242" t="str">
            <v>CAMP0331(cmeB)_1205</v>
          </cell>
          <cell r="I242" t="str">
            <v>CAMP0331(cmeB)</v>
          </cell>
          <cell r="J242">
            <v>1205</v>
          </cell>
        </row>
        <row r="243">
          <cell r="A243" t="str">
            <v>SC0437</v>
          </cell>
          <cell r="B243" t="str">
            <v>SRR17900403</v>
          </cell>
          <cell r="C243">
            <v>42</v>
          </cell>
          <cell r="D243">
            <v>42</v>
          </cell>
          <cell r="E243" t="str">
            <v>Bos taurus taurus</v>
          </cell>
          <cell r="F243" t="str">
            <v>Campylobacter jejuni</v>
          </cell>
          <cell r="G243" t="str">
            <v>exact</v>
          </cell>
          <cell r="H243" t="str">
            <v>CAMP0331(cmeB)_22</v>
          </cell>
          <cell r="I243" t="str">
            <v>CAMP0331(cmeB)</v>
          </cell>
          <cell r="J243">
            <v>22</v>
          </cell>
        </row>
        <row r="244">
          <cell r="A244" t="str">
            <v>SC0436</v>
          </cell>
          <cell r="B244" t="str">
            <v>SRR17900404</v>
          </cell>
          <cell r="C244">
            <v>42</v>
          </cell>
          <cell r="D244">
            <v>42</v>
          </cell>
          <cell r="E244" t="str">
            <v>Bos taurus taurus</v>
          </cell>
          <cell r="F244" t="str">
            <v>Campylobacter jejuni</v>
          </cell>
          <cell r="G244" t="str">
            <v>exact</v>
          </cell>
          <cell r="H244" t="str">
            <v>CAMP0331(cmeB)_22</v>
          </cell>
          <cell r="I244" t="str">
            <v>CAMP0331(cmeB)</v>
          </cell>
          <cell r="J244">
            <v>22</v>
          </cell>
        </row>
        <row r="245">
          <cell r="A245" t="str">
            <v>SC0435</v>
          </cell>
          <cell r="B245" t="str">
            <v>SRR17900405</v>
          </cell>
          <cell r="C245">
            <v>3222</v>
          </cell>
          <cell r="D245">
            <v>0</v>
          </cell>
          <cell r="E245" t="str">
            <v>Bos taurus taurus</v>
          </cell>
          <cell r="F245" t="str">
            <v>Campylobacter coli</v>
          </cell>
          <cell r="G245" t="str">
            <v>exact</v>
          </cell>
          <cell r="H245" t="str">
            <v>CAMP0331(cmeB)_1205</v>
          </cell>
          <cell r="I245" t="str">
            <v>CAMP0331(cmeB)</v>
          </cell>
          <cell r="J245">
            <v>1205</v>
          </cell>
        </row>
        <row r="246">
          <cell r="A246" t="str">
            <v>SC0434</v>
          </cell>
          <cell r="B246" t="str">
            <v>SRR17900406</v>
          </cell>
          <cell r="C246">
            <v>48</v>
          </cell>
          <cell r="D246">
            <v>48</v>
          </cell>
          <cell r="E246" t="str">
            <v>Gallus gallus</v>
          </cell>
          <cell r="F246" t="str">
            <v>Campylobacter jejuni</v>
          </cell>
          <cell r="G246" t="str">
            <v>exact</v>
          </cell>
          <cell r="H246" t="str">
            <v>CAMP0331(cmeB)_94</v>
          </cell>
          <cell r="I246" t="str">
            <v>CAMP0331(cmeB)</v>
          </cell>
          <cell r="J246">
            <v>94</v>
          </cell>
        </row>
        <row r="247">
          <cell r="A247" t="str">
            <v>SC0433</v>
          </cell>
          <cell r="B247" t="str">
            <v>SRR17900407</v>
          </cell>
          <cell r="C247">
            <v>53</v>
          </cell>
          <cell r="D247">
            <v>21</v>
          </cell>
          <cell r="E247" t="str">
            <v>Gallus gallus</v>
          </cell>
          <cell r="F247" t="str">
            <v>Campylobacter jejuni</v>
          </cell>
          <cell r="G247" t="str">
            <v>exact</v>
          </cell>
          <cell r="H247" t="str">
            <v>CAMP0331(cmeB)_604</v>
          </cell>
          <cell r="I247" t="str">
            <v>CAMP0331(cmeB)</v>
          </cell>
          <cell r="J247">
            <v>604</v>
          </cell>
        </row>
        <row r="248">
          <cell r="A248" t="str">
            <v>SC0224</v>
          </cell>
          <cell r="B248" t="str">
            <v>SRR17900408</v>
          </cell>
          <cell r="C248">
            <v>45</v>
          </cell>
          <cell r="D248">
            <v>45</v>
          </cell>
          <cell r="E248" t="str">
            <v>Gallus gallus</v>
          </cell>
          <cell r="F248" t="str">
            <v>Campylobacter jejuni</v>
          </cell>
          <cell r="G248" t="str">
            <v>exact</v>
          </cell>
          <cell r="H248" t="str">
            <v>CAMP0331(cmeB)_5</v>
          </cell>
          <cell r="I248" t="str">
            <v>CAMP0331(cmeB)</v>
          </cell>
          <cell r="J248">
            <v>5</v>
          </cell>
        </row>
        <row r="249">
          <cell r="A249" t="str">
            <v>SC0432</v>
          </cell>
          <cell r="B249" t="str">
            <v>SRR17900409</v>
          </cell>
          <cell r="C249">
            <v>1517</v>
          </cell>
          <cell r="D249">
            <v>354</v>
          </cell>
          <cell r="E249" t="str">
            <v>Homo sapiens</v>
          </cell>
          <cell r="F249" t="str">
            <v>Campylobacter jejuni</v>
          </cell>
          <cell r="G249" t="str">
            <v>exact</v>
          </cell>
          <cell r="H249" t="str">
            <v>CAMP0331(cmeB)_233</v>
          </cell>
          <cell r="I249" t="str">
            <v>CAMP0331(cmeB)</v>
          </cell>
          <cell r="J249">
            <v>233</v>
          </cell>
        </row>
        <row r="250">
          <cell r="A250" t="str">
            <v>SC0431</v>
          </cell>
          <cell r="B250" t="str">
            <v>SRR17900410</v>
          </cell>
          <cell r="C250">
            <v>50</v>
          </cell>
          <cell r="D250">
            <v>21</v>
          </cell>
          <cell r="E250" t="str">
            <v>Homo sapiens</v>
          </cell>
          <cell r="F250" t="str">
            <v>Campylobacter jejuni</v>
          </cell>
          <cell r="G250" t="str">
            <v>exact</v>
          </cell>
          <cell r="H250" t="str">
            <v>CAMP0331(cmeB)_1087</v>
          </cell>
          <cell r="I250" t="str">
            <v>CAMP0331(cmeB)</v>
          </cell>
          <cell r="J250">
            <v>1087</v>
          </cell>
        </row>
        <row r="251">
          <cell r="A251" t="str">
            <v>SC0430</v>
          </cell>
          <cell r="B251" t="str">
            <v>SRR17900411</v>
          </cell>
          <cell r="C251">
            <v>2535</v>
          </cell>
          <cell r="D251">
            <v>0</v>
          </cell>
          <cell r="E251" t="str">
            <v>Homo sapiens</v>
          </cell>
          <cell r="F251" t="str">
            <v>Campylobacter jejuni</v>
          </cell>
          <cell r="G251" t="str">
            <v>exact</v>
          </cell>
          <cell r="H251" t="str">
            <v>CAMP0331(cmeB)_1667</v>
          </cell>
          <cell r="I251" t="str">
            <v>CAMP0331(cmeB)</v>
          </cell>
          <cell r="J251">
            <v>1667</v>
          </cell>
        </row>
        <row r="252">
          <cell r="A252" t="str">
            <v>SC0428</v>
          </cell>
          <cell r="B252" t="str">
            <v>SRR17900413</v>
          </cell>
          <cell r="C252">
            <v>474</v>
          </cell>
          <cell r="D252">
            <v>48</v>
          </cell>
          <cell r="E252" t="str">
            <v>Homo sapiens</v>
          </cell>
          <cell r="F252" t="str">
            <v>Campylobacter jejuni</v>
          </cell>
          <cell r="G252" t="str">
            <v>exact</v>
          </cell>
          <cell r="H252" t="str">
            <v>CAMP0331(cmeB)_1</v>
          </cell>
          <cell r="I252" t="str">
            <v>CAMP0331(cmeB)</v>
          </cell>
          <cell r="J252">
            <v>1</v>
          </cell>
        </row>
        <row r="253">
          <cell r="A253" t="str">
            <v>SC0427</v>
          </cell>
          <cell r="B253" t="str">
            <v>SRR17900414</v>
          </cell>
          <cell r="C253">
            <v>2535</v>
          </cell>
          <cell r="D253">
            <v>0</v>
          </cell>
          <cell r="E253" t="str">
            <v>Homo sapiens</v>
          </cell>
          <cell r="F253" t="str">
            <v>Campylobacter jejuni</v>
          </cell>
          <cell r="G253" t="str">
            <v>exact</v>
          </cell>
          <cell r="H253" t="str">
            <v>CAMP0331(cmeB)_1667</v>
          </cell>
          <cell r="I253" t="str">
            <v>CAMP0331(cmeB)</v>
          </cell>
          <cell r="J253">
            <v>1667</v>
          </cell>
        </row>
        <row r="254">
          <cell r="A254" t="str">
            <v>SC0426</v>
          </cell>
          <cell r="B254" t="str">
            <v>SRR17900415</v>
          </cell>
          <cell r="C254">
            <v>474</v>
          </cell>
          <cell r="D254">
            <v>48</v>
          </cell>
          <cell r="E254" t="str">
            <v>Homo sapiens</v>
          </cell>
          <cell r="F254" t="str">
            <v>Campylobacter jejuni</v>
          </cell>
          <cell r="G254" t="str">
            <v>exact</v>
          </cell>
          <cell r="H254" t="str">
            <v>CAMP0331(cmeB)_1</v>
          </cell>
          <cell r="I254" t="str">
            <v>CAMP0331(cmeB)</v>
          </cell>
          <cell r="J254">
            <v>1</v>
          </cell>
        </row>
        <row r="255">
          <cell r="A255" t="str">
            <v>SC0425</v>
          </cell>
          <cell r="B255" t="str">
            <v>SRR17900416</v>
          </cell>
          <cell r="C255">
            <v>190</v>
          </cell>
          <cell r="D255">
            <v>21</v>
          </cell>
          <cell r="E255" t="str">
            <v>Homo sapiens</v>
          </cell>
          <cell r="F255" t="str">
            <v>Campylobacter jejuni</v>
          </cell>
          <cell r="G255" t="str">
            <v>exact</v>
          </cell>
          <cell r="H255" t="str">
            <v>CAMP0331(cmeB)_630</v>
          </cell>
          <cell r="I255" t="str">
            <v>CAMP0331(cmeB)</v>
          </cell>
          <cell r="J255">
            <v>630</v>
          </cell>
        </row>
        <row r="256">
          <cell r="A256" t="str">
            <v>SC0424</v>
          </cell>
          <cell r="B256" t="str">
            <v>SRR17900417</v>
          </cell>
          <cell r="C256">
            <v>42</v>
          </cell>
          <cell r="D256">
            <v>42</v>
          </cell>
          <cell r="E256" t="str">
            <v>Homo sapiens</v>
          </cell>
          <cell r="F256" t="str">
            <v>Campylobacter jejuni</v>
          </cell>
          <cell r="G256" t="str">
            <v>exact</v>
          </cell>
          <cell r="H256" t="str">
            <v>CAMP0331(cmeB)_22</v>
          </cell>
          <cell r="I256" t="str">
            <v>CAMP0331(cmeB)</v>
          </cell>
          <cell r="J256">
            <v>22</v>
          </cell>
        </row>
        <row r="257">
          <cell r="A257" t="str">
            <v>SC0423</v>
          </cell>
          <cell r="B257" t="str">
            <v>SRR17900418</v>
          </cell>
          <cell r="C257">
            <v>53</v>
          </cell>
          <cell r="D257">
            <v>21</v>
          </cell>
          <cell r="E257" t="str">
            <v>Homo sapiens</v>
          </cell>
          <cell r="F257" t="str">
            <v>Campylobacter jejuni</v>
          </cell>
          <cell r="G257" t="str">
            <v>exact</v>
          </cell>
          <cell r="H257" t="str">
            <v>CAMP0331(cmeB)_604</v>
          </cell>
          <cell r="I257" t="str">
            <v>CAMP0331(cmeB)</v>
          </cell>
          <cell r="J257">
            <v>604</v>
          </cell>
        </row>
        <row r="258">
          <cell r="A258" t="str">
            <v>SC0223</v>
          </cell>
          <cell r="B258" t="str">
            <v>SRR17900419</v>
          </cell>
          <cell r="C258">
            <v>50</v>
          </cell>
          <cell r="D258">
            <v>21</v>
          </cell>
          <cell r="E258" t="str">
            <v>Gallus gallus</v>
          </cell>
          <cell r="F258" t="str">
            <v>Campylobacter jejuni</v>
          </cell>
          <cell r="G258" t="str">
            <v>exact</v>
          </cell>
          <cell r="H258" t="str">
            <v>CAMP0331(cmeB)_1</v>
          </cell>
          <cell r="I258" t="str">
            <v>CAMP0331(cmeB)</v>
          </cell>
          <cell r="J258">
            <v>1</v>
          </cell>
        </row>
        <row r="259">
          <cell r="A259" t="str">
            <v>SC0422</v>
          </cell>
          <cell r="B259" t="str">
            <v>SRR17900420</v>
          </cell>
          <cell r="C259">
            <v>50</v>
          </cell>
          <cell r="D259">
            <v>21</v>
          </cell>
          <cell r="E259" t="str">
            <v>Homo sapiens</v>
          </cell>
          <cell r="F259" t="str">
            <v>Campylobacter jejuni</v>
          </cell>
          <cell r="G259" t="str">
            <v>exact</v>
          </cell>
          <cell r="H259" t="str">
            <v>CAMP0331(cmeB)_637</v>
          </cell>
          <cell r="I259" t="str">
            <v>CAMP0331(cmeB)</v>
          </cell>
          <cell r="J259">
            <v>637</v>
          </cell>
        </row>
        <row r="260">
          <cell r="A260" t="str">
            <v>SC0421</v>
          </cell>
          <cell r="B260" t="str">
            <v>SRR17900421</v>
          </cell>
          <cell r="C260">
            <v>48</v>
          </cell>
          <cell r="D260">
            <v>48</v>
          </cell>
          <cell r="E260" t="str">
            <v>Homo sapiens</v>
          </cell>
          <cell r="F260" t="str">
            <v>Campylobacter jejuni</v>
          </cell>
          <cell r="G260" t="str">
            <v>exact</v>
          </cell>
          <cell r="H260" t="str">
            <v>CAMP0331(cmeB)_94</v>
          </cell>
          <cell r="I260" t="str">
            <v>CAMP0331(cmeB)</v>
          </cell>
          <cell r="J260">
            <v>94</v>
          </cell>
        </row>
        <row r="261">
          <cell r="A261" t="str">
            <v>SC0420</v>
          </cell>
          <cell r="B261" t="str">
            <v>SRR17900422</v>
          </cell>
          <cell r="C261">
            <v>6964</v>
          </cell>
          <cell r="D261">
            <v>354</v>
          </cell>
          <cell r="E261" t="str">
            <v>Homo sapiens</v>
          </cell>
          <cell r="F261" t="str">
            <v>Campylobacter jejuni</v>
          </cell>
          <cell r="G261" t="str">
            <v>exact</v>
          </cell>
          <cell r="H261" t="str">
            <v>CAMP0331(cmeB)_1451</v>
          </cell>
          <cell r="I261" t="str">
            <v>CAMP0331(cmeB)</v>
          </cell>
          <cell r="J261">
            <v>1451</v>
          </cell>
        </row>
        <row r="262">
          <cell r="A262" t="str">
            <v>SC0419</v>
          </cell>
          <cell r="B262" t="str">
            <v>SRR17900423</v>
          </cell>
          <cell r="C262">
            <v>3630</v>
          </cell>
          <cell r="D262">
            <v>0</v>
          </cell>
          <cell r="E262" t="str">
            <v>Homo sapiens</v>
          </cell>
          <cell r="F262" t="str">
            <v>Campylobacter jejuni</v>
          </cell>
          <cell r="G262" t="str">
            <v>exact</v>
          </cell>
          <cell r="H262" t="str">
            <v>CAMP0331(cmeB)_588</v>
          </cell>
          <cell r="I262" t="str">
            <v>CAMP0331(cmeB)</v>
          </cell>
          <cell r="J262">
            <v>588</v>
          </cell>
        </row>
        <row r="263">
          <cell r="A263" t="str">
            <v>SC0418</v>
          </cell>
          <cell r="B263" t="str">
            <v>SRR17900424</v>
          </cell>
          <cell r="C263">
            <v>113</v>
          </cell>
          <cell r="D263">
            <v>460</v>
          </cell>
          <cell r="E263" t="str">
            <v>Homo sapiens</v>
          </cell>
          <cell r="F263" t="str">
            <v>Campylobacter jejuni</v>
          </cell>
          <cell r="G263" t="str">
            <v>exact</v>
          </cell>
          <cell r="H263" t="str">
            <v>CAMP0331(cmeB)_3627</v>
          </cell>
          <cell r="I263" t="str">
            <v>CAMP0331(cmeB)</v>
          </cell>
          <cell r="J263">
            <v>3627</v>
          </cell>
        </row>
        <row r="264">
          <cell r="A264" t="str">
            <v>SC0417</v>
          </cell>
          <cell r="B264" t="str">
            <v>SRR17900425</v>
          </cell>
          <cell r="C264">
            <v>48</v>
          </cell>
          <cell r="D264">
            <v>48</v>
          </cell>
          <cell r="E264" t="str">
            <v>Homo sapiens</v>
          </cell>
          <cell r="F264" t="str">
            <v>Campylobacter jejuni</v>
          </cell>
          <cell r="G264" t="str">
            <v>exact</v>
          </cell>
          <cell r="H264" t="str">
            <v>CAMP0331(cmeB)_94</v>
          </cell>
          <cell r="I264" t="str">
            <v>CAMP0331(cmeB)</v>
          </cell>
          <cell r="J264">
            <v>94</v>
          </cell>
        </row>
        <row r="265">
          <cell r="A265" t="str">
            <v>SC0416</v>
          </cell>
          <cell r="B265" t="str">
            <v>SRR17900426</v>
          </cell>
          <cell r="C265">
            <v>2116</v>
          </cell>
          <cell r="D265">
            <v>353</v>
          </cell>
          <cell r="E265" t="str">
            <v>Homo sapiens</v>
          </cell>
          <cell r="F265" t="str">
            <v>Campylobacter jejuni</v>
          </cell>
          <cell r="G265" t="str">
            <v>exact</v>
          </cell>
          <cell r="H265" t="str">
            <v>CAMP0331(cmeB)_57</v>
          </cell>
          <cell r="I265" t="str">
            <v>CAMP0331(cmeB)</v>
          </cell>
          <cell r="J265">
            <v>57</v>
          </cell>
        </row>
        <row r="266">
          <cell r="A266" t="str">
            <v>SC0385</v>
          </cell>
          <cell r="B266" t="str">
            <v>SRR17900428</v>
          </cell>
          <cell r="C266">
            <v>3072</v>
          </cell>
          <cell r="D266">
            <v>828</v>
          </cell>
          <cell r="E266" t="str">
            <v>Ovis aries</v>
          </cell>
          <cell r="F266" t="str">
            <v>Campylobacter coli</v>
          </cell>
          <cell r="G266" t="str">
            <v>exact</v>
          </cell>
          <cell r="H266" t="str">
            <v>CAMP0331(cmeB)_1205</v>
          </cell>
          <cell r="I266" t="str">
            <v>CAMP0331(cmeB)</v>
          </cell>
          <cell r="J266">
            <v>1205</v>
          </cell>
        </row>
        <row r="267">
          <cell r="A267" t="str">
            <v>SC0384</v>
          </cell>
          <cell r="B267" t="str">
            <v>SRR17900429</v>
          </cell>
          <cell r="C267">
            <v>825</v>
          </cell>
          <cell r="D267">
            <v>828</v>
          </cell>
          <cell r="E267" t="str">
            <v>Ovis aries</v>
          </cell>
          <cell r="F267" t="str">
            <v>Campylobacter coli</v>
          </cell>
          <cell r="G267" t="str">
            <v>exact</v>
          </cell>
          <cell r="H267" t="str">
            <v>CAMP0331(cmeB)_253</v>
          </cell>
          <cell r="I267" t="str">
            <v>CAMP0331(cmeB)</v>
          </cell>
          <cell r="J267">
            <v>253</v>
          </cell>
        </row>
        <row r="268">
          <cell r="A268" t="str">
            <v>SC0383</v>
          </cell>
          <cell r="B268" t="str">
            <v>SRR17900430</v>
          </cell>
          <cell r="C268">
            <v>474</v>
          </cell>
          <cell r="D268">
            <v>48</v>
          </cell>
          <cell r="E268" t="str">
            <v>Ovis aries</v>
          </cell>
          <cell r="F268" t="str">
            <v>Campylobacter jejuni</v>
          </cell>
          <cell r="G268" t="str">
            <v>exact</v>
          </cell>
          <cell r="H268" t="str">
            <v>CAMP0331(cmeB)_1</v>
          </cell>
          <cell r="I268" t="str">
            <v>CAMP0331(cmeB)</v>
          </cell>
          <cell r="J268">
            <v>1</v>
          </cell>
        </row>
        <row r="269">
          <cell r="A269" t="str">
            <v>SC0382</v>
          </cell>
          <cell r="B269" t="str">
            <v>SRR17900431</v>
          </cell>
          <cell r="C269">
            <v>42</v>
          </cell>
          <cell r="D269">
            <v>42</v>
          </cell>
          <cell r="E269" t="str">
            <v>Ovis aries</v>
          </cell>
          <cell r="F269" t="str">
            <v>Campylobacter jejuni</v>
          </cell>
          <cell r="G269" t="str">
            <v>exact</v>
          </cell>
          <cell r="H269" t="str">
            <v>CAMP0331(cmeB)_22</v>
          </cell>
          <cell r="I269" t="str">
            <v>CAMP0331(cmeB)</v>
          </cell>
          <cell r="J269">
            <v>22</v>
          </cell>
        </row>
        <row r="270">
          <cell r="A270" t="str">
            <v>SC0219</v>
          </cell>
          <cell r="B270" t="str">
            <v>SRR17900432</v>
          </cell>
          <cell r="C270">
            <v>38</v>
          </cell>
          <cell r="D270">
            <v>48</v>
          </cell>
          <cell r="E270" t="str">
            <v>Homo sapiens</v>
          </cell>
          <cell r="F270" t="str">
            <v>Campylobacter jejuni</v>
          </cell>
          <cell r="G270" t="str">
            <v>exact</v>
          </cell>
          <cell r="H270" t="str">
            <v>CAMP0331(cmeB)_14</v>
          </cell>
          <cell r="I270" t="str">
            <v>CAMP0331(cmeB)</v>
          </cell>
          <cell r="J270">
            <v>14</v>
          </cell>
        </row>
        <row r="271">
          <cell r="A271" t="str">
            <v>SC0381</v>
          </cell>
          <cell r="B271" t="str">
            <v>SRR17900433</v>
          </cell>
          <cell r="C271">
            <v>474</v>
          </cell>
          <cell r="D271">
            <v>48</v>
          </cell>
          <cell r="E271" t="str">
            <v>Ovis aries</v>
          </cell>
          <cell r="F271" t="str">
            <v>Campylobacter jejuni</v>
          </cell>
          <cell r="G271" t="str">
            <v>exact</v>
          </cell>
          <cell r="H271" t="str">
            <v>CAMP0331(cmeB)_1</v>
          </cell>
          <cell r="I271" t="str">
            <v>CAMP0331(cmeB)</v>
          </cell>
          <cell r="J271">
            <v>1</v>
          </cell>
        </row>
        <row r="272">
          <cell r="A272" t="str">
            <v>SC0380</v>
          </cell>
          <cell r="B272" t="str">
            <v>SRR17900434</v>
          </cell>
          <cell r="C272">
            <v>257</v>
          </cell>
          <cell r="D272">
            <v>257</v>
          </cell>
          <cell r="E272" t="str">
            <v>Ovis aries</v>
          </cell>
          <cell r="F272" t="str">
            <v>Campylobacter jejuni</v>
          </cell>
          <cell r="G272" t="str">
            <v>exact</v>
          </cell>
          <cell r="H272" t="str">
            <v>CAMP0331(cmeB)_51</v>
          </cell>
          <cell r="I272" t="str">
            <v>CAMP0331(cmeB)</v>
          </cell>
          <cell r="J272">
            <v>51</v>
          </cell>
        </row>
        <row r="273">
          <cell r="A273" t="str">
            <v>SC0379</v>
          </cell>
          <cell r="B273" t="str">
            <v>SRR17900435</v>
          </cell>
          <cell r="C273">
            <v>50</v>
          </cell>
          <cell r="D273">
            <v>21</v>
          </cell>
          <cell r="E273" t="str">
            <v>Ovis aries</v>
          </cell>
          <cell r="F273" t="str">
            <v>Campylobacter jejuni</v>
          </cell>
          <cell r="G273" t="str">
            <v>exact</v>
          </cell>
          <cell r="H273" t="str">
            <v>CAMP0331(cmeB)_604</v>
          </cell>
          <cell r="I273" t="str">
            <v>CAMP0331(cmeB)</v>
          </cell>
          <cell r="J273">
            <v>604</v>
          </cell>
        </row>
        <row r="274">
          <cell r="A274" t="str">
            <v>SC0378</v>
          </cell>
          <cell r="B274" t="str">
            <v>SRR17900436</v>
          </cell>
          <cell r="C274">
            <v>42</v>
          </cell>
          <cell r="D274">
            <v>42</v>
          </cell>
          <cell r="E274" t="str">
            <v>Ovis aries</v>
          </cell>
          <cell r="F274" t="str">
            <v>Campylobacter jejuni</v>
          </cell>
          <cell r="G274" t="str">
            <v>exact</v>
          </cell>
          <cell r="H274" t="str">
            <v>CAMP0331(cmeB)_22</v>
          </cell>
          <cell r="I274" t="str">
            <v>CAMP0331(cmeB)</v>
          </cell>
          <cell r="J274">
            <v>22</v>
          </cell>
        </row>
        <row r="275">
          <cell r="A275" t="str">
            <v>SC0376</v>
          </cell>
          <cell r="B275" t="str">
            <v>SRR17900438</v>
          </cell>
          <cell r="C275">
            <v>4337</v>
          </cell>
          <cell r="D275">
            <v>21</v>
          </cell>
          <cell r="E275" t="str">
            <v>Ovis aries</v>
          </cell>
          <cell r="F275" t="str">
            <v>Campylobacter jejuni</v>
          </cell>
          <cell r="G275" t="str">
            <v>exact</v>
          </cell>
          <cell r="H275" t="str">
            <v>CAMP0331(cmeB)_604</v>
          </cell>
          <cell r="I275" t="str">
            <v>CAMP0331(cmeB)</v>
          </cell>
          <cell r="J275">
            <v>604</v>
          </cell>
        </row>
        <row r="276">
          <cell r="A276" t="str">
            <v>SC0375</v>
          </cell>
          <cell r="B276" t="str">
            <v>SRR17900439</v>
          </cell>
          <cell r="C276">
            <v>1517</v>
          </cell>
          <cell r="D276">
            <v>354</v>
          </cell>
          <cell r="E276" t="str">
            <v>Ovis aries</v>
          </cell>
          <cell r="F276" t="str">
            <v>Campylobacter jejuni</v>
          </cell>
          <cell r="G276" t="str">
            <v>exact</v>
          </cell>
          <cell r="H276" t="str">
            <v>CAMP0331(cmeB)_233</v>
          </cell>
          <cell r="I276" t="str">
            <v>CAMP0331(cmeB)</v>
          </cell>
          <cell r="J276">
            <v>233</v>
          </cell>
        </row>
        <row r="277">
          <cell r="A277" t="str">
            <v>SC0374</v>
          </cell>
          <cell r="B277" t="str">
            <v>SRR17900440</v>
          </cell>
          <cell r="C277">
            <v>4337</v>
          </cell>
          <cell r="D277">
            <v>21</v>
          </cell>
          <cell r="E277" t="str">
            <v>Ovis aries</v>
          </cell>
          <cell r="F277" t="str">
            <v>Campylobacter jejuni</v>
          </cell>
          <cell r="G277" t="str">
            <v>exact</v>
          </cell>
          <cell r="H277" t="str">
            <v>CAMP0331(cmeB)_604</v>
          </cell>
          <cell r="I277" t="str">
            <v>CAMP0331(cmeB)</v>
          </cell>
          <cell r="J277">
            <v>604</v>
          </cell>
        </row>
        <row r="278">
          <cell r="A278" t="str">
            <v>SC0373</v>
          </cell>
          <cell r="B278" t="str">
            <v>SRR17900441</v>
          </cell>
          <cell r="C278">
            <v>6964</v>
          </cell>
          <cell r="D278">
            <v>354</v>
          </cell>
          <cell r="E278" t="str">
            <v>Homo sapiens</v>
          </cell>
          <cell r="F278" t="str">
            <v>Campylobacter jejuni</v>
          </cell>
          <cell r="G278" t="str">
            <v>exact</v>
          </cell>
          <cell r="H278" t="str">
            <v>CAMP0331(cmeB)_1451</v>
          </cell>
          <cell r="I278" t="str">
            <v>CAMP0331(cmeB)</v>
          </cell>
          <cell r="J278">
            <v>1451</v>
          </cell>
        </row>
        <row r="279">
          <cell r="A279" t="str">
            <v>SC0372</v>
          </cell>
          <cell r="B279" t="str">
            <v>SRR17900442</v>
          </cell>
          <cell r="C279">
            <v>6964</v>
          </cell>
          <cell r="D279">
            <v>354</v>
          </cell>
          <cell r="E279" t="str">
            <v>Homo sapiens</v>
          </cell>
          <cell r="F279" t="str">
            <v>Campylobacter jejuni</v>
          </cell>
          <cell r="G279" t="str">
            <v>exact</v>
          </cell>
          <cell r="H279" t="str">
            <v>CAMP0331(cmeB)_1451</v>
          </cell>
          <cell r="I279" t="str">
            <v>CAMP0331(cmeB)</v>
          </cell>
          <cell r="J279">
            <v>1451</v>
          </cell>
        </row>
        <row r="280">
          <cell r="A280" t="str">
            <v>SC0218</v>
          </cell>
          <cell r="B280" t="str">
            <v>SRR17900443</v>
          </cell>
          <cell r="C280">
            <v>2345</v>
          </cell>
          <cell r="D280">
            <v>206</v>
          </cell>
          <cell r="E280" t="str">
            <v>Homo sapiens</v>
          </cell>
          <cell r="F280" t="str">
            <v>Campylobacter jejuni</v>
          </cell>
          <cell r="G280" t="str">
            <v>exact</v>
          </cell>
          <cell r="H280" t="str">
            <v>CAMP0331(cmeB)_158</v>
          </cell>
          <cell r="I280" t="str">
            <v>CAMP0331(cmeB)</v>
          </cell>
          <cell r="J280">
            <v>158</v>
          </cell>
        </row>
        <row r="281">
          <cell r="A281" t="str">
            <v>SC0371</v>
          </cell>
          <cell r="B281" t="str">
            <v>SRR17900444</v>
          </cell>
          <cell r="C281">
            <v>4337</v>
          </cell>
          <cell r="D281">
            <v>21</v>
          </cell>
          <cell r="E281" t="str">
            <v>Homo sapiens</v>
          </cell>
          <cell r="F281" t="str">
            <v>Campylobacter jejuni</v>
          </cell>
          <cell r="G281" t="str">
            <v>exact</v>
          </cell>
          <cell r="H281" t="str">
            <v>CAMP0331(cmeB)_604</v>
          </cell>
          <cell r="I281" t="str">
            <v>CAMP0331(cmeB)</v>
          </cell>
          <cell r="J281">
            <v>604</v>
          </cell>
        </row>
        <row r="282">
          <cell r="A282" t="str">
            <v>SC0370</v>
          </cell>
          <cell r="B282" t="str">
            <v>SRR17900445</v>
          </cell>
          <cell r="C282">
            <v>6964</v>
          </cell>
          <cell r="D282">
            <v>354</v>
          </cell>
          <cell r="E282" t="str">
            <v>Homo sapiens</v>
          </cell>
          <cell r="F282" t="str">
            <v>Campylobacter jejuni</v>
          </cell>
          <cell r="G282" t="str">
            <v>exact</v>
          </cell>
          <cell r="H282" t="str">
            <v>CAMP0331(cmeB)_1451</v>
          </cell>
          <cell r="I282" t="str">
            <v>CAMP0331(cmeB)</v>
          </cell>
          <cell r="J282">
            <v>1451</v>
          </cell>
        </row>
        <row r="283">
          <cell r="A283" t="str">
            <v>SC0369</v>
          </cell>
          <cell r="B283" t="str">
            <v>SRR17900446</v>
          </cell>
          <cell r="C283">
            <v>50</v>
          </cell>
          <cell r="D283">
            <v>21</v>
          </cell>
          <cell r="E283" t="str">
            <v>Homo sapiens</v>
          </cell>
          <cell r="F283" t="str">
            <v>Campylobacter jejuni</v>
          </cell>
          <cell r="G283" t="str">
            <v>exact</v>
          </cell>
          <cell r="H283" t="str">
            <v>CAMP0331(cmeB)_637</v>
          </cell>
          <cell r="I283" t="str">
            <v>CAMP0331(cmeB)</v>
          </cell>
          <cell r="J283">
            <v>637</v>
          </cell>
        </row>
        <row r="284">
          <cell r="A284" t="str">
            <v>SC0368</v>
          </cell>
          <cell r="B284" t="str">
            <v>SRR17900447</v>
          </cell>
          <cell r="C284">
            <v>53</v>
          </cell>
          <cell r="D284">
            <v>21</v>
          </cell>
          <cell r="E284" t="str">
            <v>Homo sapiens</v>
          </cell>
          <cell r="F284" t="str">
            <v>Campylobacter jejuni</v>
          </cell>
          <cell r="G284" t="str">
            <v>exact</v>
          </cell>
          <cell r="H284" t="str">
            <v>CAMP0331(cmeB)_604</v>
          </cell>
          <cell r="I284" t="str">
            <v>CAMP0331(cmeB)</v>
          </cell>
          <cell r="J284">
            <v>604</v>
          </cell>
        </row>
        <row r="285">
          <cell r="A285" t="str">
            <v>SC0367</v>
          </cell>
          <cell r="B285" t="str">
            <v>SRR17900448</v>
          </cell>
          <cell r="C285">
            <v>3676</v>
          </cell>
          <cell r="D285">
            <v>42</v>
          </cell>
          <cell r="E285" t="str">
            <v>Homo sapiens</v>
          </cell>
          <cell r="F285" t="str">
            <v>Campylobacter jejuni</v>
          </cell>
          <cell r="G285" t="str">
            <v>exact</v>
          </cell>
          <cell r="H285" t="str">
            <v>CAMP0331(cmeB)_22</v>
          </cell>
          <cell r="I285" t="str">
            <v>CAMP0331(cmeB)</v>
          </cell>
          <cell r="J285">
            <v>22</v>
          </cell>
        </row>
        <row r="286">
          <cell r="A286" t="str">
            <v>SC0366</v>
          </cell>
          <cell r="B286" t="str">
            <v>SRR17900449</v>
          </cell>
          <cell r="C286">
            <v>2026</v>
          </cell>
          <cell r="D286">
            <v>403</v>
          </cell>
          <cell r="E286" t="str">
            <v>Homo sapiens</v>
          </cell>
          <cell r="F286" t="str">
            <v>Campylobacter jejuni</v>
          </cell>
          <cell r="G286" t="str">
            <v>exact</v>
          </cell>
          <cell r="H286" t="str">
            <v>CAMP0331(cmeB)_54</v>
          </cell>
          <cell r="I286" t="str">
            <v>CAMP0331(cmeB)</v>
          </cell>
          <cell r="J286">
            <v>54</v>
          </cell>
        </row>
        <row r="287">
          <cell r="A287" t="str">
            <v>SC0365</v>
          </cell>
          <cell r="B287" t="str">
            <v>SRR17900450</v>
          </cell>
          <cell r="C287">
            <v>48</v>
          </cell>
          <cell r="D287">
            <v>48</v>
          </cell>
          <cell r="E287" t="str">
            <v>Homo sapiens</v>
          </cell>
          <cell r="F287" t="str">
            <v>Campylobacter jejuni</v>
          </cell>
          <cell r="G287" t="str">
            <v>exact</v>
          </cell>
          <cell r="H287" t="str">
            <v>CAMP0331(cmeB)_94</v>
          </cell>
          <cell r="I287" t="str">
            <v>CAMP0331(cmeB)</v>
          </cell>
          <cell r="J287">
            <v>94</v>
          </cell>
        </row>
        <row r="288">
          <cell r="A288" t="str">
            <v>SC0364</v>
          </cell>
          <cell r="B288" t="str">
            <v>SRR17900451</v>
          </cell>
          <cell r="C288">
            <v>227</v>
          </cell>
          <cell r="D288">
            <v>206</v>
          </cell>
          <cell r="E288" t="str">
            <v>Homo sapiens</v>
          </cell>
          <cell r="F288" t="str">
            <v>Campylobacter jejuni</v>
          </cell>
          <cell r="G288" t="str">
            <v>exact</v>
          </cell>
          <cell r="H288" t="str">
            <v>CAMP0331(cmeB)_1</v>
          </cell>
          <cell r="I288" t="str">
            <v>CAMP0331(cmeB)</v>
          </cell>
          <cell r="J288">
            <v>1</v>
          </cell>
        </row>
        <row r="289">
          <cell r="A289" t="str">
            <v>SC0363</v>
          </cell>
          <cell r="B289" t="str">
            <v>SRR17900452</v>
          </cell>
          <cell r="C289">
            <v>45</v>
          </cell>
          <cell r="D289">
            <v>45</v>
          </cell>
          <cell r="E289" t="str">
            <v>Homo sapiens</v>
          </cell>
          <cell r="F289" t="str">
            <v>Campylobacter jejuni</v>
          </cell>
          <cell r="G289" t="str">
            <v>exact</v>
          </cell>
          <cell r="H289" t="str">
            <v>CAMP0331(cmeB)_3616</v>
          </cell>
          <cell r="I289" t="str">
            <v>CAMP0331(cmeB)</v>
          </cell>
          <cell r="J289">
            <v>3616</v>
          </cell>
        </row>
        <row r="290">
          <cell r="A290" t="str">
            <v>SC0362</v>
          </cell>
          <cell r="B290" t="str">
            <v>SRR17900453</v>
          </cell>
          <cell r="C290">
            <v>50</v>
          </cell>
          <cell r="D290">
            <v>21</v>
          </cell>
          <cell r="E290" t="str">
            <v>Homo sapiens</v>
          </cell>
          <cell r="F290" t="str">
            <v>Campylobacter jejuni</v>
          </cell>
          <cell r="G290" t="str">
            <v>exact</v>
          </cell>
          <cell r="H290" t="str">
            <v>CAMP0331(cmeB)_604</v>
          </cell>
          <cell r="I290" t="str">
            <v>CAMP0331(cmeB)</v>
          </cell>
          <cell r="J290">
            <v>604</v>
          </cell>
        </row>
        <row r="291">
          <cell r="A291" t="str">
            <v>SC0217</v>
          </cell>
          <cell r="B291" t="str">
            <v>SRR17900454</v>
          </cell>
          <cell r="C291">
            <v>520</v>
          </cell>
          <cell r="D291">
            <v>21</v>
          </cell>
          <cell r="E291" t="str">
            <v>Homo sapiens</v>
          </cell>
          <cell r="F291" t="str">
            <v>Campylobacter jejuni</v>
          </cell>
          <cell r="G291" t="str">
            <v>exact</v>
          </cell>
          <cell r="H291" t="str">
            <v>CAMP0331(cmeB)_604</v>
          </cell>
          <cell r="I291" t="str">
            <v>CAMP0331(cmeB)</v>
          </cell>
          <cell r="J291">
            <v>604</v>
          </cell>
        </row>
        <row r="292">
          <cell r="A292" t="str">
            <v>SC0361</v>
          </cell>
          <cell r="B292" t="str">
            <v>SRR17900455</v>
          </cell>
          <cell r="C292">
            <v>827</v>
          </cell>
          <cell r="D292">
            <v>828</v>
          </cell>
          <cell r="E292" t="str">
            <v>Homo sapiens</v>
          </cell>
          <cell r="F292" t="str">
            <v>Campylobacter coli</v>
          </cell>
          <cell r="G292" t="str">
            <v>exact</v>
          </cell>
          <cell r="H292" t="str">
            <v>CAMP0331(cmeB)_56</v>
          </cell>
          <cell r="I292" t="str">
            <v>CAMP0331(cmeB)</v>
          </cell>
          <cell r="J292">
            <v>56</v>
          </cell>
        </row>
        <row r="293">
          <cell r="A293" t="str">
            <v>SC0360</v>
          </cell>
          <cell r="B293" t="str">
            <v>SRR17900456</v>
          </cell>
          <cell r="C293">
            <v>48</v>
          </cell>
          <cell r="D293">
            <v>48</v>
          </cell>
          <cell r="E293" t="str">
            <v>Homo sapiens</v>
          </cell>
          <cell r="F293" t="str">
            <v>Campylobacter jejuni</v>
          </cell>
          <cell r="G293" t="str">
            <v>exact</v>
          </cell>
          <cell r="H293" t="str">
            <v>CAMP0331(cmeB)_94</v>
          </cell>
          <cell r="I293" t="str">
            <v>CAMP0331(cmeB)</v>
          </cell>
          <cell r="J293">
            <v>94</v>
          </cell>
        </row>
        <row r="294">
          <cell r="A294" t="str">
            <v>SC0359</v>
          </cell>
          <cell r="B294" t="str">
            <v>SRR17900457</v>
          </cell>
          <cell r="C294">
            <v>6964</v>
          </cell>
          <cell r="D294">
            <v>354</v>
          </cell>
          <cell r="E294" t="str">
            <v>Homo sapiens</v>
          </cell>
          <cell r="F294" t="str">
            <v>Campylobacter jejuni</v>
          </cell>
          <cell r="G294" t="str">
            <v>exact</v>
          </cell>
          <cell r="H294" t="str">
            <v>CAMP0331(cmeB)_1451</v>
          </cell>
          <cell r="I294" t="str">
            <v>CAMP0331(cmeB)</v>
          </cell>
          <cell r="J294">
            <v>1451</v>
          </cell>
        </row>
        <row r="295">
          <cell r="A295" t="str">
            <v>SC0358</v>
          </cell>
          <cell r="B295" t="str">
            <v>SRR17900458</v>
          </cell>
          <cell r="C295">
            <v>6964</v>
          </cell>
          <cell r="D295">
            <v>354</v>
          </cell>
          <cell r="E295" t="str">
            <v>Homo sapiens</v>
          </cell>
          <cell r="F295" t="str">
            <v>Campylobacter jejuni</v>
          </cell>
          <cell r="G295" t="str">
            <v>exact</v>
          </cell>
          <cell r="H295" t="str">
            <v>CAMP0331(cmeB)_1451</v>
          </cell>
          <cell r="I295" t="str">
            <v>CAMP0331(cmeB)</v>
          </cell>
          <cell r="J295">
            <v>1451</v>
          </cell>
        </row>
        <row r="296">
          <cell r="A296" t="str">
            <v>SC0357</v>
          </cell>
          <cell r="B296" t="str">
            <v>SRR17900459</v>
          </cell>
          <cell r="C296">
            <v>22</v>
          </cell>
          <cell r="D296">
            <v>22</v>
          </cell>
          <cell r="E296" t="str">
            <v>Homo sapiens</v>
          </cell>
          <cell r="F296" t="str">
            <v>Campylobacter jejuni</v>
          </cell>
          <cell r="G296" t="str">
            <v>exact</v>
          </cell>
          <cell r="H296" t="str">
            <v>CAMP0331(cmeB)_47</v>
          </cell>
          <cell r="I296" t="str">
            <v>CAMP0331(cmeB)</v>
          </cell>
          <cell r="J296">
            <v>47</v>
          </cell>
        </row>
        <row r="297">
          <cell r="A297" t="str">
            <v>SC0356</v>
          </cell>
          <cell r="B297" t="str">
            <v>SRR17900460</v>
          </cell>
          <cell r="C297">
            <v>227</v>
          </cell>
          <cell r="D297">
            <v>206</v>
          </cell>
          <cell r="E297" t="str">
            <v>Homo sapiens</v>
          </cell>
          <cell r="F297" t="str">
            <v>Campylobacter jejuni</v>
          </cell>
          <cell r="G297" t="str">
            <v>exact</v>
          </cell>
          <cell r="H297" t="str">
            <v>CAMP0331(cmeB)_1</v>
          </cell>
          <cell r="I297" t="str">
            <v>CAMP0331(cmeB)</v>
          </cell>
          <cell r="J297">
            <v>1</v>
          </cell>
        </row>
        <row r="298">
          <cell r="A298" t="str">
            <v>SC0355</v>
          </cell>
          <cell r="B298" t="str">
            <v>SRR17900461</v>
          </cell>
          <cell r="C298">
            <v>6964</v>
          </cell>
          <cell r="D298">
            <v>354</v>
          </cell>
          <cell r="E298" t="str">
            <v>Homo sapiens</v>
          </cell>
          <cell r="F298" t="str">
            <v>Campylobacter jejuni</v>
          </cell>
          <cell r="G298" t="str">
            <v>exact</v>
          </cell>
          <cell r="H298" t="str">
            <v>CAMP0331(cmeB)_1451</v>
          </cell>
          <cell r="I298" t="str">
            <v>CAMP0331(cmeB)</v>
          </cell>
          <cell r="J298">
            <v>1451</v>
          </cell>
        </row>
        <row r="299">
          <cell r="A299" t="str">
            <v>SC0354</v>
          </cell>
          <cell r="B299" t="str">
            <v>SRR17900462</v>
          </cell>
          <cell r="C299">
            <v>22</v>
          </cell>
          <cell r="D299">
            <v>22</v>
          </cell>
          <cell r="E299" t="str">
            <v>Homo sapiens</v>
          </cell>
          <cell r="F299" t="str">
            <v>Campylobacter jejuni</v>
          </cell>
          <cell r="G299" t="str">
            <v>exact</v>
          </cell>
          <cell r="H299" t="str">
            <v>CAMP0331(cmeB)_47</v>
          </cell>
          <cell r="I299" t="str">
            <v>CAMP0331(cmeB)</v>
          </cell>
          <cell r="J299">
            <v>47</v>
          </cell>
        </row>
        <row r="300">
          <cell r="A300" t="str">
            <v>SC0353</v>
          </cell>
          <cell r="B300" t="str">
            <v>SRR17900463</v>
          </cell>
          <cell r="C300">
            <v>508</v>
          </cell>
          <cell r="D300">
            <v>508</v>
          </cell>
          <cell r="E300" t="str">
            <v>Homo sapiens</v>
          </cell>
          <cell r="F300" t="str">
            <v>Campylobacter jejuni</v>
          </cell>
          <cell r="G300" t="str">
            <v>exact</v>
          </cell>
          <cell r="H300" t="str">
            <v>CAMP0331(cmeB)_43</v>
          </cell>
          <cell r="I300" t="str">
            <v>CAMP0331(cmeB)</v>
          </cell>
          <cell r="J300">
            <v>43</v>
          </cell>
        </row>
        <row r="301">
          <cell r="A301" t="str">
            <v>SC0216</v>
          </cell>
          <cell r="B301" t="str">
            <v>SRR17900465</v>
          </cell>
          <cell r="C301">
            <v>474</v>
          </cell>
          <cell r="D301">
            <v>48</v>
          </cell>
          <cell r="E301" t="str">
            <v>Homo sapiens</v>
          </cell>
          <cell r="F301" t="str">
            <v>Campylobacter jejuni</v>
          </cell>
          <cell r="G301" t="str">
            <v>exact</v>
          </cell>
          <cell r="H301" t="str">
            <v>CAMP0331(cmeB)_1</v>
          </cell>
          <cell r="I301" t="str">
            <v>CAMP0331(cmeB)</v>
          </cell>
          <cell r="J301">
            <v>1</v>
          </cell>
        </row>
        <row r="302">
          <cell r="A302" t="str">
            <v>SC0351</v>
          </cell>
          <cell r="B302" t="str">
            <v>SRR17900466</v>
          </cell>
          <cell r="C302">
            <v>583</v>
          </cell>
          <cell r="D302">
            <v>45</v>
          </cell>
          <cell r="E302" t="str">
            <v>Gallus gallus</v>
          </cell>
          <cell r="F302" t="str">
            <v>Campylobacter jejuni</v>
          </cell>
          <cell r="G302" t="str">
            <v>exact</v>
          </cell>
          <cell r="H302" t="str">
            <v>CAMP0331(cmeB)_24</v>
          </cell>
          <cell r="I302" t="str">
            <v>CAMP0331(cmeB)</v>
          </cell>
          <cell r="J302">
            <v>24</v>
          </cell>
        </row>
        <row r="303">
          <cell r="A303" t="str">
            <v>SC0350</v>
          </cell>
          <cell r="B303" t="str">
            <v>SRR17900467</v>
          </cell>
          <cell r="C303">
            <v>6964</v>
          </cell>
          <cell r="D303">
            <v>354</v>
          </cell>
          <cell r="E303" t="str">
            <v>Gallus gallus</v>
          </cell>
          <cell r="F303" t="str">
            <v>Campylobacter jejuni</v>
          </cell>
          <cell r="G303" t="str">
            <v>exact</v>
          </cell>
          <cell r="H303" t="str">
            <v>CAMP0331(cmeB)_1451</v>
          </cell>
          <cell r="I303" t="str">
            <v>CAMP0331(cmeB)</v>
          </cell>
          <cell r="J303">
            <v>1451</v>
          </cell>
        </row>
        <row r="304">
          <cell r="A304" t="str">
            <v>SC0349</v>
          </cell>
          <cell r="B304" t="str">
            <v>SRR17900468</v>
          </cell>
          <cell r="C304">
            <v>6964</v>
          </cell>
          <cell r="D304">
            <v>354</v>
          </cell>
          <cell r="E304" t="str">
            <v>Gallus gallus</v>
          </cell>
          <cell r="F304" t="str">
            <v>Campylobacter jejuni</v>
          </cell>
          <cell r="G304" t="str">
            <v>exact</v>
          </cell>
          <cell r="H304" t="str">
            <v>CAMP0331(cmeB)_1451</v>
          </cell>
          <cell r="I304" t="str">
            <v>CAMP0331(cmeB)</v>
          </cell>
          <cell r="J304">
            <v>1451</v>
          </cell>
        </row>
        <row r="305">
          <cell r="A305" t="str">
            <v>SC0348</v>
          </cell>
          <cell r="B305" t="str">
            <v>SRR17900469</v>
          </cell>
          <cell r="C305">
            <v>758</v>
          </cell>
          <cell r="D305">
            <v>42</v>
          </cell>
          <cell r="E305" t="str">
            <v>Bos taurus taurus</v>
          </cell>
          <cell r="F305" t="str">
            <v>Campylobacter jejuni</v>
          </cell>
          <cell r="G305" t="str">
            <v>exact</v>
          </cell>
          <cell r="H305" t="str">
            <v>CAMP0331(cmeB)_22</v>
          </cell>
          <cell r="I305" t="str">
            <v>CAMP0331(cmeB)</v>
          </cell>
          <cell r="J305">
            <v>22</v>
          </cell>
        </row>
        <row r="306">
          <cell r="A306" t="str">
            <v>SC0347</v>
          </cell>
          <cell r="B306" t="str">
            <v>SRR17900470</v>
          </cell>
          <cell r="C306">
            <v>50</v>
          </cell>
          <cell r="D306">
            <v>21</v>
          </cell>
          <cell r="E306" t="str">
            <v>Bos taurus taurus</v>
          </cell>
          <cell r="F306" t="str">
            <v>Campylobacter jejuni</v>
          </cell>
          <cell r="G306" t="str">
            <v>exact</v>
          </cell>
          <cell r="H306" t="str">
            <v>CAMP0331(cmeB)_1</v>
          </cell>
          <cell r="I306" t="str">
            <v>CAMP0331(cmeB)</v>
          </cell>
          <cell r="J306">
            <v>1</v>
          </cell>
        </row>
        <row r="307">
          <cell r="A307" t="str">
            <v>SC0345</v>
          </cell>
          <cell r="B307" t="str">
            <v>SRR17900472</v>
          </cell>
          <cell r="C307">
            <v>53</v>
          </cell>
          <cell r="D307">
            <v>21</v>
          </cell>
          <cell r="E307" t="str">
            <v>Bos taurus taurus</v>
          </cell>
          <cell r="F307" t="str">
            <v>Campylobacter jejuni</v>
          </cell>
          <cell r="G307" t="str">
            <v>exact</v>
          </cell>
          <cell r="H307" t="str">
            <v>CAMP0331(cmeB)_604</v>
          </cell>
          <cell r="I307" t="str">
            <v>CAMP0331(cmeB)</v>
          </cell>
          <cell r="J307">
            <v>604</v>
          </cell>
        </row>
        <row r="308">
          <cell r="A308" t="str">
            <v>SC0344</v>
          </cell>
          <cell r="B308" t="str">
            <v>SRR17900473</v>
          </cell>
          <cell r="C308">
            <v>4337</v>
          </cell>
          <cell r="D308">
            <v>21</v>
          </cell>
          <cell r="E308" t="str">
            <v>Bos taurus taurus</v>
          </cell>
          <cell r="F308" t="str">
            <v>Campylobacter jejuni</v>
          </cell>
          <cell r="G308" t="str">
            <v>exact</v>
          </cell>
          <cell r="H308" t="str">
            <v>CAMP0331(cmeB)_604</v>
          </cell>
          <cell r="I308" t="str">
            <v>CAMP0331(cmeB)</v>
          </cell>
          <cell r="J308">
            <v>604</v>
          </cell>
        </row>
        <row r="309">
          <cell r="A309" t="str">
            <v>SC0343</v>
          </cell>
          <cell r="B309" t="str">
            <v>SRR17900474</v>
          </cell>
          <cell r="C309">
            <v>4337</v>
          </cell>
          <cell r="D309">
            <v>21</v>
          </cell>
          <cell r="E309" t="str">
            <v>Bos taurus taurus</v>
          </cell>
          <cell r="F309" t="str">
            <v>Campylobacter jejuni</v>
          </cell>
          <cell r="G309" t="str">
            <v>exact</v>
          </cell>
          <cell r="H309" t="str">
            <v>CAMP0331(cmeB)_604</v>
          </cell>
          <cell r="I309" t="str">
            <v>CAMP0331(cmeB)</v>
          </cell>
          <cell r="J309">
            <v>604</v>
          </cell>
        </row>
        <row r="310">
          <cell r="A310" t="str">
            <v>SC0342</v>
          </cell>
          <cell r="B310" t="str">
            <v>SRR17900475</v>
          </cell>
          <cell r="C310">
            <v>38</v>
          </cell>
          <cell r="D310">
            <v>48</v>
          </cell>
          <cell r="E310" t="str">
            <v>Bos taurus taurus</v>
          </cell>
          <cell r="F310" t="str">
            <v>Campylobacter jejuni</v>
          </cell>
          <cell r="G310" t="str">
            <v>exact</v>
          </cell>
          <cell r="H310" t="str">
            <v>CAMP0331(cmeB)_14</v>
          </cell>
          <cell r="I310" t="str">
            <v>CAMP0331(cmeB)</v>
          </cell>
          <cell r="J310">
            <v>14</v>
          </cell>
        </row>
        <row r="311">
          <cell r="A311" t="str">
            <v>SC0215</v>
          </cell>
          <cell r="B311" t="str">
            <v>SRR17900476</v>
          </cell>
          <cell r="C311">
            <v>403</v>
          </cell>
          <cell r="D311">
            <v>403</v>
          </cell>
          <cell r="E311" t="str">
            <v>Homo sapiens</v>
          </cell>
          <cell r="F311" t="str">
            <v>Campylobacter jejuni</v>
          </cell>
          <cell r="G311" t="str">
            <v>exact</v>
          </cell>
          <cell r="H311" t="str">
            <v>CAMP0331(cmeB)_54</v>
          </cell>
          <cell r="I311" t="str">
            <v>CAMP0331(cmeB)</v>
          </cell>
          <cell r="J311">
            <v>54</v>
          </cell>
        </row>
        <row r="312">
          <cell r="A312" t="str">
            <v>SC0340</v>
          </cell>
          <cell r="B312" t="str">
            <v>SRR17900478</v>
          </cell>
          <cell r="C312">
            <v>53</v>
          </cell>
          <cell r="D312">
            <v>21</v>
          </cell>
          <cell r="E312" t="str">
            <v>Bos taurus taurus</v>
          </cell>
          <cell r="F312" t="str">
            <v>Campylobacter jejuni</v>
          </cell>
          <cell r="G312" t="str">
            <v>exact</v>
          </cell>
          <cell r="H312" t="str">
            <v>CAMP0331(cmeB)_604</v>
          </cell>
          <cell r="I312" t="str">
            <v>CAMP0331(cmeB)</v>
          </cell>
          <cell r="J312">
            <v>604</v>
          </cell>
        </row>
        <row r="313">
          <cell r="A313" t="str">
            <v>SC0339</v>
          </cell>
          <cell r="B313" t="str">
            <v>SRR17900479</v>
          </cell>
          <cell r="C313">
            <v>42</v>
          </cell>
          <cell r="D313">
            <v>42</v>
          </cell>
          <cell r="E313" t="str">
            <v>Bos taurus taurus</v>
          </cell>
          <cell r="F313" t="str">
            <v>Campylobacter jejuni</v>
          </cell>
          <cell r="G313" t="str">
            <v>exact</v>
          </cell>
          <cell r="H313" t="str">
            <v>CAMP0331(cmeB)_22</v>
          </cell>
          <cell r="I313" t="str">
            <v>CAMP0331(cmeB)</v>
          </cell>
          <cell r="J313">
            <v>22</v>
          </cell>
        </row>
        <row r="314">
          <cell r="A314" t="str">
            <v>SC0338</v>
          </cell>
          <cell r="B314" t="str">
            <v>SRR17900480</v>
          </cell>
          <cell r="C314">
            <v>45</v>
          </cell>
          <cell r="D314">
            <v>45</v>
          </cell>
          <cell r="E314" t="str">
            <v>Bos taurus taurus</v>
          </cell>
          <cell r="F314" t="str">
            <v>Campylobacter jejuni</v>
          </cell>
          <cell r="G314" t="str">
            <v>exact</v>
          </cell>
          <cell r="H314" t="str">
            <v>CAMP0331(cmeB)_3616</v>
          </cell>
          <cell r="I314" t="str">
            <v>CAMP0331(cmeB)</v>
          </cell>
          <cell r="J314">
            <v>3616</v>
          </cell>
        </row>
        <row r="315">
          <cell r="A315" t="str">
            <v>SC0337</v>
          </cell>
          <cell r="B315" t="str">
            <v>SRR17900481</v>
          </cell>
          <cell r="C315">
            <v>1517</v>
          </cell>
          <cell r="D315">
            <v>354</v>
          </cell>
          <cell r="E315" t="str">
            <v>Bos taurus taurus</v>
          </cell>
          <cell r="F315" t="str">
            <v>Campylobacter jejuni</v>
          </cell>
          <cell r="G315" t="str">
            <v>exact</v>
          </cell>
          <cell r="H315" t="str">
            <v>CAMP0331(cmeB)_233</v>
          </cell>
          <cell r="I315" t="str">
            <v>CAMP0331(cmeB)</v>
          </cell>
          <cell r="J315">
            <v>233</v>
          </cell>
        </row>
        <row r="316">
          <cell r="A316" t="str">
            <v>SC0336</v>
          </cell>
          <cell r="B316" t="str">
            <v>SRR17900482</v>
          </cell>
          <cell r="C316">
            <v>42</v>
          </cell>
          <cell r="D316">
            <v>42</v>
          </cell>
          <cell r="E316" t="str">
            <v>Bos taurus taurus</v>
          </cell>
          <cell r="F316" t="str">
            <v>Campylobacter jejuni</v>
          </cell>
          <cell r="G316" t="str">
            <v>exact</v>
          </cell>
          <cell r="H316" t="str">
            <v>CAMP0331(cmeB)_22</v>
          </cell>
          <cell r="I316" t="str">
            <v>CAMP0331(cmeB)</v>
          </cell>
          <cell r="J316">
            <v>22</v>
          </cell>
        </row>
        <row r="317">
          <cell r="A317" t="str">
            <v>SC0335</v>
          </cell>
          <cell r="B317" t="str">
            <v>SRR17900483</v>
          </cell>
          <cell r="C317">
            <v>21</v>
          </cell>
          <cell r="D317">
            <v>21</v>
          </cell>
          <cell r="E317" t="str">
            <v>Bos taurus taurus</v>
          </cell>
          <cell r="F317" t="str">
            <v>Campylobacter jejuni</v>
          </cell>
          <cell r="G317" t="str">
            <v>exact</v>
          </cell>
          <cell r="H317" t="str">
            <v>CAMP0331(cmeB)_604</v>
          </cell>
          <cell r="I317" t="str">
            <v>CAMP0331(cmeB)</v>
          </cell>
          <cell r="J317">
            <v>604</v>
          </cell>
        </row>
        <row r="318">
          <cell r="A318" t="str">
            <v>SC0334</v>
          </cell>
          <cell r="B318" t="str">
            <v>SRR17900484</v>
          </cell>
          <cell r="C318">
            <v>50</v>
          </cell>
          <cell r="D318">
            <v>21</v>
          </cell>
          <cell r="E318" t="str">
            <v>Bos taurus taurus</v>
          </cell>
          <cell r="F318" t="str">
            <v>Campylobacter jejuni</v>
          </cell>
          <cell r="G318" t="str">
            <v>exact</v>
          </cell>
          <cell r="H318" t="str">
            <v>CAMP0331(cmeB)_1</v>
          </cell>
          <cell r="I318" t="str">
            <v>CAMP0331(cmeB)</v>
          </cell>
          <cell r="J318">
            <v>1</v>
          </cell>
        </row>
        <row r="319">
          <cell r="A319" t="str">
            <v>SC0333</v>
          </cell>
          <cell r="B319" t="str">
            <v>SRR17900485</v>
          </cell>
          <cell r="C319">
            <v>61</v>
          </cell>
          <cell r="D319">
            <v>61</v>
          </cell>
          <cell r="E319" t="str">
            <v>Bos taurus taurus</v>
          </cell>
          <cell r="F319" t="str">
            <v>Campylobacter jejuni</v>
          </cell>
          <cell r="G319" t="str">
            <v>exact</v>
          </cell>
          <cell r="H319" t="str">
            <v>CAMP0331(cmeB)_14</v>
          </cell>
          <cell r="I319" t="str">
            <v>CAMP0331(cmeB)</v>
          </cell>
          <cell r="J319">
            <v>14</v>
          </cell>
        </row>
        <row r="320">
          <cell r="A320" t="str">
            <v>SC0332</v>
          </cell>
          <cell r="B320" t="str">
            <v>SRR17900486</v>
          </cell>
          <cell r="C320">
            <v>4492</v>
          </cell>
          <cell r="D320">
            <v>61</v>
          </cell>
          <cell r="E320" t="str">
            <v>Bos taurus taurus</v>
          </cell>
          <cell r="F320" t="str">
            <v>Campylobacter jejuni</v>
          </cell>
          <cell r="G320" t="str">
            <v>exact</v>
          </cell>
          <cell r="H320" t="str">
            <v>CAMP0331(cmeB)_14</v>
          </cell>
          <cell r="I320" t="str">
            <v>CAMP0331(cmeB)</v>
          </cell>
          <cell r="J320">
            <v>14</v>
          </cell>
        </row>
        <row r="321">
          <cell r="A321" t="str">
            <v>SC0214</v>
          </cell>
          <cell r="B321" t="str">
            <v>SRR17900487</v>
          </cell>
          <cell r="C321">
            <v>2026</v>
          </cell>
          <cell r="D321">
            <v>403</v>
          </cell>
          <cell r="E321" t="str">
            <v>Homo sapiens</v>
          </cell>
          <cell r="F321" t="str">
            <v>Campylobacter jejuni</v>
          </cell>
          <cell r="G321" t="str">
            <v>exact</v>
          </cell>
          <cell r="H321" t="str">
            <v>CAMP0331(cmeB)_54</v>
          </cell>
          <cell r="I321" t="str">
            <v>CAMP0331(cmeB)</v>
          </cell>
          <cell r="J321">
            <v>54</v>
          </cell>
        </row>
        <row r="322">
          <cell r="A322" t="str">
            <v>SC0331</v>
          </cell>
          <cell r="B322" t="str">
            <v>SRR17900488</v>
          </cell>
          <cell r="C322">
            <v>53</v>
          </cell>
          <cell r="D322">
            <v>21</v>
          </cell>
          <cell r="E322" t="str">
            <v>Bos taurus taurus</v>
          </cell>
          <cell r="F322" t="str">
            <v>Campylobacter jejuni</v>
          </cell>
          <cell r="G322" t="str">
            <v>exact</v>
          </cell>
          <cell r="H322" t="str">
            <v>CAMP0331(cmeB)_604</v>
          </cell>
          <cell r="I322" t="str">
            <v>CAMP0331(cmeB)</v>
          </cell>
          <cell r="J322">
            <v>604</v>
          </cell>
        </row>
        <row r="323">
          <cell r="A323" t="str">
            <v>SC0330</v>
          </cell>
          <cell r="B323" t="str">
            <v>SRR17900489</v>
          </cell>
          <cell r="C323">
            <v>42</v>
          </cell>
          <cell r="D323">
            <v>42</v>
          </cell>
          <cell r="E323" t="str">
            <v>Bos taurus taurus</v>
          </cell>
          <cell r="F323" t="str">
            <v>Campylobacter jejuni</v>
          </cell>
          <cell r="G323" t="str">
            <v>exact</v>
          </cell>
          <cell r="H323" t="str">
            <v>CAMP0331(cmeB)_3623</v>
          </cell>
          <cell r="I323" t="str">
            <v>CAMP0331(cmeB)</v>
          </cell>
          <cell r="J323">
            <v>3623</v>
          </cell>
        </row>
        <row r="324">
          <cell r="A324" t="str">
            <v>SC0329</v>
          </cell>
          <cell r="B324" t="str">
            <v>SRR17900490</v>
          </cell>
          <cell r="C324">
            <v>520</v>
          </cell>
          <cell r="D324">
            <v>21</v>
          </cell>
          <cell r="E324" t="str">
            <v>Bos taurus taurus</v>
          </cell>
          <cell r="F324" t="str">
            <v>Campylobacter jejuni</v>
          </cell>
          <cell r="G324" t="str">
            <v>exact</v>
          </cell>
          <cell r="H324" t="str">
            <v>CAMP0331(cmeB)_604</v>
          </cell>
          <cell r="I324" t="str">
            <v>CAMP0331(cmeB)</v>
          </cell>
          <cell r="J324">
            <v>604</v>
          </cell>
        </row>
        <row r="325">
          <cell r="A325" t="str">
            <v>SC0327</v>
          </cell>
          <cell r="B325" t="str">
            <v>SRR17900492</v>
          </cell>
          <cell r="C325">
            <v>42</v>
          </cell>
          <cell r="D325">
            <v>42</v>
          </cell>
          <cell r="E325" t="str">
            <v>Bos taurus taurus</v>
          </cell>
          <cell r="F325" t="str">
            <v>Campylobacter jejuni</v>
          </cell>
          <cell r="G325" t="str">
            <v>exact</v>
          </cell>
          <cell r="H325" t="str">
            <v>CAMP0331(cmeB)_3623</v>
          </cell>
          <cell r="I325" t="str">
            <v>CAMP0331(cmeB)</v>
          </cell>
          <cell r="J325">
            <v>3623</v>
          </cell>
        </row>
        <row r="326">
          <cell r="A326" t="str">
            <v>SC0326</v>
          </cell>
          <cell r="B326" t="str">
            <v>SRR17900493</v>
          </cell>
          <cell r="C326">
            <v>474</v>
          </cell>
          <cell r="D326">
            <v>48</v>
          </cell>
          <cell r="E326" t="str">
            <v>Bos taurus taurus</v>
          </cell>
          <cell r="F326" t="str">
            <v>Campylobacter jejuni</v>
          </cell>
          <cell r="G326" t="str">
            <v>exact</v>
          </cell>
          <cell r="H326" t="str">
            <v>CAMP0331(cmeB)_1</v>
          </cell>
          <cell r="I326" t="str">
            <v>CAMP0331(cmeB)</v>
          </cell>
          <cell r="J326">
            <v>1</v>
          </cell>
        </row>
        <row r="327">
          <cell r="A327" t="str">
            <v>SC0325</v>
          </cell>
          <cell r="B327" t="str">
            <v>SRR17900494</v>
          </cell>
          <cell r="C327">
            <v>53</v>
          </cell>
          <cell r="D327">
            <v>21</v>
          </cell>
          <cell r="E327" t="str">
            <v>Homo sapiens</v>
          </cell>
          <cell r="F327" t="str">
            <v>Campylobacter jejuni</v>
          </cell>
          <cell r="G327" t="str">
            <v>exact</v>
          </cell>
          <cell r="H327" t="str">
            <v>CAMP0331(cmeB)_604</v>
          </cell>
          <cell r="I327" t="str">
            <v>CAMP0331(cmeB)</v>
          </cell>
          <cell r="J327">
            <v>604</v>
          </cell>
        </row>
        <row r="328">
          <cell r="A328" t="str">
            <v>SC0324</v>
          </cell>
          <cell r="B328" t="str">
            <v>SRR17900495</v>
          </cell>
          <cell r="C328">
            <v>2350</v>
          </cell>
          <cell r="D328">
            <v>48</v>
          </cell>
          <cell r="E328" t="str">
            <v>Homo sapiens</v>
          </cell>
          <cell r="F328" t="str">
            <v>Campylobacter jejuni</v>
          </cell>
          <cell r="G328" t="str">
            <v>exact</v>
          </cell>
          <cell r="H328" t="str">
            <v>CAMP0331(cmeB)_1</v>
          </cell>
          <cell r="I328" t="str">
            <v>CAMP0331(cmeB)</v>
          </cell>
          <cell r="J328">
            <v>1</v>
          </cell>
        </row>
        <row r="329">
          <cell r="A329" t="str">
            <v>SC0323</v>
          </cell>
          <cell r="B329" t="str">
            <v>SRR17900496</v>
          </cell>
          <cell r="C329">
            <v>6964</v>
          </cell>
          <cell r="D329">
            <v>354</v>
          </cell>
          <cell r="E329" t="str">
            <v>Homo sapiens</v>
          </cell>
          <cell r="F329" t="str">
            <v>Campylobacter jejuni</v>
          </cell>
          <cell r="G329" t="str">
            <v>exact</v>
          </cell>
          <cell r="H329" t="str">
            <v>CAMP0331(cmeB)_1451</v>
          </cell>
          <cell r="I329" t="str">
            <v>CAMP0331(cmeB)</v>
          </cell>
          <cell r="J329">
            <v>1451</v>
          </cell>
        </row>
        <row r="330">
          <cell r="A330" t="str">
            <v>SC0322</v>
          </cell>
          <cell r="B330" t="str">
            <v>SRR17900497</v>
          </cell>
          <cell r="C330">
            <v>50</v>
          </cell>
          <cell r="D330">
            <v>21</v>
          </cell>
          <cell r="E330" t="str">
            <v>Homo sapiens</v>
          </cell>
          <cell r="F330" t="str">
            <v>Campylobacter jejuni</v>
          </cell>
          <cell r="G330" t="str">
            <v>exact</v>
          </cell>
          <cell r="H330" t="str">
            <v>CAMP0331(cmeB)_604</v>
          </cell>
          <cell r="I330" t="str">
            <v>CAMP0331(cmeB)</v>
          </cell>
          <cell r="J330">
            <v>604</v>
          </cell>
        </row>
        <row r="331">
          <cell r="A331" t="str">
            <v>SC0213</v>
          </cell>
          <cell r="B331" t="str">
            <v>SRR17900498</v>
          </cell>
          <cell r="C331">
            <v>42</v>
          </cell>
          <cell r="D331">
            <v>42</v>
          </cell>
          <cell r="E331" t="str">
            <v>Homo sapiens</v>
          </cell>
          <cell r="F331" t="str">
            <v>Campylobacter jejuni</v>
          </cell>
          <cell r="G331" t="str">
            <v>exact</v>
          </cell>
          <cell r="H331" t="str">
            <v>CAMP0331(cmeB)_22</v>
          </cell>
          <cell r="I331" t="str">
            <v>CAMP0331(cmeB)</v>
          </cell>
          <cell r="J331">
            <v>22</v>
          </cell>
        </row>
        <row r="332">
          <cell r="A332" t="str">
            <v>SC0321</v>
          </cell>
          <cell r="B332" t="str">
            <v>SRR17900499</v>
          </cell>
          <cell r="C332">
            <v>42</v>
          </cell>
          <cell r="D332">
            <v>42</v>
          </cell>
          <cell r="E332" t="str">
            <v>Homo sapiens</v>
          </cell>
          <cell r="F332" t="str">
            <v>Campylobacter jejuni</v>
          </cell>
          <cell r="G332" t="str">
            <v>exact</v>
          </cell>
          <cell r="H332" t="str">
            <v>CAMP0331(cmeB)_3628</v>
          </cell>
          <cell r="I332" t="str">
            <v>CAMP0331(cmeB)</v>
          </cell>
          <cell r="J332">
            <v>3628</v>
          </cell>
        </row>
        <row r="333">
          <cell r="A333" t="str">
            <v>SC0320</v>
          </cell>
          <cell r="B333" t="str">
            <v>SRR17900500</v>
          </cell>
          <cell r="C333">
            <v>227</v>
          </cell>
          <cell r="D333">
            <v>206</v>
          </cell>
          <cell r="E333" t="str">
            <v>Homo sapiens</v>
          </cell>
          <cell r="F333" t="str">
            <v>Campylobacter jejuni</v>
          </cell>
          <cell r="G333" t="str">
            <v>exact</v>
          </cell>
          <cell r="H333" t="str">
            <v>CAMP0331(cmeB)_1</v>
          </cell>
          <cell r="I333" t="str">
            <v>CAMP0331(cmeB)</v>
          </cell>
          <cell r="J333">
            <v>1</v>
          </cell>
        </row>
        <row r="334">
          <cell r="A334" t="str">
            <v>SC0319</v>
          </cell>
          <cell r="B334" t="str">
            <v>SRR17900501</v>
          </cell>
          <cell r="C334">
            <v>227</v>
          </cell>
          <cell r="D334">
            <v>206</v>
          </cell>
          <cell r="E334" t="str">
            <v>Homo sapiens</v>
          </cell>
          <cell r="F334" t="str">
            <v>Campylobacter jejuni</v>
          </cell>
          <cell r="G334" t="str">
            <v>exact</v>
          </cell>
          <cell r="H334" t="str">
            <v>CAMP0331(cmeB)_1</v>
          </cell>
          <cell r="I334" t="str">
            <v>CAMP0331(cmeB)</v>
          </cell>
          <cell r="J334">
            <v>1</v>
          </cell>
        </row>
        <row r="335">
          <cell r="A335" t="str">
            <v>SC0318</v>
          </cell>
          <cell r="B335" t="str">
            <v>SRR17900502</v>
          </cell>
          <cell r="C335">
            <v>3798</v>
          </cell>
          <cell r="D335">
            <v>403</v>
          </cell>
          <cell r="E335" t="str">
            <v>Homo sapiens</v>
          </cell>
          <cell r="F335" t="str">
            <v>Campylobacter jejuni</v>
          </cell>
          <cell r="G335" t="str">
            <v>exact</v>
          </cell>
          <cell r="H335" t="str">
            <v>CAMP0331(cmeB)_54</v>
          </cell>
          <cell r="I335" t="str">
            <v>CAMP0331(cmeB)</v>
          </cell>
          <cell r="J335">
            <v>54</v>
          </cell>
        </row>
        <row r="336">
          <cell r="A336" t="str">
            <v>SC0317</v>
          </cell>
          <cell r="B336" t="str">
            <v>SRR17900503</v>
          </cell>
          <cell r="C336">
            <v>474</v>
          </cell>
          <cell r="D336">
            <v>48</v>
          </cell>
          <cell r="E336" t="str">
            <v>Homo sapiens</v>
          </cell>
          <cell r="F336" t="str">
            <v>Campylobacter jejuni</v>
          </cell>
          <cell r="G336" t="str">
            <v>exact</v>
          </cell>
          <cell r="H336" t="str">
            <v>CAMP0331(cmeB)_1</v>
          </cell>
          <cell r="I336" t="str">
            <v>CAMP0331(cmeB)</v>
          </cell>
          <cell r="J336">
            <v>1</v>
          </cell>
        </row>
        <row r="337">
          <cell r="A337" t="str">
            <v>SC0316</v>
          </cell>
          <cell r="B337" t="str">
            <v>SRR17900504</v>
          </cell>
          <cell r="C337">
            <v>25</v>
          </cell>
          <cell r="D337">
            <v>45</v>
          </cell>
          <cell r="E337" t="str">
            <v>Homo sapiens</v>
          </cell>
          <cell r="F337" t="str">
            <v>Campylobacter jejuni</v>
          </cell>
          <cell r="G337" t="str">
            <v>exact</v>
          </cell>
          <cell r="H337" t="str">
            <v>CAMP0331(cmeB)_5</v>
          </cell>
          <cell r="I337" t="str">
            <v>CAMP0331(cmeB)</v>
          </cell>
          <cell r="J337">
            <v>5</v>
          </cell>
        </row>
        <row r="338">
          <cell r="A338" t="str">
            <v>SC0315</v>
          </cell>
          <cell r="B338" t="str">
            <v>SRR17900505</v>
          </cell>
          <cell r="C338">
            <v>5</v>
          </cell>
          <cell r="D338">
            <v>353</v>
          </cell>
          <cell r="E338" t="str">
            <v>Homo sapiens</v>
          </cell>
          <cell r="F338" t="str">
            <v>Campylobacter jejuni</v>
          </cell>
          <cell r="G338" t="str">
            <v>exact</v>
          </cell>
          <cell r="H338" t="str">
            <v>CAMP0331(cmeB)_41</v>
          </cell>
          <cell r="I338" t="str">
            <v>CAMP0331(cmeB)</v>
          </cell>
          <cell r="J338">
            <v>41</v>
          </cell>
        </row>
        <row r="339">
          <cell r="A339" t="str">
            <v>SC0313</v>
          </cell>
          <cell r="B339" t="str">
            <v>SRR17900507</v>
          </cell>
          <cell r="C339">
            <v>520</v>
          </cell>
          <cell r="D339">
            <v>21</v>
          </cell>
          <cell r="E339" t="str">
            <v>Homo sapiens</v>
          </cell>
          <cell r="F339" t="str">
            <v>Campylobacter jejuni</v>
          </cell>
          <cell r="G339" t="str">
            <v>exact</v>
          </cell>
          <cell r="H339" t="str">
            <v>CAMP0331(cmeB)_604</v>
          </cell>
          <cell r="I339" t="str">
            <v>CAMP0331(cmeB)</v>
          </cell>
          <cell r="J339">
            <v>604</v>
          </cell>
        </row>
        <row r="340">
          <cell r="A340" t="str">
            <v>SC0212</v>
          </cell>
          <cell r="B340" t="str">
            <v>SRR17900509</v>
          </cell>
          <cell r="C340">
            <v>3610</v>
          </cell>
          <cell r="D340">
            <v>21</v>
          </cell>
          <cell r="E340" t="str">
            <v>Bos taurus taurus</v>
          </cell>
          <cell r="F340" t="str">
            <v>Campylobacter jejuni</v>
          </cell>
          <cell r="G340" t="str">
            <v>exact</v>
          </cell>
          <cell r="H340" t="str">
            <v>CAMP0331(cmeB)_604</v>
          </cell>
          <cell r="I340" t="str">
            <v>CAMP0331(cmeB)</v>
          </cell>
          <cell r="J340">
            <v>604</v>
          </cell>
        </row>
        <row r="341">
          <cell r="A341" t="str">
            <v>SC0311</v>
          </cell>
          <cell r="B341" t="str">
            <v>SRR17900510</v>
          </cell>
          <cell r="C341">
            <v>4337</v>
          </cell>
          <cell r="D341">
            <v>21</v>
          </cell>
          <cell r="E341" t="str">
            <v>Gallus gallus</v>
          </cell>
          <cell r="F341" t="str">
            <v>Campylobacter jejuni</v>
          </cell>
          <cell r="G341" t="str">
            <v>exact</v>
          </cell>
          <cell r="H341" t="str">
            <v>CAMP0331(cmeB)_604</v>
          </cell>
          <cell r="I341" t="str">
            <v>CAMP0331(cmeB)</v>
          </cell>
          <cell r="J341">
            <v>604</v>
          </cell>
        </row>
        <row r="342">
          <cell r="A342" t="str">
            <v>SC0310</v>
          </cell>
          <cell r="B342" t="str">
            <v>SRR17900511</v>
          </cell>
          <cell r="C342">
            <v>45</v>
          </cell>
          <cell r="D342">
            <v>45</v>
          </cell>
          <cell r="E342" t="str">
            <v>Gallus gallus</v>
          </cell>
          <cell r="F342" t="str">
            <v>Campylobacter jejuni</v>
          </cell>
          <cell r="G342" t="str">
            <v>exact</v>
          </cell>
          <cell r="H342" t="str">
            <v>CAMP0331(cmeB)_3616</v>
          </cell>
          <cell r="I342" t="str">
            <v>CAMP0331(cmeB)</v>
          </cell>
          <cell r="J342">
            <v>3616</v>
          </cell>
        </row>
        <row r="343">
          <cell r="A343" t="str">
            <v>SC0309</v>
          </cell>
          <cell r="B343" t="str">
            <v>SRR17900512</v>
          </cell>
          <cell r="C343">
            <v>48</v>
          </cell>
          <cell r="D343">
            <v>48</v>
          </cell>
          <cell r="E343" t="str">
            <v>Gallus gallus</v>
          </cell>
          <cell r="F343" t="str">
            <v>Campylobacter jejuni</v>
          </cell>
          <cell r="G343" t="str">
            <v>exact</v>
          </cell>
          <cell r="H343" t="str">
            <v>CAMP0331(cmeB)_94</v>
          </cell>
          <cell r="I343" t="str">
            <v>CAMP0331(cmeB)</v>
          </cell>
          <cell r="J343">
            <v>94</v>
          </cell>
        </row>
        <row r="344">
          <cell r="A344" t="str">
            <v>SC0308</v>
          </cell>
          <cell r="B344" t="str">
            <v>SRR17900513</v>
          </cell>
          <cell r="C344">
            <v>6964</v>
          </cell>
          <cell r="D344">
            <v>354</v>
          </cell>
          <cell r="E344" t="str">
            <v>Gallus gallus</v>
          </cell>
          <cell r="F344" t="str">
            <v>Campylobacter jejuni</v>
          </cell>
          <cell r="G344" t="str">
            <v>exact</v>
          </cell>
          <cell r="H344" t="str">
            <v>CAMP0331(cmeB)_1451</v>
          </cell>
          <cell r="I344" t="str">
            <v>CAMP0331(cmeB)</v>
          </cell>
          <cell r="J344">
            <v>1451</v>
          </cell>
        </row>
        <row r="345">
          <cell r="A345" t="str">
            <v>SC0307</v>
          </cell>
          <cell r="B345" t="str">
            <v>SRR17900514</v>
          </cell>
          <cell r="C345">
            <v>45</v>
          </cell>
          <cell r="D345">
            <v>45</v>
          </cell>
          <cell r="E345" t="str">
            <v>Gallus gallus</v>
          </cell>
          <cell r="F345" t="str">
            <v>Campylobacter jejuni</v>
          </cell>
          <cell r="G345" t="str">
            <v>exact</v>
          </cell>
          <cell r="H345" t="str">
            <v>CAMP0331(cmeB)_260</v>
          </cell>
          <cell r="I345" t="str">
            <v>CAMP0331(cmeB)</v>
          </cell>
          <cell r="J345">
            <v>260</v>
          </cell>
        </row>
        <row r="346">
          <cell r="A346" t="str">
            <v>SC0306</v>
          </cell>
          <cell r="B346" t="str">
            <v>SRR17900515</v>
          </cell>
          <cell r="C346">
            <v>5655</v>
          </cell>
          <cell r="D346">
            <v>21</v>
          </cell>
          <cell r="E346" t="str">
            <v>Gallus gallus</v>
          </cell>
          <cell r="F346" t="str">
            <v>Campylobacter jejuni</v>
          </cell>
          <cell r="G346" t="str">
            <v>exact</v>
          </cell>
          <cell r="H346" t="str">
            <v>CAMP0331(cmeB)_604</v>
          </cell>
          <cell r="I346" t="str">
            <v>CAMP0331(cmeB)</v>
          </cell>
          <cell r="J346">
            <v>604</v>
          </cell>
        </row>
        <row r="347">
          <cell r="A347" t="str">
            <v>SC0305</v>
          </cell>
          <cell r="B347" t="str">
            <v>SRR17900516</v>
          </cell>
          <cell r="C347">
            <v>1517</v>
          </cell>
          <cell r="D347">
            <v>354</v>
          </cell>
          <cell r="E347" t="str">
            <v>Homo sapiens</v>
          </cell>
          <cell r="F347" t="str">
            <v>Campylobacter jejuni</v>
          </cell>
          <cell r="G347" t="str">
            <v>exact</v>
          </cell>
          <cell r="H347" t="str">
            <v>CAMP0331(cmeB)_233</v>
          </cell>
          <cell r="I347" t="str">
            <v>CAMP0331(cmeB)</v>
          </cell>
          <cell r="J347">
            <v>233</v>
          </cell>
        </row>
        <row r="348">
          <cell r="A348" t="str">
            <v>SC0304</v>
          </cell>
          <cell r="B348" t="str">
            <v>SRR17900517</v>
          </cell>
          <cell r="C348">
            <v>2345</v>
          </cell>
          <cell r="D348">
            <v>206</v>
          </cell>
          <cell r="E348" t="str">
            <v>Homo sapiens</v>
          </cell>
          <cell r="F348" t="str">
            <v>Campylobacter jejuni</v>
          </cell>
          <cell r="G348" t="str">
            <v>exact</v>
          </cell>
          <cell r="H348" t="str">
            <v>CAMP0331(cmeB)_158</v>
          </cell>
          <cell r="I348" t="str">
            <v>CAMP0331(cmeB)</v>
          </cell>
          <cell r="J348">
            <v>158</v>
          </cell>
        </row>
        <row r="349">
          <cell r="A349" t="str">
            <v>SC0303</v>
          </cell>
          <cell r="B349" t="str">
            <v>SRR17900518</v>
          </cell>
          <cell r="C349">
            <v>50</v>
          </cell>
          <cell r="D349">
            <v>21</v>
          </cell>
          <cell r="E349" t="str">
            <v>Homo sapiens</v>
          </cell>
          <cell r="F349" t="str">
            <v>Campylobacter jejuni</v>
          </cell>
          <cell r="G349" t="str">
            <v>exact</v>
          </cell>
          <cell r="H349" t="str">
            <v>CAMP0331(cmeB)_604</v>
          </cell>
          <cell r="I349" t="str">
            <v>CAMP0331(cmeB)</v>
          </cell>
          <cell r="J349">
            <v>604</v>
          </cell>
        </row>
        <row r="350">
          <cell r="A350" t="str">
            <v>SC0302</v>
          </cell>
          <cell r="B350" t="str">
            <v>SRR17900519</v>
          </cell>
          <cell r="C350">
            <v>50</v>
          </cell>
          <cell r="D350">
            <v>21</v>
          </cell>
          <cell r="E350" t="str">
            <v>Homo sapiens</v>
          </cell>
          <cell r="F350" t="str">
            <v>Campylobacter jejuni</v>
          </cell>
          <cell r="G350" t="str">
            <v>exact</v>
          </cell>
          <cell r="H350" t="str">
            <v>CAMP0331(cmeB)_1</v>
          </cell>
          <cell r="I350" t="str">
            <v>CAMP0331(cmeB)</v>
          </cell>
          <cell r="J350">
            <v>1</v>
          </cell>
        </row>
        <row r="351">
          <cell r="A351" t="str">
            <v>SC0211</v>
          </cell>
          <cell r="B351" t="str">
            <v>SRR17900520</v>
          </cell>
          <cell r="C351">
            <v>508</v>
          </cell>
          <cell r="D351">
            <v>508</v>
          </cell>
          <cell r="E351" t="str">
            <v>Bos taurus taurus</v>
          </cell>
          <cell r="F351" t="str">
            <v>Campylobacter jejuni</v>
          </cell>
          <cell r="G351" t="str">
            <v>exact</v>
          </cell>
          <cell r="H351" t="str">
            <v>CAMP0331(cmeB)_43</v>
          </cell>
          <cell r="I351" t="str">
            <v>CAMP0331(cmeB)</v>
          </cell>
          <cell r="J351">
            <v>43</v>
          </cell>
        </row>
        <row r="352">
          <cell r="A352" t="str">
            <v>SC0202</v>
          </cell>
          <cell r="B352" t="str">
            <v>SRR17900521</v>
          </cell>
          <cell r="C352">
            <v>474</v>
          </cell>
          <cell r="D352">
            <v>48</v>
          </cell>
          <cell r="E352" t="str">
            <v>Bos taurus taurus</v>
          </cell>
          <cell r="F352" t="str">
            <v>Campylobacter jejuni</v>
          </cell>
          <cell r="G352" t="str">
            <v>exact</v>
          </cell>
          <cell r="H352" t="str">
            <v>CAMP0331(cmeB)_1</v>
          </cell>
          <cell r="I352" t="str">
            <v>CAMP0331(cmeB)</v>
          </cell>
          <cell r="J352">
            <v>1</v>
          </cell>
        </row>
        <row r="353">
          <cell r="A353" t="str">
            <v>SC0201</v>
          </cell>
          <cell r="B353" t="str">
            <v>SRR17900522</v>
          </cell>
          <cell r="C353">
            <v>42</v>
          </cell>
          <cell r="D353">
            <v>42</v>
          </cell>
          <cell r="E353" t="str">
            <v>Bos taurus taurus</v>
          </cell>
          <cell r="F353" t="str">
            <v>Campylobacter jejuni</v>
          </cell>
          <cell r="G353" t="str">
            <v>exact</v>
          </cell>
          <cell r="H353" t="str">
            <v>CAMP0331(cmeB)_22</v>
          </cell>
          <cell r="I353" t="str">
            <v>CAMP0331(cmeB)</v>
          </cell>
          <cell r="J353">
            <v>22</v>
          </cell>
        </row>
        <row r="354">
          <cell r="A354" t="str">
            <v>SC0263</v>
          </cell>
          <cell r="B354" t="str">
            <v>SRR17900523</v>
          </cell>
          <cell r="C354">
            <v>6964</v>
          </cell>
          <cell r="D354">
            <v>354</v>
          </cell>
          <cell r="E354" t="str">
            <v>Homo sapiens</v>
          </cell>
          <cell r="F354" t="str">
            <v>Campylobacter jejuni</v>
          </cell>
          <cell r="G354" t="str">
            <v>exact</v>
          </cell>
          <cell r="H354" t="str">
            <v>CAMP0331(cmeB)_1451</v>
          </cell>
          <cell r="I354" t="str">
            <v>CAMP0331(cmeB)</v>
          </cell>
          <cell r="J354">
            <v>1451</v>
          </cell>
        </row>
        <row r="355">
          <cell r="A355" t="str">
            <v>SC0262</v>
          </cell>
          <cell r="B355" t="str">
            <v>SRR17900524</v>
          </cell>
          <cell r="C355">
            <v>50</v>
          </cell>
          <cell r="D355">
            <v>21</v>
          </cell>
          <cell r="E355" t="str">
            <v>Homo sapiens</v>
          </cell>
          <cell r="F355" t="str">
            <v>Campylobacter jejuni</v>
          </cell>
          <cell r="G355" t="str">
            <v>exact</v>
          </cell>
          <cell r="H355" t="str">
            <v>CAMP0331(cmeB)_1</v>
          </cell>
          <cell r="I355" t="str">
            <v>CAMP0331(cmeB)</v>
          </cell>
          <cell r="J355">
            <v>1</v>
          </cell>
        </row>
        <row r="356">
          <cell r="A356" t="str">
            <v>SC0207</v>
          </cell>
          <cell r="B356" t="str">
            <v>SRR17900525</v>
          </cell>
          <cell r="C356">
            <v>3222</v>
          </cell>
          <cell r="D356">
            <v>0</v>
          </cell>
          <cell r="E356" t="str">
            <v>Bos taurus taurus</v>
          </cell>
          <cell r="F356" t="str">
            <v>Campylobacter coli</v>
          </cell>
          <cell r="G356" t="str">
            <v>exact</v>
          </cell>
          <cell r="H356" t="str">
            <v>CAMP0331(cmeB)_1205</v>
          </cell>
          <cell r="I356" t="str">
            <v>CAMP0331(cmeB)</v>
          </cell>
          <cell r="J356">
            <v>1205</v>
          </cell>
        </row>
        <row r="357">
          <cell r="A357" t="str">
            <v>SC0261</v>
          </cell>
          <cell r="B357" t="str">
            <v>SRR17900526</v>
          </cell>
          <cell r="C357">
            <v>530</v>
          </cell>
          <cell r="D357">
            <v>0</v>
          </cell>
          <cell r="E357" t="str">
            <v>Homo sapiens</v>
          </cell>
          <cell r="F357" t="str">
            <v>Campylobacter jejuni</v>
          </cell>
          <cell r="G357" t="str">
            <v>exact</v>
          </cell>
          <cell r="H357" t="str">
            <v>CAMP0331(cmeB)_506</v>
          </cell>
          <cell r="I357" t="str">
            <v>CAMP0331(cmeB)</v>
          </cell>
          <cell r="J357">
            <v>506</v>
          </cell>
        </row>
        <row r="358">
          <cell r="A358" t="str">
            <v>SC0260</v>
          </cell>
          <cell r="B358" t="str">
            <v>SRR17900527</v>
          </cell>
          <cell r="C358">
            <v>6964</v>
          </cell>
          <cell r="D358">
            <v>354</v>
          </cell>
          <cell r="E358" t="str">
            <v>Homo sapiens</v>
          </cell>
          <cell r="F358" t="str">
            <v>Campylobacter jejuni</v>
          </cell>
          <cell r="G358" t="str">
            <v>exact</v>
          </cell>
          <cell r="H358" t="str">
            <v>CAMP0331(cmeB)_1451</v>
          </cell>
          <cell r="I358" t="str">
            <v>CAMP0331(cmeB)</v>
          </cell>
          <cell r="J358">
            <v>1451</v>
          </cell>
        </row>
        <row r="359">
          <cell r="A359" t="str">
            <v>SC0259</v>
          </cell>
          <cell r="B359" t="str">
            <v>SRR17900528</v>
          </cell>
          <cell r="C359">
            <v>583</v>
          </cell>
          <cell r="D359">
            <v>45</v>
          </cell>
          <cell r="E359" t="str">
            <v>Homo sapiens</v>
          </cell>
          <cell r="F359" t="str">
            <v>Campylobacter jejuni</v>
          </cell>
          <cell r="G359" t="str">
            <v>exact</v>
          </cell>
          <cell r="H359" t="str">
            <v>CAMP0331(cmeB)_24</v>
          </cell>
          <cell r="I359" t="str">
            <v>CAMP0331(cmeB)</v>
          </cell>
          <cell r="J359">
            <v>24</v>
          </cell>
        </row>
        <row r="360">
          <cell r="A360" t="str">
            <v>SC0258</v>
          </cell>
          <cell r="B360" t="str">
            <v>SRR17900529</v>
          </cell>
          <cell r="C360">
            <v>53</v>
          </cell>
          <cell r="D360">
            <v>21</v>
          </cell>
          <cell r="E360" t="str">
            <v>Homo sapiens</v>
          </cell>
          <cell r="F360" t="str">
            <v>Campylobacter jejuni</v>
          </cell>
          <cell r="G360" t="str">
            <v>exact</v>
          </cell>
          <cell r="H360" t="str">
            <v>CAMP0331(cmeB)_604</v>
          </cell>
          <cell r="I360" t="str">
            <v>CAMP0331(cmeB)</v>
          </cell>
          <cell r="J360">
            <v>604</v>
          </cell>
        </row>
        <row r="361">
          <cell r="A361" t="str">
            <v>SC0257</v>
          </cell>
          <cell r="B361" t="str">
            <v>SRR17900530</v>
          </cell>
          <cell r="C361">
            <v>50</v>
          </cell>
          <cell r="D361">
            <v>21</v>
          </cell>
          <cell r="E361" t="str">
            <v>Homo sapiens</v>
          </cell>
          <cell r="F361" t="str">
            <v>Campylobacter jejuni</v>
          </cell>
          <cell r="G361" t="str">
            <v>exact</v>
          </cell>
          <cell r="H361" t="str">
            <v>CAMP0331(cmeB)_369</v>
          </cell>
          <cell r="I361" t="str">
            <v>CAMP0331(cmeB)</v>
          </cell>
          <cell r="J361">
            <v>369</v>
          </cell>
        </row>
        <row r="362">
          <cell r="A362" t="str">
            <v>SC0256</v>
          </cell>
          <cell r="B362" t="str">
            <v>SRR17900531</v>
          </cell>
          <cell r="C362">
            <v>3538</v>
          </cell>
          <cell r="D362">
            <v>0</v>
          </cell>
          <cell r="E362" t="str">
            <v>Ovis aries</v>
          </cell>
          <cell r="F362" t="str">
            <v>Campylobacter jejuni</v>
          </cell>
          <cell r="G362" t="str">
            <v>exact</v>
          </cell>
          <cell r="H362" t="str">
            <v>CAMP0331(cmeB)_14</v>
          </cell>
          <cell r="I362" t="str">
            <v>CAMP0331(cmeB)</v>
          </cell>
          <cell r="J362">
            <v>14</v>
          </cell>
        </row>
        <row r="363">
          <cell r="A363" t="str">
            <v>SC0255</v>
          </cell>
          <cell r="B363" t="str">
            <v>SRR17900532</v>
          </cell>
          <cell r="C363">
            <v>42</v>
          </cell>
          <cell r="D363">
            <v>42</v>
          </cell>
          <cell r="E363" t="str">
            <v>Ovis aries</v>
          </cell>
          <cell r="F363" t="str">
            <v>Campylobacter jejuni</v>
          </cell>
          <cell r="G363" t="str">
            <v>exact</v>
          </cell>
          <cell r="H363" t="str">
            <v>CAMP0331(cmeB)_22</v>
          </cell>
          <cell r="I363" t="str">
            <v>CAMP0331(cmeB)</v>
          </cell>
          <cell r="J363">
            <v>22</v>
          </cell>
        </row>
        <row r="364">
          <cell r="A364" t="str">
            <v>SC0254</v>
          </cell>
          <cell r="B364" t="str">
            <v>SRR17900533</v>
          </cell>
          <cell r="C364">
            <v>2026</v>
          </cell>
          <cell r="D364">
            <v>403</v>
          </cell>
          <cell r="E364" t="str">
            <v>Ovis aries</v>
          </cell>
          <cell r="F364" t="str">
            <v>Campylobacter jejuni</v>
          </cell>
          <cell r="G364" t="str">
            <v>exact</v>
          </cell>
          <cell r="H364" t="str">
            <v>CAMP0331(cmeB)_54</v>
          </cell>
          <cell r="I364" t="str">
            <v>CAMP0331(cmeB)</v>
          </cell>
          <cell r="J364">
            <v>54</v>
          </cell>
        </row>
        <row r="365">
          <cell r="A365" t="str">
            <v>SC0253</v>
          </cell>
          <cell r="B365" t="str">
            <v>SRR17900534</v>
          </cell>
          <cell r="C365">
            <v>50</v>
          </cell>
          <cell r="D365">
            <v>21</v>
          </cell>
          <cell r="E365" t="str">
            <v>Ovis aries</v>
          </cell>
          <cell r="F365" t="str">
            <v>Campylobacter jejuni</v>
          </cell>
          <cell r="G365" t="str">
            <v>exact</v>
          </cell>
          <cell r="H365" t="str">
            <v>CAMP0331(cmeB)_604</v>
          </cell>
          <cell r="I365" t="str">
            <v>CAMP0331(cmeB)</v>
          </cell>
          <cell r="J365">
            <v>604</v>
          </cell>
        </row>
        <row r="366">
          <cell r="A366" t="str">
            <v>SC0252</v>
          </cell>
          <cell r="B366" t="str">
            <v>SRR17900535</v>
          </cell>
          <cell r="C366">
            <v>190</v>
          </cell>
          <cell r="D366">
            <v>21</v>
          </cell>
          <cell r="E366" t="str">
            <v>Ovis aries</v>
          </cell>
          <cell r="F366" t="str">
            <v>Campylobacter jejuni</v>
          </cell>
          <cell r="G366" t="str">
            <v>exact</v>
          </cell>
          <cell r="H366" t="str">
            <v>CAMP0331(cmeB)_604</v>
          </cell>
          <cell r="I366" t="str">
            <v>CAMP0331(cmeB)</v>
          </cell>
          <cell r="J366">
            <v>604</v>
          </cell>
        </row>
        <row r="367">
          <cell r="A367" t="str">
            <v>SC0206</v>
          </cell>
          <cell r="B367" t="str">
            <v>SRR17900536</v>
          </cell>
          <cell r="C367">
            <v>42</v>
          </cell>
          <cell r="D367">
            <v>42</v>
          </cell>
          <cell r="E367" t="str">
            <v>Bos taurus taurus</v>
          </cell>
          <cell r="F367" t="str">
            <v>Campylobacter jejuni</v>
          </cell>
          <cell r="G367" t="str">
            <v>exact</v>
          </cell>
          <cell r="H367" t="str">
            <v>CAMP0331(cmeB)_22</v>
          </cell>
          <cell r="I367" t="str">
            <v>CAMP0331(cmeB)</v>
          </cell>
          <cell r="J367">
            <v>22</v>
          </cell>
        </row>
        <row r="368">
          <cell r="A368" t="str">
            <v>SC0251</v>
          </cell>
          <cell r="B368" t="str">
            <v>SRR17900537</v>
          </cell>
          <cell r="C368">
            <v>190</v>
          </cell>
          <cell r="D368">
            <v>21</v>
          </cell>
          <cell r="E368" t="str">
            <v>Ovis aries</v>
          </cell>
          <cell r="F368" t="str">
            <v>Campylobacter jejuni</v>
          </cell>
          <cell r="G368" t="str">
            <v>exact</v>
          </cell>
          <cell r="H368" t="str">
            <v>CAMP0331(cmeB)_604</v>
          </cell>
          <cell r="I368" t="str">
            <v>CAMP0331(cmeB)</v>
          </cell>
          <cell r="J368">
            <v>604</v>
          </cell>
        </row>
        <row r="369">
          <cell r="A369" t="str">
            <v>SC0250</v>
          </cell>
          <cell r="B369" t="str">
            <v>SRR17900538</v>
          </cell>
          <cell r="C369">
            <v>3222</v>
          </cell>
          <cell r="D369">
            <v>0</v>
          </cell>
          <cell r="E369" t="str">
            <v>Ovis aries</v>
          </cell>
          <cell r="F369" t="str">
            <v>Campylobacter coli</v>
          </cell>
          <cell r="G369" t="str">
            <v>exact</v>
          </cell>
          <cell r="H369" t="str">
            <v>CAMP0331(cmeB)_1205</v>
          </cell>
          <cell r="I369" t="str">
            <v>CAMP0331(cmeB)</v>
          </cell>
          <cell r="J369">
            <v>1205</v>
          </cell>
        </row>
        <row r="370">
          <cell r="A370" t="str">
            <v>SC0248</v>
          </cell>
          <cell r="B370" t="str">
            <v>SRR17900539</v>
          </cell>
          <cell r="C370">
            <v>190</v>
          </cell>
          <cell r="D370">
            <v>21</v>
          </cell>
          <cell r="E370" t="str">
            <v>Ovis aries</v>
          </cell>
          <cell r="F370" t="str">
            <v>Campylobacter jejuni</v>
          </cell>
          <cell r="G370" t="str">
            <v>exact</v>
          </cell>
          <cell r="H370" t="str">
            <v>CAMP0331(cmeB)_604</v>
          </cell>
          <cell r="I370" t="str">
            <v>CAMP0331(cmeB)</v>
          </cell>
          <cell r="J370">
            <v>604</v>
          </cell>
        </row>
        <row r="371">
          <cell r="A371" t="str">
            <v>SC0247</v>
          </cell>
          <cell r="B371" t="str">
            <v>SRR17900540</v>
          </cell>
          <cell r="C371">
            <v>190</v>
          </cell>
          <cell r="D371">
            <v>21</v>
          </cell>
          <cell r="E371" t="str">
            <v>Ovis aries</v>
          </cell>
          <cell r="F371" t="str">
            <v>Campylobacter jejuni</v>
          </cell>
          <cell r="G371" t="str">
            <v>exact</v>
          </cell>
          <cell r="H371" t="str">
            <v>CAMP0331(cmeB)_604</v>
          </cell>
          <cell r="I371" t="str">
            <v>CAMP0331(cmeB)</v>
          </cell>
          <cell r="J371">
            <v>604</v>
          </cell>
        </row>
        <row r="372">
          <cell r="A372" t="str">
            <v>SC0246</v>
          </cell>
          <cell r="B372" t="str">
            <v>SRR17900541</v>
          </cell>
          <cell r="C372">
            <v>422</v>
          </cell>
          <cell r="D372">
            <v>21</v>
          </cell>
          <cell r="E372" t="str">
            <v>Ovis aries</v>
          </cell>
          <cell r="F372" t="str">
            <v>Campylobacter jejuni</v>
          </cell>
          <cell r="G372" t="str">
            <v>exact</v>
          </cell>
          <cell r="H372" t="str">
            <v>CAMP0331(cmeB)_604</v>
          </cell>
          <cell r="I372" t="str">
            <v>CAMP0331(cmeB)</v>
          </cell>
          <cell r="J372">
            <v>604</v>
          </cell>
        </row>
        <row r="373">
          <cell r="A373" t="str">
            <v>SC0245</v>
          </cell>
          <cell r="B373" t="str">
            <v>SRR17900542</v>
          </cell>
          <cell r="C373">
            <v>50</v>
          </cell>
          <cell r="D373">
            <v>21</v>
          </cell>
          <cell r="E373" t="str">
            <v>Ovis aries</v>
          </cell>
          <cell r="F373" t="str">
            <v>Campylobacter jejuni</v>
          </cell>
          <cell r="G373" t="str">
            <v>exact</v>
          </cell>
          <cell r="H373" t="str">
            <v>CAMP0331(cmeB)_604</v>
          </cell>
          <cell r="I373" t="str">
            <v>CAMP0331(cmeB)</v>
          </cell>
          <cell r="J373">
            <v>604</v>
          </cell>
        </row>
        <row r="374">
          <cell r="A374" t="str">
            <v>SC0244</v>
          </cell>
          <cell r="B374" t="str">
            <v>SRR17900543</v>
          </cell>
          <cell r="C374">
            <v>42</v>
          </cell>
          <cell r="D374">
            <v>42</v>
          </cell>
          <cell r="E374" t="str">
            <v>Ovis aries</v>
          </cell>
          <cell r="F374" t="str">
            <v>Campylobacter jejuni</v>
          </cell>
          <cell r="G374" t="str">
            <v>exact</v>
          </cell>
          <cell r="H374" t="str">
            <v>CAMP0331(cmeB)_22</v>
          </cell>
          <cell r="I374" t="str">
            <v>CAMP0331(cmeB)</v>
          </cell>
          <cell r="J374">
            <v>22</v>
          </cell>
        </row>
        <row r="375">
          <cell r="A375" t="str">
            <v>SC0243</v>
          </cell>
          <cell r="B375" t="str">
            <v>SRR17900544</v>
          </cell>
          <cell r="C375">
            <v>422</v>
          </cell>
          <cell r="D375">
            <v>21</v>
          </cell>
          <cell r="E375" t="str">
            <v>Ovis aries</v>
          </cell>
          <cell r="F375" t="str">
            <v>Campylobacter jejuni</v>
          </cell>
          <cell r="G375" t="str">
            <v>exact</v>
          </cell>
          <cell r="H375" t="str">
            <v>CAMP0331(cmeB)_604</v>
          </cell>
          <cell r="I375" t="str">
            <v>CAMP0331(cmeB)</v>
          </cell>
          <cell r="J375">
            <v>604</v>
          </cell>
        </row>
        <row r="376">
          <cell r="A376" t="str">
            <v>SC0242</v>
          </cell>
          <cell r="B376" t="str">
            <v>SRR17900545</v>
          </cell>
          <cell r="C376">
            <v>42</v>
          </cell>
          <cell r="D376">
            <v>42</v>
          </cell>
          <cell r="E376" t="str">
            <v>Ovis aries</v>
          </cell>
          <cell r="F376" t="str">
            <v>Campylobacter jejuni</v>
          </cell>
          <cell r="G376" t="str">
            <v>exact</v>
          </cell>
          <cell r="H376" t="str">
            <v>CAMP0331(cmeB)_22</v>
          </cell>
          <cell r="I376" t="str">
            <v>CAMP0331(cmeB)</v>
          </cell>
          <cell r="J376">
            <v>22</v>
          </cell>
        </row>
        <row r="377">
          <cell r="A377" t="str">
            <v>SC0241</v>
          </cell>
          <cell r="B377" t="str">
            <v>SRR17900546</v>
          </cell>
          <cell r="C377">
            <v>50</v>
          </cell>
          <cell r="D377">
            <v>21</v>
          </cell>
          <cell r="E377" t="str">
            <v>Homo sapiens</v>
          </cell>
          <cell r="F377" t="str">
            <v>Campylobacter jejuni</v>
          </cell>
          <cell r="G377" t="str">
            <v>exact</v>
          </cell>
          <cell r="H377" t="str">
            <v>CAMP0331(cmeB)_604</v>
          </cell>
          <cell r="I377" t="str">
            <v>CAMP0331(cmeB)</v>
          </cell>
          <cell r="J377">
            <v>604</v>
          </cell>
        </row>
        <row r="378">
          <cell r="A378" t="str">
            <v>SC0205</v>
          </cell>
          <cell r="B378" t="str">
            <v>SRR17900547</v>
          </cell>
          <cell r="C378">
            <v>53</v>
          </cell>
          <cell r="D378">
            <v>21</v>
          </cell>
          <cell r="E378" t="str">
            <v>Bos taurus taurus</v>
          </cell>
          <cell r="F378" t="str">
            <v>Campylobacter jejuni</v>
          </cell>
          <cell r="G378" t="str">
            <v>exact</v>
          </cell>
          <cell r="H378" t="str">
            <v>CAMP0331(cmeB)_604</v>
          </cell>
          <cell r="I378" t="str">
            <v>CAMP0331(cmeB)</v>
          </cell>
          <cell r="J378">
            <v>604</v>
          </cell>
        </row>
        <row r="379">
          <cell r="A379" t="str">
            <v>SC0240</v>
          </cell>
          <cell r="B379" t="str">
            <v>SRR17900548</v>
          </cell>
          <cell r="C379">
            <v>42</v>
          </cell>
          <cell r="D379">
            <v>42</v>
          </cell>
          <cell r="E379" t="str">
            <v>Homo sapiens</v>
          </cell>
          <cell r="F379" t="str">
            <v>Campylobacter jejuni</v>
          </cell>
          <cell r="G379" t="str">
            <v>exact</v>
          </cell>
          <cell r="H379" t="str">
            <v>CAMP0331(cmeB)_22</v>
          </cell>
          <cell r="I379" t="str">
            <v>CAMP0331(cmeB)</v>
          </cell>
          <cell r="J379">
            <v>22</v>
          </cell>
        </row>
        <row r="380">
          <cell r="A380" t="str">
            <v>SC0239</v>
          </cell>
          <cell r="B380" t="str">
            <v>SRR17900549</v>
          </cell>
          <cell r="C380">
            <v>474</v>
          </cell>
          <cell r="D380">
            <v>48</v>
          </cell>
          <cell r="E380" t="str">
            <v>Homo sapiens</v>
          </cell>
          <cell r="F380" t="str">
            <v>Campylobacter jejuni</v>
          </cell>
          <cell r="G380" t="str">
            <v>exact</v>
          </cell>
          <cell r="H380" t="str">
            <v>CAMP0331(cmeB)_1</v>
          </cell>
          <cell r="I380" t="str">
            <v>CAMP0331(cmeB)</v>
          </cell>
          <cell r="J380">
            <v>1</v>
          </cell>
        </row>
        <row r="381">
          <cell r="A381" t="str">
            <v>SC0238</v>
          </cell>
          <cell r="B381" t="str">
            <v>SRR17900550</v>
          </cell>
          <cell r="C381">
            <v>520</v>
          </cell>
          <cell r="D381">
            <v>21</v>
          </cell>
          <cell r="E381" t="str">
            <v>Homo sapiens</v>
          </cell>
          <cell r="F381" t="str">
            <v>Campylobacter jejuni</v>
          </cell>
          <cell r="G381" t="str">
            <v>exact</v>
          </cell>
          <cell r="H381" t="str">
            <v>CAMP0331(cmeB)_604</v>
          </cell>
          <cell r="I381" t="str">
            <v>CAMP0331(cmeB)</v>
          </cell>
          <cell r="J381">
            <v>604</v>
          </cell>
        </row>
        <row r="382">
          <cell r="A382" t="str">
            <v>SC0237</v>
          </cell>
          <cell r="B382" t="str">
            <v>SRR17900551</v>
          </cell>
          <cell r="C382">
            <v>2392</v>
          </cell>
          <cell r="D382">
            <v>52</v>
          </cell>
          <cell r="E382" t="str">
            <v>Homo sapiens</v>
          </cell>
          <cell r="F382" t="str">
            <v>Campylobacter jejuni</v>
          </cell>
          <cell r="G382" t="str">
            <v>exact</v>
          </cell>
          <cell r="H382" t="str">
            <v>CAMP0331(cmeB)_4945</v>
          </cell>
          <cell r="I382" t="str">
            <v>CAMP0331(cmeB)</v>
          </cell>
          <cell r="J382">
            <v>4945</v>
          </cell>
        </row>
        <row r="383">
          <cell r="A383" t="str">
            <v>SC0236</v>
          </cell>
          <cell r="B383" t="str">
            <v>SRR17900552</v>
          </cell>
          <cell r="C383">
            <v>45</v>
          </cell>
          <cell r="D383">
            <v>45</v>
          </cell>
          <cell r="E383" t="str">
            <v>Homo sapiens</v>
          </cell>
          <cell r="F383" t="str">
            <v>Campylobacter jejuni</v>
          </cell>
          <cell r="G383" t="str">
            <v>exact</v>
          </cell>
          <cell r="H383" t="str">
            <v>CAMP0331(cmeB)_27</v>
          </cell>
          <cell r="I383" t="str">
            <v>CAMP0331(cmeB)</v>
          </cell>
          <cell r="J383">
            <v>27</v>
          </cell>
        </row>
        <row r="384">
          <cell r="A384" t="str">
            <v>SC0234</v>
          </cell>
          <cell r="B384" t="str">
            <v>SRR17900554</v>
          </cell>
          <cell r="C384">
            <v>4258</v>
          </cell>
          <cell r="D384">
            <v>0</v>
          </cell>
          <cell r="E384" t="str">
            <v>Homo sapiens</v>
          </cell>
          <cell r="F384" t="str">
            <v>Campylobacter jejuni</v>
          </cell>
          <cell r="G384" t="str">
            <v>exact</v>
          </cell>
          <cell r="H384" t="str">
            <v>CAMP0331(cmeB)_151</v>
          </cell>
          <cell r="I384" t="str">
            <v>CAMP0331(cmeB)</v>
          </cell>
          <cell r="J384">
            <v>151</v>
          </cell>
        </row>
        <row r="385">
          <cell r="A385" t="str">
            <v>SC0473</v>
          </cell>
          <cell r="B385" t="str">
            <v>SRR17900555</v>
          </cell>
          <cell r="C385">
            <v>48</v>
          </cell>
          <cell r="D385">
            <v>48</v>
          </cell>
          <cell r="E385" t="str">
            <v>Gallus gallus</v>
          </cell>
          <cell r="F385" t="str">
            <v>Campylobacter jejuni</v>
          </cell>
          <cell r="G385" t="str">
            <v>exact</v>
          </cell>
          <cell r="H385" t="str">
            <v>CAMP0331(cmeB)_94</v>
          </cell>
          <cell r="I385" t="str">
            <v>CAMP0331(cmeB)</v>
          </cell>
          <cell r="J385">
            <v>94</v>
          </cell>
        </row>
        <row r="386">
          <cell r="A386" t="str">
            <v>SC0228</v>
          </cell>
          <cell r="B386" t="str">
            <v>SRR17900556</v>
          </cell>
          <cell r="C386">
            <v>6964</v>
          </cell>
          <cell r="D386">
            <v>354</v>
          </cell>
          <cell r="E386" t="str">
            <v>Gallus gallus</v>
          </cell>
          <cell r="F386" t="str">
            <v>Campylobacter jejuni</v>
          </cell>
          <cell r="G386" t="str">
            <v>exact</v>
          </cell>
          <cell r="H386" t="str">
            <v>CAMP0331(cmeB)_1451</v>
          </cell>
          <cell r="I386" t="str">
            <v>CAMP0331(cmeB)</v>
          </cell>
          <cell r="J386">
            <v>1451</v>
          </cell>
        </row>
        <row r="387">
          <cell r="A387" t="str">
            <v>SC0472</v>
          </cell>
          <cell r="B387" t="str">
            <v>SRR17900557</v>
          </cell>
          <cell r="C387">
            <v>6964</v>
          </cell>
          <cell r="D387">
            <v>354</v>
          </cell>
          <cell r="E387" t="str">
            <v>Gallus gallus</v>
          </cell>
          <cell r="F387" t="str">
            <v>Campylobacter jejuni</v>
          </cell>
          <cell r="G387" t="str">
            <v>exact</v>
          </cell>
          <cell r="H387" t="str">
            <v>CAMP0331(cmeB)_1451</v>
          </cell>
          <cell r="I387" t="str">
            <v>CAMP0331(cmeB)</v>
          </cell>
          <cell r="J387">
            <v>1451</v>
          </cell>
        </row>
        <row r="388">
          <cell r="A388" t="str">
            <v>SC0471</v>
          </cell>
          <cell r="B388" t="str">
            <v>SRR17900558</v>
          </cell>
          <cell r="C388">
            <v>859</v>
          </cell>
          <cell r="D388">
            <v>443</v>
          </cell>
          <cell r="E388" t="str">
            <v>Homo sapiens</v>
          </cell>
          <cell r="F388" t="str">
            <v>Campylobacter jejuni</v>
          </cell>
          <cell r="G388" t="str">
            <v>exact</v>
          </cell>
          <cell r="H388" t="str">
            <v>CAMP0331(cmeB)_3624</v>
          </cell>
          <cell r="I388" t="str">
            <v>CAMP0331(cmeB)</v>
          </cell>
          <cell r="J388">
            <v>3624</v>
          </cell>
        </row>
        <row r="389">
          <cell r="A389" t="str">
            <v>SC0470</v>
          </cell>
          <cell r="B389" t="str">
            <v>SRR17900559</v>
          </cell>
          <cell r="C389">
            <v>50</v>
          </cell>
          <cell r="D389">
            <v>21</v>
          </cell>
          <cell r="E389" t="str">
            <v>Homo sapiens</v>
          </cell>
          <cell r="F389" t="str">
            <v>Campylobacter jejuni</v>
          </cell>
          <cell r="G389" t="str">
            <v>exact</v>
          </cell>
          <cell r="H389" t="str">
            <v>CAMP0331(cmeB)_369</v>
          </cell>
          <cell r="I389" t="str">
            <v>CAMP0331(cmeB)</v>
          </cell>
          <cell r="J389">
            <v>369</v>
          </cell>
        </row>
        <row r="390">
          <cell r="A390" t="str">
            <v>SC0469</v>
          </cell>
          <cell r="B390" t="str">
            <v>SRR17900560</v>
          </cell>
          <cell r="C390">
            <v>53</v>
          </cell>
          <cell r="D390">
            <v>21</v>
          </cell>
          <cell r="E390" t="str">
            <v>Homo sapiens</v>
          </cell>
          <cell r="F390" t="str">
            <v>Campylobacter jejuni</v>
          </cell>
          <cell r="G390" t="str">
            <v>exact</v>
          </cell>
          <cell r="H390" t="str">
            <v>CAMP0331(cmeB)_604</v>
          </cell>
          <cell r="I390" t="str">
            <v>CAMP0331(cmeB)</v>
          </cell>
          <cell r="J390">
            <v>604</v>
          </cell>
        </row>
        <row r="391">
          <cell r="A391" t="str">
            <v>SC0468</v>
          </cell>
          <cell r="B391" t="str">
            <v>SRR17900561</v>
          </cell>
          <cell r="C391">
            <v>190</v>
          </cell>
          <cell r="D391">
            <v>21</v>
          </cell>
          <cell r="E391" t="str">
            <v>Homo sapiens</v>
          </cell>
          <cell r="F391" t="str">
            <v>Campylobacter jejuni</v>
          </cell>
          <cell r="G391" t="str">
            <v>exact</v>
          </cell>
          <cell r="H391" t="str">
            <v>CAMP0331(cmeB)_604</v>
          </cell>
          <cell r="I391" t="str">
            <v>CAMP0331(cmeB)</v>
          </cell>
          <cell r="J391">
            <v>604</v>
          </cell>
        </row>
        <row r="392">
          <cell r="A392" t="str">
            <v>SC0467</v>
          </cell>
          <cell r="B392" t="str">
            <v>SRR17900562</v>
          </cell>
          <cell r="C392">
            <v>48</v>
          </cell>
          <cell r="D392">
            <v>48</v>
          </cell>
          <cell r="E392" t="str">
            <v>Homo sapiens</v>
          </cell>
          <cell r="F392" t="str">
            <v>Campylobacter jejuni</v>
          </cell>
          <cell r="G392" t="str">
            <v>exact</v>
          </cell>
          <cell r="H392" t="str">
            <v>CAMP0331(cmeB)_94</v>
          </cell>
          <cell r="I392" t="str">
            <v>CAMP0331(cmeB)</v>
          </cell>
          <cell r="J392">
            <v>94</v>
          </cell>
        </row>
        <row r="393">
          <cell r="A393" t="str">
            <v>SC0466</v>
          </cell>
          <cell r="B393" t="str">
            <v>SRR17900563</v>
          </cell>
          <cell r="C393">
            <v>1232</v>
          </cell>
          <cell r="D393">
            <v>353</v>
          </cell>
          <cell r="E393" t="str">
            <v>Homo sapiens</v>
          </cell>
          <cell r="F393" t="str">
            <v>Campylobacter jejuni</v>
          </cell>
          <cell r="G393" t="str">
            <v>exact</v>
          </cell>
          <cell r="H393" t="str">
            <v>CAMP0331(cmeB)_4944</v>
          </cell>
          <cell r="I393" t="str">
            <v>CAMP0331(cmeB)</v>
          </cell>
          <cell r="J393">
            <v>4944</v>
          </cell>
        </row>
        <row r="394">
          <cell r="A394" t="str">
            <v>SC0465</v>
          </cell>
          <cell r="B394" t="str">
            <v>SRR17900564</v>
          </cell>
          <cell r="C394">
            <v>257</v>
          </cell>
          <cell r="D394">
            <v>257</v>
          </cell>
          <cell r="E394" t="str">
            <v>Homo sapiens</v>
          </cell>
          <cell r="F394" t="str">
            <v>Campylobacter jejuni</v>
          </cell>
          <cell r="G394" t="str">
            <v>exact</v>
          </cell>
          <cell r="H394" t="str">
            <v>CAMP0331(cmeB)_51</v>
          </cell>
          <cell r="I394" t="str">
            <v>CAMP0331(cmeB)</v>
          </cell>
          <cell r="J394">
            <v>51</v>
          </cell>
        </row>
        <row r="395">
          <cell r="A395" t="str">
            <v>SC0464</v>
          </cell>
          <cell r="B395" t="str">
            <v>SRR17900565</v>
          </cell>
          <cell r="C395">
            <v>538</v>
          </cell>
          <cell r="D395">
            <v>45</v>
          </cell>
          <cell r="E395" t="str">
            <v>Homo sapiens</v>
          </cell>
          <cell r="F395" t="str">
            <v>Campylobacter jejuni</v>
          </cell>
          <cell r="G395" t="str">
            <v>exact</v>
          </cell>
          <cell r="H395" t="str">
            <v>CAMP0331(cmeB)_27</v>
          </cell>
          <cell r="I395" t="str">
            <v>CAMP0331(cmeB)</v>
          </cell>
          <cell r="J395">
            <v>27</v>
          </cell>
        </row>
        <row r="396">
          <cell r="A396" t="str">
            <v>SC0463</v>
          </cell>
          <cell r="B396" t="str">
            <v>SRR17900566</v>
          </cell>
          <cell r="C396">
            <v>6964</v>
          </cell>
          <cell r="D396">
            <v>354</v>
          </cell>
          <cell r="E396" t="str">
            <v>Homo sapiens</v>
          </cell>
          <cell r="F396" t="str">
            <v>Campylobacter jejuni</v>
          </cell>
          <cell r="G396" t="str">
            <v>exact</v>
          </cell>
          <cell r="H396" t="str">
            <v>CAMP0331(cmeB)_1451</v>
          </cell>
          <cell r="I396" t="str">
            <v>CAMP0331(cmeB)</v>
          </cell>
          <cell r="J396">
            <v>1451</v>
          </cell>
        </row>
        <row r="397">
          <cell r="A397" t="str">
            <v>SC0227</v>
          </cell>
          <cell r="B397" t="str">
            <v>SRR17900567</v>
          </cell>
          <cell r="C397">
            <v>190</v>
          </cell>
          <cell r="D397">
            <v>21</v>
          </cell>
          <cell r="E397" t="str">
            <v>Gallus gallus</v>
          </cell>
          <cell r="F397" t="str">
            <v>Campylobacter jejuni</v>
          </cell>
          <cell r="G397" t="str">
            <v>exact</v>
          </cell>
          <cell r="H397" t="str">
            <v>CAMP0331(cmeB)_604</v>
          </cell>
          <cell r="I397" t="str">
            <v>CAMP0331(cmeB)</v>
          </cell>
          <cell r="J397">
            <v>604</v>
          </cell>
        </row>
        <row r="398">
          <cell r="A398" t="str">
            <v>SC0462</v>
          </cell>
          <cell r="B398" t="str">
            <v>SRR17900568</v>
          </cell>
          <cell r="C398">
            <v>50</v>
          </cell>
          <cell r="D398">
            <v>21</v>
          </cell>
          <cell r="E398" t="str">
            <v>Homo sapiens</v>
          </cell>
          <cell r="F398" t="str">
            <v>Campylobacter jejuni</v>
          </cell>
          <cell r="G398" t="str">
            <v>exact</v>
          </cell>
          <cell r="H398" t="str">
            <v>CAMP0331(cmeB)_637</v>
          </cell>
          <cell r="I398" t="str">
            <v>CAMP0331(cmeB)</v>
          </cell>
          <cell r="J398">
            <v>637</v>
          </cell>
        </row>
        <row r="399">
          <cell r="A399" t="str">
            <v>SC0461</v>
          </cell>
          <cell r="B399" t="str">
            <v>SRR17900569</v>
          </cell>
          <cell r="C399">
            <v>6964</v>
          </cell>
          <cell r="D399">
            <v>354</v>
          </cell>
          <cell r="E399" t="str">
            <v>Homo sapiens</v>
          </cell>
          <cell r="F399" t="str">
            <v>Campylobacter jejuni</v>
          </cell>
          <cell r="G399" t="str">
            <v>exact</v>
          </cell>
          <cell r="H399" t="str">
            <v>CAMP0331(cmeB)_1451</v>
          </cell>
          <cell r="I399" t="str">
            <v>CAMP0331(cmeB)</v>
          </cell>
          <cell r="J399">
            <v>1451</v>
          </cell>
        </row>
        <row r="400">
          <cell r="A400" t="str">
            <v>SC0460</v>
          </cell>
          <cell r="B400" t="str">
            <v>SRR17900570</v>
          </cell>
          <cell r="C400">
            <v>331</v>
          </cell>
          <cell r="D400">
            <v>0</v>
          </cell>
          <cell r="E400" t="str">
            <v>Homo sapiens</v>
          </cell>
          <cell r="F400" t="str">
            <v>Campylobacter jejuni</v>
          </cell>
          <cell r="G400" t="str">
            <v>exact</v>
          </cell>
          <cell r="H400" t="str">
            <v>CAMP0331(cmeB)_857</v>
          </cell>
          <cell r="I400" t="str">
            <v>CAMP0331(cmeB)</v>
          </cell>
          <cell r="J400">
            <v>857</v>
          </cell>
        </row>
        <row r="401">
          <cell r="A401" t="str">
            <v>SC0459</v>
          </cell>
          <cell r="B401" t="str">
            <v>SRR17900571</v>
          </cell>
          <cell r="C401">
            <v>51</v>
          </cell>
          <cell r="D401">
            <v>443</v>
          </cell>
          <cell r="E401" t="str">
            <v>Homo sapiens</v>
          </cell>
          <cell r="F401" t="str">
            <v>Campylobacter jejuni</v>
          </cell>
          <cell r="G401" t="str">
            <v>exact</v>
          </cell>
          <cell r="H401" t="str">
            <v>CAMP0331(cmeB)_3626</v>
          </cell>
          <cell r="I401" t="str">
            <v>CAMP0331(cmeB)</v>
          </cell>
          <cell r="J401">
            <v>3626</v>
          </cell>
        </row>
        <row r="402">
          <cell r="A402" t="str">
            <v>SC0458</v>
          </cell>
          <cell r="B402" t="str">
            <v>SRR17900572</v>
          </cell>
          <cell r="C402">
            <v>0</v>
          </cell>
          <cell r="D402">
            <v>0</v>
          </cell>
          <cell r="E402" t="str">
            <v>Homo sapiens</v>
          </cell>
          <cell r="F402" t="str">
            <v>Campylobacter coli</v>
          </cell>
          <cell r="G402" t="str">
            <v>exact</v>
          </cell>
          <cell r="H402" t="str">
            <v>CAMP0331(cmeB)_3244</v>
          </cell>
          <cell r="I402" t="str">
            <v>CAMP0331(cmeB)</v>
          </cell>
          <cell r="J402">
            <v>3244</v>
          </cell>
        </row>
        <row r="403">
          <cell r="A403" t="str">
            <v>SC0457</v>
          </cell>
          <cell r="B403" t="str">
            <v>SRR17900573</v>
          </cell>
          <cell r="C403">
            <v>51</v>
          </cell>
          <cell r="D403">
            <v>443</v>
          </cell>
          <cell r="E403" t="str">
            <v>Homo sapiens</v>
          </cell>
          <cell r="F403" t="str">
            <v>Campylobacter jejuni</v>
          </cell>
          <cell r="G403" t="str">
            <v>exact</v>
          </cell>
          <cell r="H403" t="str">
            <v>CAMP0331(cmeB)_127</v>
          </cell>
          <cell r="I403" t="str">
            <v>CAMP0331(cmeB)</v>
          </cell>
          <cell r="J403">
            <v>127</v>
          </cell>
        </row>
        <row r="404">
          <cell r="A404" t="str">
            <v>SC0455</v>
          </cell>
          <cell r="B404" t="str">
            <v>SRR17900575</v>
          </cell>
          <cell r="C404">
            <v>50</v>
          </cell>
          <cell r="D404">
            <v>21</v>
          </cell>
          <cell r="E404" t="str">
            <v>Gallus gallus</v>
          </cell>
          <cell r="F404" t="str">
            <v>Campylobacter jejuni</v>
          </cell>
          <cell r="G404" t="str">
            <v>exact</v>
          </cell>
          <cell r="H404" t="str">
            <v>CAMP0331(cmeB)_369</v>
          </cell>
          <cell r="I404" t="str">
            <v>CAMP0331(cmeB)</v>
          </cell>
          <cell r="J404">
            <v>369</v>
          </cell>
        </row>
        <row r="405">
          <cell r="A405" t="str">
            <v>SC0226</v>
          </cell>
          <cell r="B405" t="str">
            <v>SRR17900578</v>
          </cell>
          <cell r="C405">
            <v>190</v>
          </cell>
          <cell r="D405">
            <v>21</v>
          </cell>
          <cell r="E405" t="str">
            <v>Gallus gallus</v>
          </cell>
          <cell r="F405" t="str">
            <v>Campylobacter jejuni</v>
          </cell>
          <cell r="G405" t="str">
            <v>exact</v>
          </cell>
          <cell r="H405" t="str">
            <v>CAMP0331(cmeB)_604</v>
          </cell>
          <cell r="I405" t="str">
            <v>CAMP0331(cmeB)</v>
          </cell>
          <cell r="J405">
            <v>604</v>
          </cell>
        </row>
        <row r="406">
          <cell r="A406" t="str">
            <v>SC0452</v>
          </cell>
          <cell r="B406" t="str">
            <v>SRR17900579</v>
          </cell>
          <cell r="C406">
            <v>50</v>
          </cell>
          <cell r="D406">
            <v>21</v>
          </cell>
          <cell r="E406" t="str">
            <v>Gallus gallus</v>
          </cell>
          <cell r="F406" t="str">
            <v>Campylobacter jejuni</v>
          </cell>
          <cell r="G406" t="str">
            <v>exact</v>
          </cell>
          <cell r="H406" t="str">
            <v>CAMP0331(cmeB)_1</v>
          </cell>
          <cell r="I406" t="str">
            <v>CAMP0331(cmeB)</v>
          </cell>
          <cell r="J406">
            <v>1</v>
          </cell>
        </row>
        <row r="407">
          <cell r="A407" t="str">
            <v>SC0451</v>
          </cell>
          <cell r="B407" t="str">
            <v>SRR17900580</v>
          </cell>
          <cell r="C407">
            <v>227</v>
          </cell>
          <cell r="D407">
            <v>206</v>
          </cell>
          <cell r="E407" t="str">
            <v>Homo sapiens</v>
          </cell>
          <cell r="F407" t="str">
            <v>Campylobacter jejuni</v>
          </cell>
          <cell r="G407" t="str">
            <v>exact</v>
          </cell>
          <cell r="H407" t="str">
            <v>CAMP0331(cmeB)_1</v>
          </cell>
          <cell r="I407" t="str">
            <v>CAMP0331(cmeB)</v>
          </cell>
          <cell r="J407">
            <v>1</v>
          </cell>
        </row>
        <row r="408">
          <cell r="A408" t="str">
            <v>SC0450</v>
          </cell>
          <cell r="B408" t="str">
            <v>SRR17900581</v>
          </cell>
          <cell r="C408">
            <v>508</v>
          </cell>
          <cell r="D408">
            <v>508</v>
          </cell>
          <cell r="E408" t="str">
            <v>Homo sapiens</v>
          </cell>
          <cell r="F408" t="str">
            <v>Campylobacter jejuni</v>
          </cell>
          <cell r="G408" t="str">
            <v>exact</v>
          </cell>
          <cell r="H408" t="str">
            <v>CAMP0331(cmeB)_43</v>
          </cell>
          <cell r="I408" t="str">
            <v>CAMP0331(cmeB)</v>
          </cell>
          <cell r="J408">
            <v>43</v>
          </cell>
        </row>
        <row r="409">
          <cell r="A409" t="str">
            <v>SC0449</v>
          </cell>
          <cell r="B409" t="str">
            <v>SRR17900582</v>
          </cell>
          <cell r="C409">
            <v>50</v>
          </cell>
          <cell r="D409">
            <v>21</v>
          </cell>
          <cell r="E409" t="str">
            <v>Homo sapiens</v>
          </cell>
          <cell r="F409" t="str">
            <v>Campylobacter jejuni</v>
          </cell>
          <cell r="G409" t="str">
            <v>exact</v>
          </cell>
          <cell r="H409" t="str">
            <v>CAMP0331(cmeB)_1</v>
          </cell>
          <cell r="I409" t="str">
            <v>CAMP0331(cmeB)</v>
          </cell>
          <cell r="J409">
            <v>1</v>
          </cell>
        </row>
        <row r="410">
          <cell r="A410" t="str">
            <v>SC0448</v>
          </cell>
          <cell r="B410" t="str">
            <v>SRR17900583</v>
          </cell>
          <cell r="C410">
            <v>6964</v>
          </cell>
          <cell r="D410">
            <v>354</v>
          </cell>
          <cell r="E410" t="str">
            <v>Homo sapiens</v>
          </cell>
          <cell r="F410" t="str">
            <v>Campylobacter jejuni</v>
          </cell>
          <cell r="G410" t="str">
            <v>exact</v>
          </cell>
          <cell r="H410" t="str">
            <v>CAMP0331(cmeB)_1451</v>
          </cell>
          <cell r="I410" t="str">
            <v>CAMP0331(cmeB)</v>
          </cell>
          <cell r="J410">
            <v>1451</v>
          </cell>
        </row>
        <row r="411">
          <cell r="A411" t="str">
            <v>SC0446</v>
          </cell>
          <cell r="B411" t="str">
            <v>SRR17900585</v>
          </cell>
          <cell r="C411">
            <v>22</v>
          </cell>
          <cell r="D411">
            <v>22</v>
          </cell>
          <cell r="E411" t="str">
            <v>Homo sapiens</v>
          </cell>
          <cell r="F411" t="str">
            <v>Campylobacter jejuni</v>
          </cell>
          <cell r="G411" t="str">
            <v>exact</v>
          </cell>
          <cell r="H411" t="str">
            <v>CAMP0331(cmeB)_47</v>
          </cell>
          <cell r="I411" t="str">
            <v>CAMP0331(cmeB)</v>
          </cell>
          <cell r="J411">
            <v>47</v>
          </cell>
        </row>
        <row r="412">
          <cell r="A412" t="str">
            <v>SC0445</v>
          </cell>
          <cell r="B412" t="str">
            <v>SRR17900586</v>
          </cell>
          <cell r="C412">
            <v>48</v>
          </cell>
          <cell r="D412">
            <v>48</v>
          </cell>
          <cell r="E412" t="str">
            <v>Homo sapiens</v>
          </cell>
          <cell r="F412" t="str">
            <v>Campylobacter jejuni</v>
          </cell>
          <cell r="G412" t="str">
            <v>exact</v>
          </cell>
          <cell r="H412" t="str">
            <v>CAMP0331(cmeB)_94</v>
          </cell>
          <cell r="I412" t="str">
            <v>CAMP0331(cmeB)</v>
          </cell>
          <cell r="J412">
            <v>94</v>
          </cell>
        </row>
        <row r="413">
          <cell r="A413" t="str">
            <v>SC0600</v>
          </cell>
          <cell r="B413" t="str">
            <v>SRR17925112</v>
          </cell>
          <cell r="C413">
            <v>422</v>
          </cell>
          <cell r="D413">
            <v>21</v>
          </cell>
          <cell r="E413" t="str">
            <v>Homo sapiens</v>
          </cell>
          <cell r="F413" t="str">
            <v>Campylobacter jejuni</v>
          </cell>
          <cell r="G413" t="str">
            <v>exact</v>
          </cell>
          <cell r="H413" t="str">
            <v>CAMP0331(cmeB)_604</v>
          </cell>
          <cell r="I413" t="str">
            <v>CAMP0331(cmeB)</v>
          </cell>
          <cell r="J413">
            <v>604</v>
          </cell>
        </row>
        <row r="414">
          <cell r="A414" t="str">
            <v>SC0598</v>
          </cell>
          <cell r="B414" t="str">
            <v>SRR17925114</v>
          </cell>
          <cell r="C414">
            <v>0</v>
          </cell>
          <cell r="D414">
            <v>0</v>
          </cell>
          <cell r="E414" t="str">
            <v>Homo sapiens</v>
          </cell>
          <cell r="F414" t="str">
            <v>Campylobacter coli</v>
          </cell>
          <cell r="G414" t="str">
            <v>exact</v>
          </cell>
          <cell r="H414" t="str">
            <v>CAMP0331(cmeB)_56</v>
          </cell>
          <cell r="I414" t="str">
            <v>CAMP0331(cmeB)</v>
          </cell>
          <cell r="J414">
            <v>56</v>
          </cell>
        </row>
        <row r="415">
          <cell r="A415" t="str">
            <v>SC0597</v>
          </cell>
          <cell r="B415" t="str">
            <v>SRR17925115</v>
          </cell>
          <cell r="C415">
            <v>2345</v>
          </cell>
          <cell r="D415">
            <v>206</v>
          </cell>
          <cell r="E415" t="str">
            <v>Homo sapiens</v>
          </cell>
          <cell r="F415" t="str">
            <v>Campylobacter jejuni</v>
          </cell>
          <cell r="G415" t="str">
            <v>exact</v>
          </cell>
          <cell r="H415" t="str">
            <v>CAMP0331(cmeB)_158</v>
          </cell>
          <cell r="I415" t="str">
            <v>CAMP0331(cmeB)</v>
          </cell>
          <cell r="J415">
            <v>158</v>
          </cell>
        </row>
        <row r="416">
          <cell r="A416" t="str">
            <v>SC0596</v>
          </cell>
          <cell r="B416" t="str">
            <v>SRR17925116</v>
          </cell>
          <cell r="C416">
            <v>48</v>
          </cell>
          <cell r="D416">
            <v>48</v>
          </cell>
          <cell r="E416" t="str">
            <v>Homo sapiens</v>
          </cell>
          <cell r="F416" t="str">
            <v>Campylobacter jejuni</v>
          </cell>
          <cell r="G416" t="str">
            <v>exact</v>
          </cell>
          <cell r="H416" t="str">
            <v>CAMP0331(cmeB)_94</v>
          </cell>
          <cell r="I416" t="str">
            <v>CAMP0331(cmeB)</v>
          </cell>
          <cell r="J416">
            <v>94</v>
          </cell>
        </row>
        <row r="417">
          <cell r="A417" t="str">
            <v>SC0595</v>
          </cell>
          <cell r="B417" t="str">
            <v>SRR17925117</v>
          </cell>
          <cell r="C417">
            <v>48</v>
          </cell>
          <cell r="D417">
            <v>48</v>
          </cell>
          <cell r="E417" t="str">
            <v>Homo sapiens</v>
          </cell>
          <cell r="F417" t="str">
            <v>Campylobacter jejuni</v>
          </cell>
          <cell r="G417" t="str">
            <v>exact</v>
          </cell>
          <cell r="H417" t="str">
            <v>CAMP0331(cmeB)_94</v>
          </cell>
          <cell r="I417" t="str">
            <v>CAMP0331(cmeB)</v>
          </cell>
          <cell r="J417">
            <v>94</v>
          </cell>
        </row>
        <row r="418">
          <cell r="A418" t="str">
            <v>SC0593</v>
          </cell>
          <cell r="B418" t="str">
            <v>SRR17925119</v>
          </cell>
          <cell r="C418">
            <v>6964</v>
          </cell>
          <cell r="D418">
            <v>354</v>
          </cell>
          <cell r="E418" t="str">
            <v>Homo sapiens</v>
          </cell>
          <cell r="F418" t="str">
            <v>Campylobacter jejuni</v>
          </cell>
          <cell r="G418" t="str">
            <v>exact</v>
          </cell>
          <cell r="H418" t="str">
            <v>CAMP0331(cmeB)_1451</v>
          </cell>
          <cell r="I418" t="str">
            <v>CAMP0331(cmeB)</v>
          </cell>
          <cell r="J418">
            <v>1451</v>
          </cell>
        </row>
        <row r="419">
          <cell r="A419" t="str">
            <v>SC0591</v>
          </cell>
          <cell r="B419" t="str">
            <v>SRR17925121</v>
          </cell>
          <cell r="C419">
            <v>48</v>
          </cell>
          <cell r="D419">
            <v>48</v>
          </cell>
          <cell r="E419" t="str">
            <v>Homo sapiens</v>
          </cell>
          <cell r="F419" t="str">
            <v>Campylobacter jejuni</v>
          </cell>
          <cell r="G419" t="str">
            <v>exact</v>
          </cell>
          <cell r="H419" t="str">
            <v>CAMP0331(cmeB)_94</v>
          </cell>
          <cell r="I419" t="str">
            <v>CAMP0331(cmeB)</v>
          </cell>
          <cell r="J419">
            <v>94</v>
          </cell>
        </row>
        <row r="420">
          <cell r="A420" t="str">
            <v>SC0510</v>
          </cell>
          <cell r="B420" t="str">
            <v>SRR17925122</v>
          </cell>
          <cell r="C420">
            <v>583</v>
          </cell>
          <cell r="D420">
            <v>45</v>
          </cell>
          <cell r="E420" t="str">
            <v>Homo sapiens</v>
          </cell>
          <cell r="F420" t="str">
            <v>Campylobacter jejuni</v>
          </cell>
          <cell r="G420" t="str">
            <v>exact</v>
          </cell>
          <cell r="H420" t="str">
            <v>CAMP0331(cmeB)_24</v>
          </cell>
          <cell r="I420" t="str">
            <v>CAMP0331(cmeB)</v>
          </cell>
          <cell r="J420">
            <v>24</v>
          </cell>
        </row>
        <row r="421">
          <cell r="A421" t="str">
            <v>SC0590</v>
          </cell>
          <cell r="B421" t="str">
            <v>SRR17925123</v>
          </cell>
          <cell r="C421">
            <v>48</v>
          </cell>
          <cell r="D421">
            <v>48</v>
          </cell>
          <cell r="E421" t="str">
            <v>Homo sapiens</v>
          </cell>
          <cell r="F421" t="str">
            <v>Campylobacter jejuni</v>
          </cell>
          <cell r="G421" t="str">
            <v>exact</v>
          </cell>
          <cell r="H421" t="str">
            <v>CAMP0331(cmeB)_94</v>
          </cell>
          <cell r="I421" t="str">
            <v>CAMP0331(cmeB)</v>
          </cell>
          <cell r="J421">
            <v>94</v>
          </cell>
        </row>
        <row r="422">
          <cell r="A422" t="str">
            <v>SC0589</v>
          </cell>
          <cell r="B422" t="str">
            <v>SRR17925124</v>
          </cell>
          <cell r="C422">
            <v>6964</v>
          </cell>
          <cell r="D422">
            <v>354</v>
          </cell>
          <cell r="E422" t="str">
            <v>Homo sapiens</v>
          </cell>
          <cell r="F422" t="str">
            <v>Campylobacter jejuni</v>
          </cell>
          <cell r="G422" t="str">
            <v>exact</v>
          </cell>
          <cell r="H422" t="str">
            <v>CAMP0331(cmeB)_1451</v>
          </cell>
          <cell r="I422" t="str">
            <v>CAMP0331(cmeB)</v>
          </cell>
          <cell r="J422">
            <v>1451</v>
          </cell>
        </row>
        <row r="423">
          <cell r="A423" t="str">
            <v>SC0588</v>
          </cell>
          <cell r="B423" t="str">
            <v>SRR17925125</v>
          </cell>
          <cell r="C423">
            <v>583</v>
          </cell>
          <cell r="D423">
            <v>45</v>
          </cell>
          <cell r="E423" t="str">
            <v>Homo sapiens</v>
          </cell>
          <cell r="F423" t="str">
            <v>Campylobacter jejuni</v>
          </cell>
          <cell r="G423" t="str">
            <v>exact</v>
          </cell>
          <cell r="H423" t="str">
            <v>CAMP0331(cmeB)_24</v>
          </cell>
          <cell r="I423" t="str">
            <v>CAMP0331(cmeB)</v>
          </cell>
          <cell r="J423">
            <v>24</v>
          </cell>
        </row>
        <row r="424">
          <cell r="A424" t="str">
            <v>SC0587</v>
          </cell>
          <cell r="B424" t="str">
            <v>SRR17925126</v>
          </cell>
          <cell r="C424">
            <v>6964</v>
          </cell>
          <cell r="D424">
            <v>354</v>
          </cell>
          <cell r="E424" t="str">
            <v>Homo sapiens</v>
          </cell>
          <cell r="F424" t="str">
            <v>Campylobacter jejuni</v>
          </cell>
          <cell r="G424" t="str">
            <v>exact</v>
          </cell>
          <cell r="H424" t="str">
            <v>CAMP0331(cmeB)_1451</v>
          </cell>
          <cell r="I424" t="str">
            <v>CAMP0331(cmeB)</v>
          </cell>
          <cell r="J424">
            <v>1451</v>
          </cell>
        </row>
        <row r="425">
          <cell r="A425" t="str">
            <v>SC0586</v>
          </cell>
          <cell r="B425" t="str">
            <v>SRR17925127</v>
          </cell>
          <cell r="C425">
            <v>4337</v>
          </cell>
          <cell r="D425">
            <v>21</v>
          </cell>
          <cell r="E425" t="str">
            <v>Homo sapiens</v>
          </cell>
          <cell r="F425" t="str">
            <v>Campylobacter jejuni</v>
          </cell>
          <cell r="G425" t="str">
            <v>exact</v>
          </cell>
          <cell r="H425" t="str">
            <v>CAMP0331(cmeB)_604</v>
          </cell>
          <cell r="I425" t="str">
            <v>CAMP0331(cmeB)</v>
          </cell>
          <cell r="J425">
            <v>604</v>
          </cell>
        </row>
        <row r="426">
          <cell r="A426" t="str">
            <v>SC0585</v>
          </cell>
          <cell r="B426" t="str">
            <v>SRR17925128</v>
          </cell>
          <cell r="C426">
            <v>3222</v>
          </cell>
          <cell r="D426">
            <v>0</v>
          </cell>
          <cell r="E426" t="str">
            <v>Ovis aries</v>
          </cell>
          <cell r="F426" t="str">
            <v>Campylobacter coli</v>
          </cell>
          <cell r="G426" t="str">
            <v>exact</v>
          </cell>
          <cell r="H426" t="str">
            <v>CAMP0331(cmeB)_1205</v>
          </cell>
          <cell r="I426" t="str">
            <v>CAMP0331(cmeB)</v>
          </cell>
          <cell r="J426">
            <v>1205</v>
          </cell>
        </row>
        <row r="427">
          <cell r="A427" t="str">
            <v>SC0584</v>
          </cell>
          <cell r="B427" t="str">
            <v>SRR17925129</v>
          </cell>
          <cell r="C427">
            <v>3676</v>
          </cell>
          <cell r="D427">
            <v>42</v>
          </cell>
          <cell r="E427" t="str">
            <v>Ovis aries</v>
          </cell>
          <cell r="F427" t="str">
            <v>Campylobacter jejuni</v>
          </cell>
          <cell r="G427" t="str">
            <v>exact</v>
          </cell>
          <cell r="H427" t="str">
            <v>CAMP0331(cmeB)_22</v>
          </cell>
          <cell r="I427" t="str">
            <v>CAMP0331(cmeB)</v>
          </cell>
          <cell r="J427">
            <v>22</v>
          </cell>
        </row>
        <row r="428">
          <cell r="A428" t="str">
            <v>SC0583</v>
          </cell>
          <cell r="B428" t="str">
            <v>SRR17925130</v>
          </cell>
          <cell r="C428">
            <v>422</v>
          </cell>
          <cell r="D428">
            <v>21</v>
          </cell>
          <cell r="E428" t="str">
            <v>Ovis aries</v>
          </cell>
          <cell r="F428" t="str">
            <v>Campylobacter jejuni</v>
          </cell>
          <cell r="G428" t="str">
            <v>exact</v>
          </cell>
          <cell r="H428" t="str">
            <v>CAMP0331(cmeB)_604</v>
          </cell>
          <cell r="I428" t="str">
            <v>CAMP0331(cmeB)</v>
          </cell>
          <cell r="J428">
            <v>604</v>
          </cell>
        </row>
        <row r="429">
          <cell r="A429" t="str">
            <v>SC0582</v>
          </cell>
          <cell r="B429" t="str">
            <v>SRR17925131</v>
          </cell>
          <cell r="C429">
            <v>42</v>
          </cell>
          <cell r="D429">
            <v>42</v>
          </cell>
          <cell r="E429" t="str">
            <v>Ovis aries</v>
          </cell>
          <cell r="F429" t="str">
            <v>Campylobacter jejuni</v>
          </cell>
          <cell r="G429" t="str">
            <v>exact</v>
          </cell>
          <cell r="H429" t="str">
            <v>CAMP0331(cmeB)_22</v>
          </cell>
          <cell r="I429" t="str">
            <v>CAMP0331(cmeB)</v>
          </cell>
          <cell r="J429">
            <v>22</v>
          </cell>
        </row>
        <row r="430">
          <cell r="A430" t="str">
            <v>SC0581</v>
          </cell>
          <cell r="B430" t="str">
            <v>SRR17925132</v>
          </cell>
          <cell r="C430">
            <v>825</v>
          </cell>
          <cell r="D430">
            <v>828</v>
          </cell>
          <cell r="E430" t="str">
            <v>Ovis aries</v>
          </cell>
          <cell r="F430" t="str">
            <v>Campylobacter coli</v>
          </cell>
          <cell r="G430" t="str">
            <v>exact</v>
          </cell>
          <cell r="H430" t="str">
            <v>CAMP0331(cmeB)_253</v>
          </cell>
          <cell r="I430" t="str">
            <v>CAMP0331(cmeB)</v>
          </cell>
          <cell r="J430">
            <v>253</v>
          </cell>
        </row>
        <row r="431">
          <cell r="A431" t="str">
            <v>SC0509</v>
          </cell>
          <cell r="B431" t="str">
            <v>SRR17925133</v>
          </cell>
          <cell r="C431">
            <v>45</v>
          </cell>
          <cell r="D431">
            <v>45</v>
          </cell>
          <cell r="E431" t="str">
            <v>Homo sapiens</v>
          </cell>
          <cell r="F431" t="str">
            <v>Campylobacter jejuni</v>
          </cell>
          <cell r="G431" t="str">
            <v>exact</v>
          </cell>
          <cell r="H431" t="str">
            <v>CAMP0331(cmeB)_5</v>
          </cell>
          <cell r="I431" t="str">
            <v>CAMP0331(cmeB)</v>
          </cell>
          <cell r="J431">
            <v>5</v>
          </cell>
        </row>
        <row r="432">
          <cell r="A432" t="str">
            <v>SC0580</v>
          </cell>
          <cell r="B432" t="str">
            <v>SRR17925134</v>
          </cell>
          <cell r="C432">
            <v>61</v>
          </cell>
          <cell r="D432">
            <v>61</v>
          </cell>
          <cell r="E432" t="str">
            <v>Ovis aries</v>
          </cell>
          <cell r="F432" t="str">
            <v>Campylobacter jejuni</v>
          </cell>
          <cell r="G432" t="str">
            <v>exact</v>
          </cell>
          <cell r="H432" t="str">
            <v>CAMP0331(cmeB)_14</v>
          </cell>
          <cell r="I432" t="str">
            <v>CAMP0331(cmeB)</v>
          </cell>
          <cell r="J432">
            <v>14</v>
          </cell>
        </row>
        <row r="433">
          <cell r="A433" t="str">
            <v>SC0579</v>
          </cell>
          <cell r="B433" t="str">
            <v>SRR17925135</v>
          </cell>
          <cell r="C433">
            <v>825</v>
          </cell>
          <cell r="D433">
            <v>828</v>
          </cell>
          <cell r="E433" t="str">
            <v>Ovis aries</v>
          </cell>
          <cell r="F433" t="str">
            <v>Campylobacter coli</v>
          </cell>
          <cell r="G433" t="str">
            <v>exact</v>
          </cell>
          <cell r="H433" t="str">
            <v>CAMP0331(cmeB)_253</v>
          </cell>
          <cell r="I433" t="str">
            <v>CAMP0331(cmeB)</v>
          </cell>
          <cell r="J433">
            <v>253</v>
          </cell>
        </row>
        <row r="434">
          <cell r="A434" t="str">
            <v>SC0578</v>
          </cell>
          <cell r="B434" t="str">
            <v>SRR17925136</v>
          </cell>
          <cell r="C434">
            <v>42</v>
          </cell>
          <cell r="D434">
            <v>42</v>
          </cell>
          <cell r="E434" t="str">
            <v>Ovis aries</v>
          </cell>
          <cell r="F434" t="str">
            <v>Campylobacter jejuni</v>
          </cell>
          <cell r="G434" t="str">
            <v>exact</v>
          </cell>
          <cell r="H434" t="str">
            <v>CAMP0331(cmeB)_22</v>
          </cell>
          <cell r="I434" t="str">
            <v>CAMP0331(cmeB)</v>
          </cell>
          <cell r="J434">
            <v>22</v>
          </cell>
        </row>
        <row r="435">
          <cell r="A435" t="str">
            <v>SC0577</v>
          </cell>
          <cell r="B435" t="str">
            <v>SRR17925137</v>
          </cell>
          <cell r="C435">
            <v>0</v>
          </cell>
          <cell r="D435">
            <v>0</v>
          </cell>
          <cell r="E435" t="str">
            <v>Ovis aries</v>
          </cell>
          <cell r="F435" t="str">
            <v>Campylobacter coli</v>
          </cell>
          <cell r="G435" t="str">
            <v>exact</v>
          </cell>
          <cell r="H435" t="str">
            <v>CAMP0331(cmeB)_1205</v>
          </cell>
          <cell r="I435" t="str">
            <v>CAMP0331(cmeB)</v>
          </cell>
          <cell r="J435">
            <v>1205</v>
          </cell>
        </row>
        <row r="436">
          <cell r="A436" t="str">
            <v>SC0840</v>
          </cell>
          <cell r="B436" t="str">
            <v>SRR17925138</v>
          </cell>
          <cell r="C436">
            <v>1581</v>
          </cell>
          <cell r="D436">
            <v>0</v>
          </cell>
          <cell r="E436" t="str">
            <v>Homo sapiens</v>
          </cell>
          <cell r="F436" t="str">
            <v>Campylobacter coli</v>
          </cell>
          <cell r="G436" t="str">
            <v>exact</v>
          </cell>
          <cell r="H436" t="str">
            <v>CAMP0331(cmeB)_690</v>
          </cell>
          <cell r="I436" t="str">
            <v>CAMP0331(cmeB)</v>
          </cell>
          <cell r="J436">
            <v>690</v>
          </cell>
        </row>
        <row r="437">
          <cell r="A437" t="str">
            <v>SC0838</v>
          </cell>
          <cell r="B437" t="str">
            <v>SRR17925139</v>
          </cell>
          <cell r="C437">
            <v>2345</v>
          </cell>
          <cell r="D437">
            <v>206</v>
          </cell>
          <cell r="E437" t="str">
            <v>Homo sapiens</v>
          </cell>
          <cell r="F437" t="str">
            <v>Campylobacter jejuni</v>
          </cell>
          <cell r="G437" t="str">
            <v>exact</v>
          </cell>
          <cell r="H437" t="str">
            <v>CAMP0331(cmeB)_158</v>
          </cell>
          <cell r="I437" t="str">
            <v>CAMP0331(cmeB)</v>
          </cell>
          <cell r="J437">
            <v>158</v>
          </cell>
        </row>
        <row r="438">
          <cell r="A438" t="str">
            <v>SC0837</v>
          </cell>
          <cell r="B438" t="str">
            <v>SRR17925140</v>
          </cell>
          <cell r="C438">
            <v>53</v>
          </cell>
          <cell r="D438">
            <v>21</v>
          </cell>
          <cell r="E438" t="str">
            <v>Homo sapiens</v>
          </cell>
          <cell r="F438" t="str">
            <v>Campylobacter jejuni</v>
          </cell>
          <cell r="G438" t="str">
            <v>exact</v>
          </cell>
          <cell r="H438" t="str">
            <v>CAMP0331(cmeB)_604</v>
          </cell>
          <cell r="I438" t="str">
            <v>CAMP0331(cmeB)</v>
          </cell>
          <cell r="J438">
            <v>604</v>
          </cell>
        </row>
        <row r="439">
          <cell r="A439" t="str">
            <v>SC0836</v>
          </cell>
          <cell r="B439" t="str">
            <v>SRR17925141</v>
          </cell>
          <cell r="C439">
            <v>48</v>
          </cell>
          <cell r="D439">
            <v>48</v>
          </cell>
          <cell r="E439" t="str">
            <v>Homo sapiens</v>
          </cell>
          <cell r="F439" t="str">
            <v>Campylobacter jejuni</v>
          </cell>
          <cell r="G439" t="str">
            <v>exact</v>
          </cell>
          <cell r="H439" t="str">
            <v>CAMP0331(cmeB)_94</v>
          </cell>
          <cell r="I439" t="str">
            <v>CAMP0331(cmeB)</v>
          </cell>
          <cell r="J439">
            <v>94</v>
          </cell>
        </row>
        <row r="440">
          <cell r="A440" t="str">
            <v>SC0834</v>
          </cell>
          <cell r="B440" t="str">
            <v>SRR17925142</v>
          </cell>
          <cell r="C440">
            <v>190</v>
          </cell>
          <cell r="D440">
            <v>21</v>
          </cell>
          <cell r="E440" t="str">
            <v>Homo sapiens</v>
          </cell>
          <cell r="F440" t="str">
            <v>Campylobacter jejuni</v>
          </cell>
          <cell r="G440" t="str">
            <v>exact</v>
          </cell>
          <cell r="H440" t="str">
            <v>CAMP0331(cmeB)_604</v>
          </cell>
          <cell r="I440" t="str">
            <v>CAMP0331(cmeB)</v>
          </cell>
          <cell r="J440">
            <v>604</v>
          </cell>
        </row>
        <row r="441">
          <cell r="A441" t="str">
            <v>SC0832</v>
          </cell>
          <cell r="B441" t="str">
            <v>SRR17925143</v>
          </cell>
          <cell r="C441">
            <v>48</v>
          </cell>
          <cell r="D441">
            <v>48</v>
          </cell>
          <cell r="E441" t="str">
            <v>Homo sapiens</v>
          </cell>
          <cell r="F441" t="str">
            <v>Campylobacter jejuni</v>
          </cell>
          <cell r="G441" t="str">
            <v>exact</v>
          </cell>
          <cell r="H441" t="str">
            <v>CAMP0331(cmeB)_94</v>
          </cell>
          <cell r="I441" t="str">
            <v>CAMP0331(cmeB)</v>
          </cell>
          <cell r="J441">
            <v>94</v>
          </cell>
        </row>
        <row r="442">
          <cell r="A442" t="str">
            <v>SC0830</v>
          </cell>
          <cell r="B442" t="str">
            <v>SRR17925144</v>
          </cell>
          <cell r="C442">
            <v>4337</v>
          </cell>
          <cell r="D442">
            <v>21</v>
          </cell>
          <cell r="E442" t="str">
            <v>Homo sapiens</v>
          </cell>
          <cell r="F442" t="str">
            <v>Campylobacter jejuni</v>
          </cell>
          <cell r="G442" t="str">
            <v>exact</v>
          </cell>
          <cell r="H442" t="str">
            <v>CAMP0331(cmeB)_604</v>
          </cell>
          <cell r="I442" t="str">
            <v>CAMP0331(cmeB)</v>
          </cell>
          <cell r="J442">
            <v>604</v>
          </cell>
        </row>
        <row r="443">
          <cell r="A443" t="str">
            <v>SC0827</v>
          </cell>
          <cell r="B443" t="str">
            <v>SRR17925145</v>
          </cell>
          <cell r="C443">
            <v>42</v>
          </cell>
          <cell r="D443">
            <v>42</v>
          </cell>
          <cell r="E443" t="str">
            <v>Homo sapiens</v>
          </cell>
          <cell r="F443" t="str">
            <v>Campylobacter jejuni</v>
          </cell>
          <cell r="G443" t="str">
            <v>exact</v>
          </cell>
          <cell r="H443" t="str">
            <v>CAMP0331(cmeB)_22</v>
          </cell>
          <cell r="I443" t="str">
            <v>CAMP0331(cmeB)</v>
          </cell>
          <cell r="J443">
            <v>22</v>
          </cell>
        </row>
        <row r="444">
          <cell r="A444" t="str">
            <v>SC0826</v>
          </cell>
          <cell r="B444" t="str">
            <v>SRR17925146</v>
          </cell>
          <cell r="C444">
            <v>227</v>
          </cell>
          <cell r="D444">
            <v>206</v>
          </cell>
          <cell r="E444" t="str">
            <v>Homo sapiens</v>
          </cell>
          <cell r="F444" t="str">
            <v>Campylobacter jejuni</v>
          </cell>
          <cell r="G444" t="str">
            <v>exact</v>
          </cell>
          <cell r="H444" t="str">
            <v>CAMP0331(cmeB)_1</v>
          </cell>
          <cell r="I444" t="str">
            <v>CAMP0331(cmeB)</v>
          </cell>
          <cell r="J444">
            <v>1</v>
          </cell>
        </row>
        <row r="445">
          <cell r="A445" t="str">
            <v>SC0533</v>
          </cell>
          <cell r="B445" t="str">
            <v>SRR17925147</v>
          </cell>
          <cell r="C445">
            <v>45</v>
          </cell>
          <cell r="D445">
            <v>45</v>
          </cell>
          <cell r="E445" t="str">
            <v>Homo sapiens</v>
          </cell>
          <cell r="F445" t="str">
            <v>Campylobacter jejuni</v>
          </cell>
          <cell r="G445" t="str">
            <v>exact</v>
          </cell>
          <cell r="H445" t="str">
            <v>CAMP0331(cmeB)_27</v>
          </cell>
          <cell r="I445" t="str">
            <v>CAMP0331(cmeB)</v>
          </cell>
          <cell r="J445">
            <v>27</v>
          </cell>
        </row>
        <row r="446">
          <cell r="A446" t="str">
            <v>SC0824</v>
          </cell>
          <cell r="B446" t="str">
            <v>SRR17925148</v>
          </cell>
          <cell r="C446">
            <v>53</v>
          </cell>
          <cell r="D446">
            <v>21</v>
          </cell>
          <cell r="E446" t="str">
            <v>Homo sapiens</v>
          </cell>
          <cell r="F446" t="str">
            <v>Campylobacter jejuni</v>
          </cell>
          <cell r="G446" t="str">
            <v>exact</v>
          </cell>
          <cell r="H446" t="str">
            <v>CAMP0331(cmeB)_604</v>
          </cell>
          <cell r="I446" t="str">
            <v>CAMP0331(cmeB)</v>
          </cell>
          <cell r="J446">
            <v>604</v>
          </cell>
        </row>
        <row r="447">
          <cell r="A447" t="str">
            <v>SC0823</v>
          </cell>
          <cell r="B447" t="str">
            <v>SRR17925149</v>
          </cell>
          <cell r="C447">
            <v>48</v>
          </cell>
          <cell r="D447">
            <v>48</v>
          </cell>
          <cell r="E447" t="str">
            <v>Homo sapiens</v>
          </cell>
          <cell r="F447" t="str">
            <v>Campylobacter jejuni</v>
          </cell>
          <cell r="G447" t="str">
            <v>exact</v>
          </cell>
          <cell r="H447" t="str">
            <v>CAMP0331(cmeB)_94</v>
          </cell>
          <cell r="I447" t="str">
            <v>CAMP0331(cmeB)</v>
          </cell>
          <cell r="J447">
            <v>94</v>
          </cell>
        </row>
        <row r="448">
          <cell r="A448" t="str">
            <v>SC0821</v>
          </cell>
          <cell r="B448" t="str">
            <v>SRR17925150</v>
          </cell>
          <cell r="C448">
            <v>6964</v>
          </cell>
          <cell r="D448">
            <v>354</v>
          </cell>
          <cell r="E448" t="str">
            <v>Gallus gallus</v>
          </cell>
          <cell r="F448" t="str">
            <v>Campylobacter jejuni</v>
          </cell>
          <cell r="G448" t="str">
            <v>exact</v>
          </cell>
          <cell r="H448" t="str">
            <v>CAMP0331(cmeB)_1451</v>
          </cell>
          <cell r="I448" t="str">
            <v>CAMP0331(cmeB)</v>
          </cell>
          <cell r="J448">
            <v>1451</v>
          </cell>
        </row>
        <row r="449">
          <cell r="A449" t="str">
            <v>SC0820</v>
          </cell>
          <cell r="B449" t="str">
            <v>SRR17925151</v>
          </cell>
          <cell r="C449">
            <v>3222</v>
          </cell>
          <cell r="D449">
            <v>0</v>
          </cell>
          <cell r="E449" t="str">
            <v>Bos taurus taurus</v>
          </cell>
          <cell r="F449" t="str">
            <v>Campylobacter coli</v>
          </cell>
          <cell r="G449" t="str">
            <v>exact</v>
          </cell>
          <cell r="H449" t="str">
            <v>CAMP0331(cmeB)_1205</v>
          </cell>
          <cell r="I449" t="str">
            <v>CAMP0331(cmeB)</v>
          </cell>
          <cell r="J449">
            <v>1205</v>
          </cell>
        </row>
        <row r="450">
          <cell r="A450" t="str">
            <v>SC0819</v>
          </cell>
          <cell r="B450" t="str">
            <v>SRR17925152</v>
          </cell>
          <cell r="C450">
            <v>21</v>
          </cell>
          <cell r="D450">
            <v>21</v>
          </cell>
          <cell r="E450" t="str">
            <v>Bos taurus taurus</v>
          </cell>
          <cell r="F450" t="str">
            <v>Campylobacter jejuni</v>
          </cell>
          <cell r="G450" t="str">
            <v>exact</v>
          </cell>
          <cell r="H450" t="str">
            <v>CAMP0331(cmeB)_604</v>
          </cell>
          <cell r="I450" t="str">
            <v>CAMP0331(cmeB)</v>
          </cell>
          <cell r="J450">
            <v>604</v>
          </cell>
        </row>
        <row r="451">
          <cell r="A451" t="str">
            <v>SC0818</v>
          </cell>
          <cell r="B451" t="str">
            <v>SRR17925153</v>
          </cell>
          <cell r="C451">
            <v>50</v>
          </cell>
          <cell r="D451">
            <v>21</v>
          </cell>
          <cell r="E451" t="str">
            <v>Bos taurus taurus</v>
          </cell>
          <cell r="F451" t="str">
            <v>Campylobacter jejuni</v>
          </cell>
          <cell r="G451" t="str">
            <v>exact</v>
          </cell>
          <cell r="H451" t="str">
            <v>CAMP0331(cmeB)_637</v>
          </cell>
          <cell r="I451" t="str">
            <v>CAMP0331(cmeB)</v>
          </cell>
          <cell r="J451">
            <v>637</v>
          </cell>
        </row>
        <row r="452">
          <cell r="A452" t="str">
            <v>SC0817</v>
          </cell>
          <cell r="B452" t="str">
            <v>SRR17925154</v>
          </cell>
          <cell r="C452">
            <v>61</v>
          </cell>
          <cell r="D452">
            <v>61</v>
          </cell>
          <cell r="E452" t="str">
            <v>Bos taurus taurus</v>
          </cell>
          <cell r="F452" t="str">
            <v>Campylobacter jejuni</v>
          </cell>
          <cell r="G452" t="str">
            <v>exact</v>
          </cell>
          <cell r="H452" t="str">
            <v>CAMP0331(cmeB)_14</v>
          </cell>
          <cell r="I452" t="str">
            <v>CAMP0331(cmeB)</v>
          </cell>
          <cell r="J452">
            <v>14</v>
          </cell>
        </row>
        <row r="453">
          <cell r="A453" t="str">
            <v>SC0816</v>
          </cell>
          <cell r="B453" t="str">
            <v>SRR17925155</v>
          </cell>
          <cell r="C453">
            <v>50</v>
          </cell>
          <cell r="D453">
            <v>21</v>
          </cell>
          <cell r="E453" t="str">
            <v>Bos taurus taurus</v>
          </cell>
          <cell r="F453" t="str">
            <v>Campylobacter jejuni</v>
          </cell>
          <cell r="G453" t="str">
            <v>exact</v>
          </cell>
          <cell r="H453" t="str">
            <v>CAMP0331(cmeB)_637</v>
          </cell>
          <cell r="I453" t="str">
            <v>CAMP0331(cmeB)</v>
          </cell>
          <cell r="J453">
            <v>637</v>
          </cell>
        </row>
        <row r="454">
          <cell r="A454" t="str">
            <v>SC0815</v>
          </cell>
          <cell r="B454" t="str">
            <v>SRR17925156</v>
          </cell>
          <cell r="C454">
            <v>53</v>
          </cell>
          <cell r="D454">
            <v>21</v>
          </cell>
          <cell r="E454" t="str">
            <v>Bos taurus taurus</v>
          </cell>
          <cell r="F454" t="str">
            <v>Campylobacter jejuni</v>
          </cell>
          <cell r="G454" t="str">
            <v>exact</v>
          </cell>
          <cell r="H454" t="str">
            <v>CAMP0331(cmeB)_604</v>
          </cell>
          <cell r="I454" t="str">
            <v>CAMP0331(cmeB)</v>
          </cell>
          <cell r="J454">
            <v>604</v>
          </cell>
        </row>
        <row r="455">
          <cell r="A455" t="str">
            <v>SC0814</v>
          </cell>
          <cell r="B455" t="str">
            <v>SRR17925157</v>
          </cell>
          <cell r="C455">
            <v>53</v>
          </cell>
          <cell r="D455">
            <v>21</v>
          </cell>
          <cell r="E455" t="str">
            <v>Bos taurus taurus</v>
          </cell>
          <cell r="F455" t="str">
            <v>Campylobacter jejuni</v>
          </cell>
          <cell r="G455" t="str">
            <v>exact</v>
          </cell>
          <cell r="H455" t="str">
            <v>CAMP0331(cmeB)_604</v>
          </cell>
          <cell r="I455" t="str">
            <v>CAMP0331(cmeB)</v>
          </cell>
          <cell r="J455">
            <v>604</v>
          </cell>
        </row>
        <row r="456">
          <cell r="A456" t="str">
            <v>SC0532</v>
          </cell>
          <cell r="B456" t="str">
            <v>SRR17925158</v>
          </cell>
          <cell r="C456">
            <v>6455</v>
          </cell>
          <cell r="D456">
            <v>0</v>
          </cell>
          <cell r="E456" t="str">
            <v>Homo sapiens</v>
          </cell>
          <cell r="F456" t="str">
            <v>Campylobacter jejuni</v>
          </cell>
          <cell r="G456" t="str">
            <v>exact</v>
          </cell>
          <cell r="H456" t="str">
            <v>CAMP0331(cmeB)_506</v>
          </cell>
          <cell r="I456" t="str">
            <v>CAMP0331(cmeB)</v>
          </cell>
          <cell r="J456">
            <v>506</v>
          </cell>
        </row>
        <row r="457">
          <cell r="A457" t="str">
            <v>SC0813</v>
          </cell>
          <cell r="B457" t="str">
            <v>SRR17925159</v>
          </cell>
          <cell r="C457">
            <v>42</v>
          </cell>
          <cell r="D457">
            <v>42</v>
          </cell>
          <cell r="E457" t="str">
            <v>Bos taurus taurus</v>
          </cell>
          <cell r="F457" t="str">
            <v>Campylobacter jejuni</v>
          </cell>
          <cell r="G457" t="str">
            <v>exact</v>
          </cell>
          <cell r="H457" t="str">
            <v>CAMP0331(cmeB)_22</v>
          </cell>
          <cell r="I457" t="str">
            <v>CAMP0331(cmeB)</v>
          </cell>
          <cell r="J457">
            <v>22</v>
          </cell>
        </row>
        <row r="458">
          <cell r="A458" t="str">
            <v>SC0812</v>
          </cell>
          <cell r="B458" t="str">
            <v>SRR17925160</v>
          </cell>
          <cell r="C458">
            <v>48</v>
          </cell>
          <cell r="D458">
            <v>48</v>
          </cell>
          <cell r="E458" t="str">
            <v>Homo sapiens</v>
          </cell>
          <cell r="F458" t="str">
            <v>Campylobacter jejuni</v>
          </cell>
          <cell r="G458" t="str">
            <v>exact</v>
          </cell>
          <cell r="H458" t="str">
            <v>CAMP0331(cmeB)_94</v>
          </cell>
          <cell r="I458" t="str">
            <v>CAMP0331(cmeB)</v>
          </cell>
          <cell r="J458">
            <v>94</v>
          </cell>
        </row>
        <row r="459">
          <cell r="A459" t="str">
            <v>SC0811</v>
          </cell>
          <cell r="B459" t="str">
            <v>SRR17925161</v>
          </cell>
          <cell r="C459">
            <v>21</v>
          </cell>
          <cell r="D459">
            <v>21</v>
          </cell>
          <cell r="E459" t="str">
            <v>Homo sapiens</v>
          </cell>
          <cell r="F459" t="str">
            <v>Campylobacter jejuni</v>
          </cell>
          <cell r="G459" t="str">
            <v>exact</v>
          </cell>
          <cell r="H459" t="str">
            <v>CAMP0331(cmeB)_604</v>
          </cell>
          <cell r="I459" t="str">
            <v>CAMP0331(cmeB)</v>
          </cell>
          <cell r="J459">
            <v>604</v>
          </cell>
        </row>
        <row r="460">
          <cell r="A460" t="str">
            <v>SC0810</v>
          </cell>
          <cell r="B460" t="str">
            <v>SRR17925162</v>
          </cell>
          <cell r="C460">
            <v>8185</v>
          </cell>
          <cell r="D460">
            <v>21</v>
          </cell>
          <cell r="E460" t="str">
            <v>Homo sapiens</v>
          </cell>
          <cell r="F460" t="str">
            <v>Campylobacter jejuni</v>
          </cell>
          <cell r="G460" t="str">
            <v>exact</v>
          </cell>
          <cell r="H460" t="str">
            <v>CAMP0331(cmeB)_3615</v>
          </cell>
          <cell r="I460" t="str">
            <v>CAMP0331(cmeB)</v>
          </cell>
          <cell r="J460">
            <v>3615</v>
          </cell>
        </row>
        <row r="461">
          <cell r="A461" t="str">
            <v>SC0809</v>
          </cell>
          <cell r="B461" t="str">
            <v>SRR17925163</v>
          </cell>
          <cell r="C461">
            <v>190</v>
          </cell>
          <cell r="D461">
            <v>21</v>
          </cell>
          <cell r="E461" t="str">
            <v>Homo sapiens</v>
          </cell>
          <cell r="F461" t="str">
            <v>Campylobacter jejuni</v>
          </cell>
          <cell r="G461" t="str">
            <v>exact</v>
          </cell>
          <cell r="H461" t="str">
            <v>CAMP0331(cmeB)_604</v>
          </cell>
          <cell r="I461" t="str">
            <v>CAMP0331(cmeB)</v>
          </cell>
          <cell r="J461">
            <v>604</v>
          </cell>
        </row>
        <row r="462">
          <cell r="A462" t="str">
            <v>SC0808</v>
          </cell>
          <cell r="B462" t="str">
            <v>SRR17925164</v>
          </cell>
          <cell r="C462">
            <v>45</v>
          </cell>
          <cell r="D462">
            <v>45</v>
          </cell>
          <cell r="E462" t="str">
            <v>Homo sapiens</v>
          </cell>
          <cell r="F462" t="str">
            <v>Campylobacter jejuni</v>
          </cell>
          <cell r="G462" t="str">
            <v>exact</v>
          </cell>
          <cell r="H462" t="str">
            <v>CAMP0331(cmeB)_5</v>
          </cell>
          <cell r="I462" t="str">
            <v>CAMP0331(cmeB)</v>
          </cell>
          <cell r="J462">
            <v>5</v>
          </cell>
        </row>
        <row r="463">
          <cell r="A463" t="str">
            <v>SC0807</v>
          </cell>
          <cell r="B463" t="str">
            <v>SRR17925165</v>
          </cell>
          <cell r="C463">
            <v>227</v>
          </cell>
          <cell r="D463">
            <v>206</v>
          </cell>
          <cell r="E463" t="str">
            <v>Homo sapiens</v>
          </cell>
          <cell r="F463" t="str">
            <v>Campylobacter jejuni</v>
          </cell>
          <cell r="G463" t="str">
            <v>exact</v>
          </cell>
          <cell r="H463" t="str">
            <v>CAMP0331(cmeB)_1</v>
          </cell>
          <cell r="I463" t="str">
            <v>CAMP0331(cmeB)</v>
          </cell>
          <cell r="J463">
            <v>1</v>
          </cell>
        </row>
        <row r="464">
          <cell r="A464" t="str">
            <v>SC0806</v>
          </cell>
          <cell r="B464" t="str">
            <v>SRR17925166</v>
          </cell>
          <cell r="C464">
            <v>2364</v>
          </cell>
          <cell r="D464">
            <v>353</v>
          </cell>
          <cell r="E464" t="str">
            <v>Homo sapiens</v>
          </cell>
          <cell r="F464" t="str">
            <v>Campylobacter jejuni</v>
          </cell>
          <cell r="G464" t="str">
            <v>exact</v>
          </cell>
          <cell r="H464" t="str">
            <v>CAMP0331(cmeB)_169</v>
          </cell>
          <cell r="I464" t="str">
            <v>CAMP0331(cmeB)</v>
          </cell>
          <cell r="J464">
            <v>169</v>
          </cell>
        </row>
        <row r="465">
          <cell r="A465" t="str">
            <v>SC0805</v>
          </cell>
          <cell r="B465" t="str">
            <v>SRR17925167</v>
          </cell>
          <cell r="C465">
            <v>6964</v>
          </cell>
          <cell r="D465">
            <v>354</v>
          </cell>
          <cell r="E465" t="str">
            <v>Homo sapiens</v>
          </cell>
          <cell r="F465" t="str">
            <v>Campylobacter jejuni</v>
          </cell>
          <cell r="G465" t="str">
            <v>exact</v>
          </cell>
          <cell r="H465" t="str">
            <v>CAMP0331(cmeB)_1451</v>
          </cell>
          <cell r="I465" t="str">
            <v>CAMP0331(cmeB)</v>
          </cell>
          <cell r="J465">
            <v>1451</v>
          </cell>
        </row>
        <row r="466">
          <cell r="A466" t="str">
            <v>SC0804</v>
          </cell>
          <cell r="B466" t="str">
            <v>SRR17925168</v>
          </cell>
          <cell r="C466">
            <v>520</v>
          </cell>
          <cell r="D466">
            <v>21</v>
          </cell>
          <cell r="E466" t="str">
            <v>Homo sapiens</v>
          </cell>
          <cell r="F466" t="str">
            <v>Campylobacter jejuni</v>
          </cell>
          <cell r="G466" t="str">
            <v>exact</v>
          </cell>
          <cell r="H466" t="str">
            <v>CAMP0331(cmeB)_604</v>
          </cell>
          <cell r="I466" t="str">
            <v>CAMP0331(cmeB)</v>
          </cell>
          <cell r="J466">
            <v>604</v>
          </cell>
        </row>
        <row r="467">
          <cell r="A467" t="str">
            <v>SC0531</v>
          </cell>
          <cell r="B467" t="str">
            <v>SRR17925169</v>
          </cell>
          <cell r="C467">
            <v>508</v>
          </cell>
          <cell r="D467">
            <v>508</v>
          </cell>
          <cell r="E467" t="str">
            <v>Homo sapiens</v>
          </cell>
          <cell r="F467" t="str">
            <v>Campylobacter jejuni</v>
          </cell>
          <cell r="G467" t="str">
            <v>exact</v>
          </cell>
          <cell r="H467" t="str">
            <v>CAMP0331(cmeB)_43</v>
          </cell>
          <cell r="I467" t="str">
            <v>CAMP0331(cmeB)</v>
          </cell>
          <cell r="J467">
            <v>43</v>
          </cell>
        </row>
        <row r="468">
          <cell r="A468" t="str">
            <v>SC0576</v>
          </cell>
          <cell r="B468" t="str">
            <v>SRR17925170</v>
          </cell>
          <cell r="C468">
            <v>825</v>
          </cell>
          <cell r="D468">
            <v>828</v>
          </cell>
          <cell r="E468" t="str">
            <v>Ovis aries</v>
          </cell>
          <cell r="F468" t="str">
            <v>Campylobacter coli</v>
          </cell>
          <cell r="G468" t="str">
            <v>exact</v>
          </cell>
          <cell r="H468" t="str">
            <v>CAMP0331(cmeB)_253</v>
          </cell>
          <cell r="I468" t="str">
            <v>CAMP0331(cmeB)</v>
          </cell>
          <cell r="J468">
            <v>253</v>
          </cell>
        </row>
        <row r="469">
          <cell r="A469" t="str">
            <v>SC0575</v>
          </cell>
          <cell r="B469" t="str">
            <v>SRR17925171</v>
          </cell>
          <cell r="C469">
            <v>0</v>
          </cell>
          <cell r="D469">
            <v>0</v>
          </cell>
          <cell r="E469" t="str">
            <v>Ovis aries</v>
          </cell>
          <cell r="F469" t="str">
            <v>Campylobacter coli</v>
          </cell>
          <cell r="G469" t="str">
            <v>exact</v>
          </cell>
          <cell r="H469" t="str">
            <v>CAMP0331(cmeB)_1205</v>
          </cell>
          <cell r="I469" t="str">
            <v>CAMP0331(cmeB)</v>
          </cell>
          <cell r="J469">
            <v>1205</v>
          </cell>
        </row>
        <row r="470">
          <cell r="A470" t="str">
            <v>SC0574</v>
          </cell>
          <cell r="B470" t="str">
            <v>SRR17925172</v>
          </cell>
          <cell r="C470">
            <v>0</v>
          </cell>
          <cell r="D470">
            <v>0</v>
          </cell>
          <cell r="E470" t="str">
            <v>Ovis aries</v>
          </cell>
          <cell r="F470" t="str">
            <v>Campylobacter coli</v>
          </cell>
          <cell r="G470" t="str">
            <v>exact</v>
          </cell>
          <cell r="H470" t="str">
            <v>CAMP0331(cmeB)_1205</v>
          </cell>
          <cell r="I470" t="str">
            <v>CAMP0331(cmeB)</v>
          </cell>
          <cell r="J470">
            <v>1205</v>
          </cell>
        </row>
        <row r="471">
          <cell r="A471" t="str">
            <v>SC0573</v>
          </cell>
          <cell r="B471" t="str">
            <v>SRR17925173</v>
          </cell>
          <cell r="C471">
            <v>1581</v>
          </cell>
          <cell r="D471">
            <v>0</v>
          </cell>
          <cell r="E471" t="str">
            <v>Ovis aries</v>
          </cell>
          <cell r="F471" t="str">
            <v>Campylobacter coli</v>
          </cell>
          <cell r="G471" t="str">
            <v>exact</v>
          </cell>
          <cell r="H471" t="str">
            <v>CAMP0331(cmeB)_690</v>
          </cell>
          <cell r="I471" t="str">
            <v>CAMP0331(cmeB)</v>
          </cell>
          <cell r="J471">
            <v>690</v>
          </cell>
        </row>
        <row r="472">
          <cell r="A472" t="str">
            <v>SC0572</v>
          </cell>
          <cell r="B472" t="str">
            <v>SRR17925174</v>
          </cell>
          <cell r="C472">
            <v>890</v>
          </cell>
          <cell r="D472">
            <v>828</v>
          </cell>
          <cell r="E472" t="str">
            <v>Ovis aries</v>
          </cell>
          <cell r="F472" t="str">
            <v>Campylobacter coli</v>
          </cell>
          <cell r="G472" t="str">
            <v>exact</v>
          </cell>
          <cell r="H472" t="str">
            <v>CAMP0331(cmeB)_490</v>
          </cell>
          <cell r="I472" t="str">
            <v>CAMP0331(cmeB)</v>
          </cell>
          <cell r="J472">
            <v>490</v>
          </cell>
        </row>
        <row r="473">
          <cell r="A473" t="str">
            <v>SC0571</v>
          </cell>
          <cell r="B473" t="str">
            <v>SRR17925175</v>
          </cell>
          <cell r="C473">
            <v>825</v>
          </cell>
          <cell r="D473">
            <v>828</v>
          </cell>
          <cell r="E473" t="str">
            <v>Ovis aries</v>
          </cell>
          <cell r="F473" t="str">
            <v>Campylobacter coli</v>
          </cell>
          <cell r="G473" t="str">
            <v>exact</v>
          </cell>
          <cell r="H473" t="str">
            <v>CAMP0331(cmeB)_253</v>
          </cell>
          <cell r="I473" t="str">
            <v>CAMP0331(cmeB)</v>
          </cell>
          <cell r="J473">
            <v>253</v>
          </cell>
        </row>
        <row r="474">
          <cell r="A474" t="str">
            <v>SC0508</v>
          </cell>
          <cell r="B474" t="str">
            <v>SRR17925176</v>
          </cell>
          <cell r="C474">
            <v>3711</v>
          </cell>
          <cell r="D474">
            <v>257</v>
          </cell>
          <cell r="E474" t="str">
            <v>Homo sapiens</v>
          </cell>
          <cell r="F474" t="str">
            <v>Campylobacter jejuni</v>
          </cell>
          <cell r="G474" t="str">
            <v>exact</v>
          </cell>
          <cell r="H474" t="str">
            <v>CAMP0331(cmeB)_51</v>
          </cell>
          <cell r="I474" t="str">
            <v>CAMP0331(cmeB)</v>
          </cell>
          <cell r="J474">
            <v>51</v>
          </cell>
        </row>
        <row r="475">
          <cell r="A475" t="str">
            <v>SC0570</v>
          </cell>
          <cell r="B475" t="str">
            <v>SRR17925177</v>
          </cell>
          <cell r="C475">
            <v>3072</v>
          </cell>
          <cell r="D475">
            <v>828</v>
          </cell>
          <cell r="E475" t="str">
            <v>Ovis aries</v>
          </cell>
          <cell r="F475" t="str">
            <v>Campylobacter coli</v>
          </cell>
          <cell r="G475" t="str">
            <v>exact</v>
          </cell>
          <cell r="H475" t="str">
            <v>CAMP0331(cmeB)_1205</v>
          </cell>
          <cell r="I475" t="str">
            <v>CAMP0331(cmeB)</v>
          </cell>
          <cell r="J475">
            <v>1205</v>
          </cell>
        </row>
        <row r="476">
          <cell r="A476" t="str">
            <v>SC0569</v>
          </cell>
          <cell r="B476" t="str">
            <v>SRR17925178</v>
          </cell>
          <cell r="C476">
            <v>825</v>
          </cell>
          <cell r="D476">
            <v>828</v>
          </cell>
          <cell r="E476" t="str">
            <v>Ovis aries</v>
          </cell>
          <cell r="F476" t="str">
            <v>Campylobacter coli</v>
          </cell>
          <cell r="G476" t="str">
            <v>exact</v>
          </cell>
          <cell r="H476" t="str">
            <v>CAMP0331(cmeB)_253</v>
          </cell>
          <cell r="I476" t="str">
            <v>CAMP0331(cmeB)</v>
          </cell>
          <cell r="J476">
            <v>253</v>
          </cell>
        </row>
        <row r="477">
          <cell r="A477" t="str">
            <v>SC0568</v>
          </cell>
          <cell r="B477" t="str">
            <v>SRR17925179</v>
          </cell>
          <cell r="C477">
            <v>1581</v>
          </cell>
          <cell r="D477">
            <v>0</v>
          </cell>
          <cell r="E477" t="str">
            <v>Ovis aries</v>
          </cell>
          <cell r="F477" t="str">
            <v>Campylobacter coli</v>
          </cell>
          <cell r="G477" t="str">
            <v>exact</v>
          </cell>
          <cell r="H477" t="str">
            <v>CAMP0331(cmeB)_690</v>
          </cell>
          <cell r="I477" t="str">
            <v>CAMP0331(cmeB)</v>
          </cell>
          <cell r="J477">
            <v>690</v>
          </cell>
        </row>
        <row r="478">
          <cell r="A478" t="str">
            <v>SC0567</v>
          </cell>
          <cell r="B478" t="str">
            <v>SRR17925180</v>
          </cell>
          <cell r="C478">
            <v>48</v>
          </cell>
          <cell r="D478">
            <v>48</v>
          </cell>
          <cell r="E478" t="str">
            <v>Homo sapiens</v>
          </cell>
          <cell r="F478" t="str">
            <v>Campylobacter jejuni</v>
          </cell>
          <cell r="G478" t="str">
            <v>exact</v>
          </cell>
          <cell r="H478" t="str">
            <v>CAMP0331(cmeB)_94</v>
          </cell>
          <cell r="I478" t="str">
            <v>CAMP0331(cmeB)</v>
          </cell>
          <cell r="J478">
            <v>94</v>
          </cell>
        </row>
        <row r="479">
          <cell r="A479" t="str">
            <v>SC0566</v>
          </cell>
          <cell r="B479" t="str">
            <v>SRR17925181</v>
          </cell>
          <cell r="C479">
            <v>6964</v>
          </cell>
          <cell r="D479">
            <v>354</v>
          </cell>
          <cell r="E479" t="str">
            <v>Homo sapiens</v>
          </cell>
          <cell r="F479" t="str">
            <v>Campylobacter jejuni</v>
          </cell>
          <cell r="G479" t="str">
            <v>exact</v>
          </cell>
          <cell r="H479" t="str">
            <v>CAMP0331(cmeB)_1451</v>
          </cell>
          <cell r="I479" t="str">
            <v>CAMP0331(cmeB)</v>
          </cell>
          <cell r="J479">
            <v>1451</v>
          </cell>
        </row>
        <row r="480">
          <cell r="A480" t="str">
            <v>SC0565</v>
          </cell>
          <cell r="B480" t="str">
            <v>SRR17925182</v>
          </cell>
          <cell r="C480">
            <v>45</v>
          </cell>
          <cell r="D480">
            <v>45</v>
          </cell>
          <cell r="E480" t="str">
            <v>Homo sapiens</v>
          </cell>
          <cell r="F480" t="str">
            <v>Campylobacter jejuni</v>
          </cell>
          <cell r="G480" t="str">
            <v>exact</v>
          </cell>
          <cell r="H480" t="str">
            <v>CAMP0331(cmeB)_5</v>
          </cell>
          <cell r="I480" t="str">
            <v>CAMP0331(cmeB)</v>
          </cell>
          <cell r="J480">
            <v>5</v>
          </cell>
        </row>
        <row r="481">
          <cell r="A481" t="str">
            <v>SC0564</v>
          </cell>
          <cell r="B481" t="str">
            <v>SRR17925183</v>
          </cell>
          <cell r="C481">
            <v>53</v>
          </cell>
          <cell r="D481">
            <v>21</v>
          </cell>
          <cell r="E481" t="str">
            <v>Homo sapiens</v>
          </cell>
          <cell r="F481" t="str">
            <v>Campylobacter jejuni</v>
          </cell>
          <cell r="G481" t="str">
            <v>exact</v>
          </cell>
          <cell r="H481" t="str">
            <v>CAMP0331(cmeB)_604</v>
          </cell>
          <cell r="I481" t="str">
            <v>CAMP0331(cmeB)</v>
          </cell>
          <cell r="J481">
            <v>604</v>
          </cell>
        </row>
        <row r="482">
          <cell r="A482" t="str">
            <v>SC0563</v>
          </cell>
          <cell r="B482" t="str">
            <v>SRR17925184</v>
          </cell>
          <cell r="C482">
            <v>50</v>
          </cell>
          <cell r="D482">
            <v>21</v>
          </cell>
          <cell r="E482" t="str">
            <v>Homo sapiens</v>
          </cell>
          <cell r="F482" t="str">
            <v>Campylobacter jejuni</v>
          </cell>
          <cell r="G482" t="str">
            <v>exact</v>
          </cell>
          <cell r="H482" t="str">
            <v>CAMP0331(cmeB)_604</v>
          </cell>
          <cell r="I482" t="str">
            <v>CAMP0331(cmeB)</v>
          </cell>
          <cell r="J482">
            <v>604</v>
          </cell>
        </row>
        <row r="483">
          <cell r="A483" t="str">
            <v>SC0562</v>
          </cell>
          <cell r="B483" t="str">
            <v>SRR17925185</v>
          </cell>
          <cell r="C483">
            <v>451</v>
          </cell>
          <cell r="D483">
            <v>21</v>
          </cell>
          <cell r="E483" t="str">
            <v>Homo sapiens</v>
          </cell>
          <cell r="F483" t="str">
            <v>Campylobacter jejuni</v>
          </cell>
          <cell r="G483" t="str">
            <v>exact</v>
          </cell>
          <cell r="H483" t="str">
            <v>CAMP0331(cmeB)_604</v>
          </cell>
          <cell r="I483" t="str">
            <v>CAMP0331(cmeB)</v>
          </cell>
          <cell r="J483">
            <v>604</v>
          </cell>
        </row>
        <row r="484">
          <cell r="A484" t="str">
            <v>SC0561</v>
          </cell>
          <cell r="B484" t="str">
            <v>SRR17925186</v>
          </cell>
          <cell r="C484">
            <v>227</v>
          </cell>
          <cell r="D484">
            <v>206</v>
          </cell>
          <cell r="E484" t="str">
            <v>Homo sapiens</v>
          </cell>
          <cell r="F484" t="str">
            <v>Campylobacter jejuni</v>
          </cell>
          <cell r="G484" t="str">
            <v>exact</v>
          </cell>
          <cell r="H484" t="str">
            <v>CAMP0331(cmeB)_1</v>
          </cell>
          <cell r="I484" t="str">
            <v>CAMP0331(cmeB)</v>
          </cell>
          <cell r="J484">
            <v>1</v>
          </cell>
        </row>
        <row r="485">
          <cell r="A485" t="str">
            <v>SC0507</v>
          </cell>
          <cell r="B485" t="str">
            <v>SRR17925187</v>
          </cell>
          <cell r="C485">
            <v>0</v>
          </cell>
          <cell r="D485">
            <v>0</v>
          </cell>
          <cell r="E485" t="str">
            <v>Homo sapiens</v>
          </cell>
          <cell r="F485" t="str">
            <v>Campylobacter jejuni</v>
          </cell>
          <cell r="G485" t="str">
            <v>exact</v>
          </cell>
          <cell r="H485" t="str">
            <v>CAMP0331(cmeB)_113</v>
          </cell>
          <cell r="I485" t="str">
            <v>CAMP0331(cmeB)</v>
          </cell>
          <cell r="J485">
            <v>113</v>
          </cell>
        </row>
        <row r="486">
          <cell r="A486" t="str">
            <v>SC0560</v>
          </cell>
          <cell r="B486" t="str">
            <v>SRR17925188</v>
          </cell>
          <cell r="C486">
            <v>61</v>
          </cell>
          <cell r="D486">
            <v>61</v>
          </cell>
          <cell r="E486" t="str">
            <v>Homo sapiens</v>
          </cell>
          <cell r="F486" t="str">
            <v>Campylobacter jejuni</v>
          </cell>
          <cell r="G486" t="str">
            <v>exact</v>
          </cell>
          <cell r="H486" t="str">
            <v>CAMP0331(cmeB)_14</v>
          </cell>
          <cell r="I486" t="str">
            <v>CAMP0331(cmeB)</v>
          </cell>
          <cell r="J486">
            <v>14</v>
          </cell>
        </row>
        <row r="487">
          <cell r="A487" t="str">
            <v>SC0559</v>
          </cell>
          <cell r="B487" t="str">
            <v>SRR17925189</v>
          </cell>
          <cell r="C487">
            <v>2328</v>
          </cell>
          <cell r="D487">
            <v>0</v>
          </cell>
          <cell r="E487" t="str">
            <v>Homo sapiens</v>
          </cell>
          <cell r="F487" t="str">
            <v>Campylobacter jejuni</v>
          </cell>
          <cell r="G487" t="str">
            <v>exact</v>
          </cell>
          <cell r="H487" t="str">
            <v>CAMP0331(cmeB)_267</v>
          </cell>
          <cell r="I487" t="str">
            <v>CAMP0331(cmeB)</v>
          </cell>
          <cell r="J487">
            <v>267</v>
          </cell>
        </row>
        <row r="488">
          <cell r="A488" t="str">
            <v>SC0558</v>
          </cell>
          <cell r="B488" t="str">
            <v>SRR17925190</v>
          </cell>
          <cell r="C488">
            <v>227</v>
          </cell>
          <cell r="D488">
            <v>206</v>
          </cell>
          <cell r="E488" t="str">
            <v>Homo sapiens</v>
          </cell>
          <cell r="F488" t="str">
            <v>Campylobacter jejuni</v>
          </cell>
          <cell r="G488" t="str">
            <v>exact</v>
          </cell>
          <cell r="H488" t="str">
            <v>CAMP0331(cmeB)_1</v>
          </cell>
          <cell r="I488" t="str">
            <v>CAMP0331(cmeB)</v>
          </cell>
          <cell r="J488">
            <v>1</v>
          </cell>
        </row>
        <row r="489">
          <cell r="A489" t="str">
            <v>SC0557</v>
          </cell>
          <cell r="B489" t="str">
            <v>SRR17925191</v>
          </cell>
          <cell r="C489">
            <v>45</v>
          </cell>
          <cell r="D489">
            <v>45</v>
          </cell>
          <cell r="E489" t="str">
            <v>Homo sapiens</v>
          </cell>
          <cell r="F489" t="str">
            <v>Campylobacter jejuni</v>
          </cell>
          <cell r="G489" t="str">
            <v>exact</v>
          </cell>
          <cell r="H489" t="str">
            <v>CAMP0331(cmeB)_5</v>
          </cell>
          <cell r="I489" t="str">
            <v>CAMP0331(cmeB)</v>
          </cell>
          <cell r="J489">
            <v>5</v>
          </cell>
        </row>
        <row r="490">
          <cell r="A490" t="str">
            <v>SC0556</v>
          </cell>
          <cell r="B490" t="str">
            <v>SRR17925192</v>
          </cell>
          <cell r="C490">
            <v>45</v>
          </cell>
          <cell r="D490">
            <v>45</v>
          </cell>
          <cell r="E490" t="str">
            <v>Homo sapiens</v>
          </cell>
          <cell r="F490" t="str">
            <v>Campylobacter jejuni</v>
          </cell>
          <cell r="G490" t="str">
            <v>exact</v>
          </cell>
          <cell r="H490" t="str">
            <v>CAMP0331(cmeB)_5</v>
          </cell>
          <cell r="I490" t="str">
            <v>CAMP0331(cmeB)</v>
          </cell>
          <cell r="J490">
            <v>5</v>
          </cell>
        </row>
        <row r="491">
          <cell r="A491" t="str">
            <v>SC0555</v>
          </cell>
          <cell r="B491" t="str">
            <v>SRR17925193</v>
          </cell>
          <cell r="C491">
            <v>583</v>
          </cell>
          <cell r="D491">
            <v>45</v>
          </cell>
          <cell r="E491" t="str">
            <v>Homo sapiens</v>
          </cell>
          <cell r="F491" t="str">
            <v>Campylobacter jejuni</v>
          </cell>
          <cell r="G491" t="str">
            <v>exact</v>
          </cell>
          <cell r="H491" t="str">
            <v>CAMP0331(cmeB)_24</v>
          </cell>
          <cell r="I491" t="str">
            <v>CAMP0331(cmeB)</v>
          </cell>
          <cell r="J491">
            <v>24</v>
          </cell>
        </row>
        <row r="492">
          <cell r="A492" t="str">
            <v>SC0554</v>
          </cell>
          <cell r="B492" t="str">
            <v>SRR17925194</v>
          </cell>
          <cell r="C492">
            <v>42</v>
          </cell>
          <cell r="D492">
            <v>42</v>
          </cell>
          <cell r="E492" t="str">
            <v>Homo sapiens</v>
          </cell>
          <cell r="F492" t="str">
            <v>Campylobacter jejuni</v>
          </cell>
          <cell r="G492" t="str">
            <v>exact</v>
          </cell>
          <cell r="H492" t="str">
            <v>CAMP0331(cmeB)_22</v>
          </cell>
          <cell r="I492" t="str">
            <v>CAMP0331(cmeB)</v>
          </cell>
          <cell r="J492">
            <v>22</v>
          </cell>
        </row>
        <row r="493">
          <cell r="A493" t="str">
            <v>SC0553</v>
          </cell>
          <cell r="B493" t="str">
            <v>SRR17925195</v>
          </cell>
          <cell r="C493">
            <v>486</v>
          </cell>
          <cell r="D493">
            <v>21</v>
          </cell>
          <cell r="E493" t="str">
            <v>Homo sapiens</v>
          </cell>
          <cell r="F493" t="str">
            <v>Campylobacter jejuni</v>
          </cell>
          <cell r="G493" t="str">
            <v>exact</v>
          </cell>
          <cell r="H493" t="str">
            <v>CAMP0331(cmeB)_1</v>
          </cell>
          <cell r="I493" t="str">
            <v>CAMP0331(cmeB)</v>
          </cell>
          <cell r="J493">
            <v>1</v>
          </cell>
        </row>
        <row r="494">
          <cell r="A494" t="str">
            <v>SC0552</v>
          </cell>
          <cell r="B494" t="str">
            <v>SRR17925196</v>
          </cell>
          <cell r="C494">
            <v>257</v>
          </cell>
          <cell r="D494">
            <v>257</v>
          </cell>
          <cell r="E494" t="str">
            <v>Bos taurus taurus</v>
          </cell>
          <cell r="F494" t="str">
            <v>Campylobacter jejuni</v>
          </cell>
          <cell r="G494" t="str">
            <v>exact</v>
          </cell>
          <cell r="H494" t="str">
            <v>CAMP0331(cmeB)_51</v>
          </cell>
          <cell r="I494" t="str">
            <v>CAMP0331(cmeB)</v>
          </cell>
          <cell r="J494">
            <v>51</v>
          </cell>
        </row>
        <row r="495">
          <cell r="A495" t="str">
            <v>SC0551</v>
          </cell>
          <cell r="B495" t="str">
            <v>SRR17925197</v>
          </cell>
          <cell r="C495">
            <v>61</v>
          </cell>
          <cell r="D495">
            <v>61</v>
          </cell>
          <cell r="E495" t="str">
            <v>Bos taurus taurus</v>
          </cell>
          <cell r="F495" t="str">
            <v>Campylobacter jejuni</v>
          </cell>
          <cell r="G495" t="str">
            <v>exact</v>
          </cell>
          <cell r="H495" t="str">
            <v>CAMP0331(cmeB)_14</v>
          </cell>
          <cell r="I495" t="str">
            <v>CAMP0331(cmeB)</v>
          </cell>
          <cell r="J495">
            <v>14</v>
          </cell>
        </row>
        <row r="496">
          <cell r="A496" t="str">
            <v>SC0506</v>
          </cell>
          <cell r="B496" t="str">
            <v>SRR17925198</v>
          </cell>
          <cell r="C496">
            <v>6964</v>
          </cell>
          <cell r="D496">
            <v>354</v>
          </cell>
          <cell r="E496" t="str">
            <v>Homo sapiens</v>
          </cell>
          <cell r="F496" t="str">
            <v>Campylobacter jejuni</v>
          </cell>
          <cell r="G496" t="str">
            <v>exact</v>
          </cell>
          <cell r="H496" t="str">
            <v>CAMP0331(cmeB)_1451</v>
          </cell>
          <cell r="I496" t="str">
            <v>CAMP0331(cmeB)</v>
          </cell>
          <cell r="J496">
            <v>1451</v>
          </cell>
        </row>
        <row r="497">
          <cell r="A497" t="str">
            <v>SC0550</v>
          </cell>
          <cell r="B497" t="str">
            <v>SRR17925199</v>
          </cell>
          <cell r="C497">
            <v>3711</v>
          </cell>
          <cell r="D497">
            <v>257</v>
          </cell>
          <cell r="E497" t="str">
            <v>Bos taurus taurus</v>
          </cell>
          <cell r="F497" t="str">
            <v>Campylobacter jejuni</v>
          </cell>
          <cell r="G497" t="str">
            <v>exact</v>
          </cell>
          <cell r="H497" t="str">
            <v>CAMP0331(cmeB)_51</v>
          </cell>
          <cell r="I497" t="str">
            <v>CAMP0331(cmeB)</v>
          </cell>
          <cell r="J497">
            <v>51</v>
          </cell>
        </row>
        <row r="498">
          <cell r="A498" t="str">
            <v>SC0549</v>
          </cell>
          <cell r="B498" t="str">
            <v>SRR17925200</v>
          </cell>
          <cell r="C498">
            <v>21</v>
          </cell>
          <cell r="D498">
            <v>21</v>
          </cell>
          <cell r="E498" t="str">
            <v>Bos taurus taurus</v>
          </cell>
          <cell r="F498" t="str">
            <v>Campylobacter jejuni</v>
          </cell>
          <cell r="G498" t="str">
            <v>exact</v>
          </cell>
          <cell r="H498" t="str">
            <v>CAMP0331(cmeB)_604</v>
          </cell>
          <cell r="I498" t="str">
            <v>CAMP0331(cmeB)</v>
          </cell>
          <cell r="J498">
            <v>604</v>
          </cell>
        </row>
        <row r="499">
          <cell r="A499" t="str">
            <v>SC0548</v>
          </cell>
          <cell r="B499" t="str">
            <v>SRR17925201</v>
          </cell>
          <cell r="C499">
            <v>474</v>
          </cell>
          <cell r="D499">
            <v>48</v>
          </cell>
          <cell r="E499" t="str">
            <v>Bos taurus taurus</v>
          </cell>
          <cell r="F499" t="str">
            <v>Campylobacter jejuni</v>
          </cell>
          <cell r="G499" t="str">
            <v>exact</v>
          </cell>
          <cell r="H499" t="str">
            <v>CAMP0331(cmeB)_1206</v>
          </cell>
          <cell r="I499" t="str">
            <v>CAMP0331(cmeB)</v>
          </cell>
          <cell r="J499">
            <v>1206</v>
          </cell>
        </row>
        <row r="500">
          <cell r="A500" t="str">
            <v>SC0877</v>
          </cell>
          <cell r="B500" t="str">
            <v>SRR17925202</v>
          </cell>
          <cell r="C500">
            <v>61</v>
          </cell>
          <cell r="D500">
            <v>61</v>
          </cell>
          <cell r="E500" t="str">
            <v>Homo sapiens</v>
          </cell>
          <cell r="F500" t="str">
            <v>Campylobacter jejuni</v>
          </cell>
          <cell r="G500" t="str">
            <v>exact</v>
          </cell>
          <cell r="H500" t="str">
            <v>CAMP0331(cmeB)_14</v>
          </cell>
          <cell r="I500" t="str">
            <v>CAMP0331(cmeB)</v>
          </cell>
          <cell r="J500">
            <v>14</v>
          </cell>
        </row>
        <row r="501">
          <cell r="A501" t="str">
            <v>SC0876</v>
          </cell>
          <cell r="B501" t="str">
            <v>SRR17925203</v>
          </cell>
          <cell r="C501">
            <v>1326</v>
          </cell>
          <cell r="D501">
            <v>45</v>
          </cell>
          <cell r="E501" t="str">
            <v>Homo sapiens</v>
          </cell>
          <cell r="F501" t="str">
            <v>Campylobacter jejuni</v>
          </cell>
          <cell r="G501" t="str">
            <v>exact</v>
          </cell>
          <cell r="H501" t="str">
            <v>CAMP0331(cmeB)_186</v>
          </cell>
          <cell r="I501" t="str">
            <v>CAMP0331(cmeB)</v>
          </cell>
          <cell r="J501">
            <v>186</v>
          </cell>
        </row>
        <row r="502">
          <cell r="A502" t="str">
            <v>SC0874</v>
          </cell>
          <cell r="B502" t="str">
            <v>SRR17925204</v>
          </cell>
          <cell r="C502">
            <v>45</v>
          </cell>
          <cell r="D502">
            <v>45</v>
          </cell>
          <cell r="E502" t="str">
            <v>Homo sapiens</v>
          </cell>
          <cell r="F502" t="str">
            <v>Campylobacter jejuni</v>
          </cell>
          <cell r="G502" t="str">
            <v>exact</v>
          </cell>
          <cell r="H502" t="str">
            <v>CAMP0331(cmeB)_5</v>
          </cell>
          <cell r="I502" t="str">
            <v>CAMP0331(cmeB)</v>
          </cell>
          <cell r="J502">
            <v>5</v>
          </cell>
        </row>
        <row r="503">
          <cell r="A503" t="str">
            <v>SC0873</v>
          </cell>
          <cell r="B503" t="str">
            <v>SRR17925205</v>
          </cell>
          <cell r="C503">
            <v>45</v>
          </cell>
          <cell r="D503">
            <v>45</v>
          </cell>
          <cell r="E503" t="str">
            <v>Homo sapiens</v>
          </cell>
          <cell r="F503" t="str">
            <v>Campylobacter jejuni</v>
          </cell>
          <cell r="G503" t="str">
            <v>exact</v>
          </cell>
          <cell r="H503" t="str">
            <v>CAMP0331(cmeB)_3633</v>
          </cell>
          <cell r="I503" t="str">
            <v>CAMP0331(cmeB)</v>
          </cell>
          <cell r="J503">
            <v>3633</v>
          </cell>
        </row>
        <row r="504">
          <cell r="A504" t="str">
            <v>SC0871</v>
          </cell>
          <cell r="B504" t="str">
            <v>SRR17925206</v>
          </cell>
          <cell r="C504">
            <v>6964</v>
          </cell>
          <cell r="D504">
            <v>354</v>
          </cell>
          <cell r="E504" t="str">
            <v>Homo sapiens</v>
          </cell>
          <cell r="F504" t="str">
            <v>Campylobacter jejuni</v>
          </cell>
          <cell r="G504" t="str">
            <v>exact</v>
          </cell>
          <cell r="H504" t="str">
            <v>CAMP0331(cmeB)_1451</v>
          </cell>
          <cell r="I504" t="str">
            <v>CAMP0331(cmeB)</v>
          </cell>
          <cell r="J504">
            <v>1451</v>
          </cell>
        </row>
        <row r="505">
          <cell r="A505" t="str">
            <v>SC0870</v>
          </cell>
          <cell r="B505" t="str">
            <v>SRR17925207</v>
          </cell>
          <cell r="C505">
            <v>520</v>
          </cell>
          <cell r="D505">
            <v>21</v>
          </cell>
          <cell r="E505" t="str">
            <v>Homo sapiens</v>
          </cell>
          <cell r="F505" t="str">
            <v>Campylobacter jejuni</v>
          </cell>
          <cell r="G505" t="str">
            <v>exact</v>
          </cell>
          <cell r="H505" t="str">
            <v>CAMP0331(cmeB)_604</v>
          </cell>
          <cell r="I505" t="str">
            <v>CAMP0331(cmeB)</v>
          </cell>
          <cell r="J505">
            <v>604</v>
          </cell>
        </row>
        <row r="506">
          <cell r="A506" t="str">
            <v>SC0869</v>
          </cell>
          <cell r="B506" t="str">
            <v>SRR17925208</v>
          </cell>
          <cell r="C506">
            <v>48</v>
          </cell>
          <cell r="D506">
            <v>48</v>
          </cell>
          <cell r="E506" t="str">
            <v>Homo sapiens</v>
          </cell>
          <cell r="F506" t="str">
            <v>Campylobacter jejuni</v>
          </cell>
          <cell r="G506" t="str">
            <v>exact</v>
          </cell>
          <cell r="H506" t="str">
            <v>CAMP0331(cmeB)_94</v>
          </cell>
          <cell r="I506" t="str">
            <v>CAMP0331(cmeB)</v>
          </cell>
          <cell r="J506">
            <v>94</v>
          </cell>
        </row>
        <row r="507">
          <cell r="A507" t="str">
            <v>SC0867</v>
          </cell>
          <cell r="B507" t="str">
            <v>SRR17925209</v>
          </cell>
          <cell r="C507">
            <v>6964</v>
          </cell>
          <cell r="D507">
            <v>354</v>
          </cell>
          <cell r="E507" t="str">
            <v>Gallus gallus</v>
          </cell>
          <cell r="F507" t="str">
            <v>Campylobacter jejuni</v>
          </cell>
          <cell r="G507" t="str">
            <v>exact</v>
          </cell>
          <cell r="H507" t="str">
            <v>CAMP0331(cmeB)_1451</v>
          </cell>
          <cell r="I507" t="str">
            <v>CAMP0331(cmeB)</v>
          </cell>
          <cell r="J507">
            <v>1451</v>
          </cell>
        </row>
        <row r="508">
          <cell r="A508" t="str">
            <v>SC0536</v>
          </cell>
          <cell r="B508" t="str">
            <v>SRR17925210</v>
          </cell>
          <cell r="C508">
            <v>2026</v>
          </cell>
          <cell r="D508">
            <v>403</v>
          </cell>
          <cell r="E508" t="str">
            <v>Homo sapiens</v>
          </cell>
          <cell r="F508" t="str">
            <v>Campylobacter jejuni</v>
          </cell>
          <cell r="G508" t="str">
            <v>exact</v>
          </cell>
          <cell r="H508" t="str">
            <v>CAMP0331(cmeB)_54</v>
          </cell>
          <cell r="I508" t="str">
            <v>CAMP0331(cmeB)</v>
          </cell>
          <cell r="J508">
            <v>54</v>
          </cell>
        </row>
        <row r="509">
          <cell r="A509" t="str">
            <v>SC0866</v>
          </cell>
          <cell r="B509" t="str">
            <v>SRR17925211</v>
          </cell>
          <cell r="C509">
            <v>6964</v>
          </cell>
          <cell r="D509">
            <v>354</v>
          </cell>
          <cell r="E509" t="str">
            <v>Gallus gallus</v>
          </cell>
          <cell r="F509" t="str">
            <v>Campylobacter jejuni</v>
          </cell>
          <cell r="G509" t="str">
            <v>exact</v>
          </cell>
          <cell r="H509" t="str">
            <v>CAMP0331(cmeB)_1451</v>
          </cell>
          <cell r="I509" t="str">
            <v>CAMP0331(cmeB)</v>
          </cell>
          <cell r="J509">
            <v>1451</v>
          </cell>
        </row>
        <row r="510">
          <cell r="A510" t="str">
            <v>SC0865</v>
          </cell>
          <cell r="B510" t="str">
            <v>SRR17925212</v>
          </cell>
          <cell r="C510">
            <v>4337</v>
          </cell>
          <cell r="D510">
            <v>21</v>
          </cell>
          <cell r="E510" t="str">
            <v>Gallus gallus</v>
          </cell>
          <cell r="F510" t="str">
            <v>Campylobacter jejuni</v>
          </cell>
          <cell r="G510" t="str">
            <v>exact</v>
          </cell>
          <cell r="H510" t="str">
            <v>CAMP0331(cmeB)_604</v>
          </cell>
          <cell r="I510" t="str">
            <v>CAMP0331(cmeB)</v>
          </cell>
          <cell r="J510">
            <v>604</v>
          </cell>
        </row>
        <row r="511">
          <cell r="A511" t="str">
            <v>SC0864</v>
          </cell>
          <cell r="B511" t="str">
            <v>SRR17925213</v>
          </cell>
          <cell r="C511">
            <v>6964</v>
          </cell>
          <cell r="D511">
            <v>354</v>
          </cell>
          <cell r="E511" t="str">
            <v>Gallus gallus</v>
          </cell>
          <cell r="F511" t="str">
            <v>Campylobacter jejuni</v>
          </cell>
          <cell r="G511" t="str">
            <v>exact</v>
          </cell>
          <cell r="H511" t="str">
            <v>CAMP0331(cmeB)_1451</v>
          </cell>
          <cell r="I511" t="str">
            <v>CAMP0331(cmeB)</v>
          </cell>
          <cell r="J511">
            <v>1451</v>
          </cell>
        </row>
        <row r="512">
          <cell r="A512" t="str">
            <v>SC0863</v>
          </cell>
          <cell r="B512" t="str">
            <v>SRR17925214</v>
          </cell>
          <cell r="C512">
            <v>53</v>
          </cell>
          <cell r="D512">
            <v>21</v>
          </cell>
          <cell r="E512" t="str">
            <v>Gallus gallus</v>
          </cell>
          <cell r="F512" t="str">
            <v>Campylobacter jejuni</v>
          </cell>
          <cell r="G512" t="str">
            <v>exact</v>
          </cell>
          <cell r="H512" t="str">
            <v>CAMP0331(cmeB)_604</v>
          </cell>
          <cell r="I512" t="str">
            <v>CAMP0331(cmeB)</v>
          </cell>
          <cell r="J512">
            <v>604</v>
          </cell>
        </row>
        <row r="513">
          <cell r="A513" t="str">
            <v>SC0862</v>
          </cell>
          <cell r="B513" t="str">
            <v>SRR17925215</v>
          </cell>
          <cell r="C513">
            <v>45</v>
          </cell>
          <cell r="D513">
            <v>45</v>
          </cell>
          <cell r="E513" t="str">
            <v>Gallus gallus</v>
          </cell>
          <cell r="F513" t="str">
            <v>Campylobacter jejuni</v>
          </cell>
          <cell r="G513" t="str">
            <v>exact</v>
          </cell>
          <cell r="H513" t="str">
            <v>CAMP0331(cmeB)_27</v>
          </cell>
          <cell r="I513" t="str">
            <v>CAMP0331(cmeB)</v>
          </cell>
          <cell r="J513">
            <v>27</v>
          </cell>
        </row>
        <row r="514">
          <cell r="A514" t="str">
            <v>SC0860</v>
          </cell>
          <cell r="B514" t="str">
            <v>SRR17925217</v>
          </cell>
          <cell r="C514">
            <v>42</v>
          </cell>
          <cell r="D514">
            <v>42</v>
          </cell>
          <cell r="E514" t="str">
            <v>Ovis aries</v>
          </cell>
          <cell r="F514" t="str">
            <v>Campylobacter jejuni</v>
          </cell>
          <cell r="G514" t="str">
            <v>exact</v>
          </cell>
          <cell r="H514" t="str">
            <v>CAMP0331(cmeB)_22</v>
          </cell>
          <cell r="I514" t="str">
            <v>CAMP0331(cmeB)</v>
          </cell>
          <cell r="J514">
            <v>22</v>
          </cell>
        </row>
        <row r="515">
          <cell r="A515" t="str">
            <v>SC0858</v>
          </cell>
          <cell r="B515" t="str">
            <v>SRR17925219</v>
          </cell>
          <cell r="C515">
            <v>3072</v>
          </cell>
          <cell r="D515">
            <v>828</v>
          </cell>
          <cell r="E515" t="str">
            <v>Ovis aries</v>
          </cell>
          <cell r="F515" t="str">
            <v>Campylobacter coli</v>
          </cell>
          <cell r="G515" t="str">
            <v>exact</v>
          </cell>
          <cell r="H515" t="str">
            <v>CAMP0331(cmeB)_1205</v>
          </cell>
          <cell r="I515" t="str">
            <v>CAMP0331(cmeB)</v>
          </cell>
          <cell r="J515">
            <v>1205</v>
          </cell>
        </row>
        <row r="516">
          <cell r="A516" t="str">
            <v>SC0857</v>
          </cell>
          <cell r="B516" t="str">
            <v>SRR17925220</v>
          </cell>
          <cell r="C516">
            <v>825</v>
          </cell>
          <cell r="D516">
            <v>828</v>
          </cell>
          <cell r="E516" t="str">
            <v>Ovis aries</v>
          </cell>
          <cell r="F516" t="str">
            <v>Campylobacter coli</v>
          </cell>
          <cell r="G516" t="str">
            <v>exact</v>
          </cell>
          <cell r="H516" t="str">
            <v>CAMP0331(cmeB)_253</v>
          </cell>
          <cell r="I516" t="str">
            <v>CAMP0331(cmeB)</v>
          </cell>
          <cell r="J516">
            <v>253</v>
          </cell>
        </row>
        <row r="517">
          <cell r="A517" t="str">
            <v>SC0535</v>
          </cell>
          <cell r="B517" t="str">
            <v>SRR17925221</v>
          </cell>
          <cell r="C517">
            <v>53</v>
          </cell>
          <cell r="D517">
            <v>21</v>
          </cell>
          <cell r="E517" t="str">
            <v>Homo sapiens</v>
          </cell>
          <cell r="F517" t="str">
            <v>Campylobacter jejuni</v>
          </cell>
          <cell r="G517" t="str">
            <v>exact</v>
          </cell>
          <cell r="H517" t="str">
            <v>CAMP0331(cmeB)_604</v>
          </cell>
          <cell r="I517" t="str">
            <v>CAMP0331(cmeB)</v>
          </cell>
          <cell r="J517">
            <v>604</v>
          </cell>
        </row>
        <row r="518">
          <cell r="A518" t="str">
            <v>SC0856</v>
          </cell>
          <cell r="B518" t="str">
            <v>SRR17925222</v>
          </cell>
          <cell r="C518">
            <v>61</v>
          </cell>
          <cell r="D518">
            <v>61</v>
          </cell>
          <cell r="E518" t="str">
            <v>Ovis aries</v>
          </cell>
          <cell r="F518" t="str">
            <v>Campylobacter jejuni</v>
          </cell>
          <cell r="G518" t="str">
            <v>exact</v>
          </cell>
          <cell r="H518" t="str">
            <v>CAMP0331(cmeB)_14</v>
          </cell>
          <cell r="I518" t="str">
            <v>CAMP0331(cmeB)</v>
          </cell>
          <cell r="J518">
            <v>14</v>
          </cell>
        </row>
        <row r="519">
          <cell r="A519" t="str">
            <v>SC0855</v>
          </cell>
          <cell r="B519" t="str">
            <v>SRR17925223</v>
          </cell>
          <cell r="C519">
            <v>61</v>
          </cell>
          <cell r="D519">
            <v>61</v>
          </cell>
          <cell r="E519" t="str">
            <v>Ovis aries</v>
          </cell>
          <cell r="F519" t="str">
            <v>Campylobacter jejuni</v>
          </cell>
          <cell r="G519" t="str">
            <v>exact</v>
          </cell>
          <cell r="H519" t="str">
            <v>CAMP0331(cmeB)_14</v>
          </cell>
          <cell r="I519" t="str">
            <v>CAMP0331(cmeB)</v>
          </cell>
          <cell r="J519">
            <v>14</v>
          </cell>
        </row>
        <row r="520">
          <cell r="A520" t="str">
            <v>SC0854</v>
          </cell>
          <cell r="B520" t="str">
            <v>SRR17925224</v>
          </cell>
          <cell r="C520">
            <v>2340</v>
          </cell>
          <cell r="D520">
            <v>61</v>
          </cell>
          <cell r="E520" t="str">
            <v>Ovis aries</v>
          </cell>
          <cell r="F520" t="str">
            <v>Campylobacter jejuni</v>
          </cell>
          <cell r="G520" t="str">
            <v>exact</v>
          </cell>
          <cell r="H520" t="str">
            <v>CAMP0331(cmeB)_14</v>
          </cell>
          <cell r="I520" t="str">
            <v>CAMP0331(cmeB)</v>
          </cell>
          <cell r="J520">
            <v>14</v>
          </cell>
        </row>
        <row r="521">
          <cell r="A521" t="str">
            <v>SC0852</v>
          </cell>
          <cell r="B521" t="str">
            <v>SRR17925226</v>
          </cell>
          <cell r="C521">
            <v>3072</v>
          </cell>
          <cell r="D521">
            <v>828</v>
          </cell>
          <cell r="E521" t="str">
            <v>Ovis aries</v>
          </cell>
          <cell r="F521" t="str">
            <v>Campylobacter coli</v>
          </cell>
          <cell r="G521" t="str">
            <v>exact</v>
          </cell>
          <cell r="H521" t="str">
            <v>CAMP0331(cmeB)_1205</v>
          </cell>
          <cell r="I521" t="str">
            <v>CAMP0331(cmeB)</v>
          </cell>
          <cell r="J521">
            <v>1205</v>
          </cell>
        </row>
        <row r="522">
          <cell r="A522" t="str">
            <v>SC0851</v>
          </cell>
          <cell r="B522" t="str">
            <v>SRR17925227</v>
          </cell>
          <cell r="C522">
            <v>3222</v>
          </cell>
          <cell r="D522">
            <v>0</v>
          </cell>
          <cell r="E522" t="str">
            <v>Ovis aries</v>
          </cell>
          <cell r="F522" t="str">
            <v>Campylobacter coli</v>
          </cell>
          <cell r="G522" t="str">
            <v>exact</v>
          </cell>
          <cell r="H522" t="str">
            <v>CAMP0331(cmeB)_1205</v>
          </cell>
          <cell r="I522" t="str">
            <v>CAMP0331(cmeB)</v>
          </cell>
          <cell r="J522">
            <v>1205</v>
          </cell>
        </row>
        <row r="523">
          <cell r="A523" t="str">
            <v>SC0850</v>
          </cell>
          <cell r="B523" t="str">
            <v>SRR17925228</v>
          </cell>
          <cell r="C523">
            <v>3222</v>
          </cell>
          <cell r="D523">
            <v>0</v>
          </cell>
          <cell r="E523" t="str">
            <v>Ovis aries</v>
          </cell>
          <cell r="F523" t="str">
            <v>Campylobacter coli</v>
          </cell>
          <cell r="G523" t="str">
            <v>exact</v>
          </cell>
          <cell r="H523" t="str">
            <v>CAMP0331(cmeB)_1205</v>
          </cell>
          <cell r="I523" t="str">
            <v>CAMP0331(cmeB)</v>
          </cell>
          <cell r="J523">
            <v>1205</v>
          </cell>
        </row>
        <row r="524">
          <cell r="A524" t="str">
            <v>SC0849</v>
          </cell>
          <cell r="B524" t="str">
            <v>SRR17925229</v>
          </cell>
          <cell r="C524">
            <v>508</v>
          </cell>
          <cell r="D524">
            <v>508</v>
          </cell>
          <cell r="E524" t="str">
            <v>Ovis aries</v>
          </cell>
          <cell r="F524" t="str">
            <v>Campylobacter jejuni</v>
          </cell>
          <cell r="G524" t="str">
            <v>exact</v>
          </cell>
          <cell r="H524" t="str">
            <v>CAMP0331(cmeB)_43</v>
          </cell>
          <cell r="I524" t="str">
            <v>CAMP0331(cmeB)</v>
          </cell>
          <cell r="J524">
            <v>43</v>
          </cell>
        </row>
        <row r="525">
          <cell r="A525" t="str">
            <v>SC0846</v>
          </cell>
          <cell r="B525" t="str">
            <v>SRR17925230</v>
          </cell>
          <cell r="C525">
            <v>6964</v>
          </cell>
          <cell r="D525">
            <v>354</v>
          </cell>
          <cell r="E525" t="str">
            <v>Homo sapiens</v>
          </cell>
          <cell r="F525" t="str">
            <v>Campylobacter jejuni</v>
          </cell>
          <cell r="G525" t="str">
            <v>exact</v>
          </cell>
          <cell r="H525" t="str">
            <v>CAMP0331(cmeB)_1451</v>
          </cell>
          <cell r="I525" t="str">
            <v>CAMP0331(cmeB)</v>
          </cell>
          <cell r="J525">
            <v>1451</v>
          </cell>
        </row>
        <row r="526">
          <cell r="A526" t="str">
            <v>SC0845</v>
          </cell>
          <cell r="B526" t="str">
            <v>SRR17925231</v>
          </cell>
          <cell r="C526">
            <v>4337</v>
          </cell>
          <cell r="D526">
            <v>21</v>
          </cell>
          <cell r="E526" t="str">
            <v>Homo sapiens</v>
          </cell>
          <cell r="F526" t="str">
            <v>Campylobacter jejuni</v>
          </cell>
          <cell r="G526" t="str">
            <v>exact</v>
          </cell>
          <cell r="H526" t="str">
            <v>CAMP0331(cmeB)_604</v>
          </cell>
          <cell r="I526" t="str">
            <v>CAMP0331(cmeB)</v>
          </cell>
          <cell r="J526">
            <v>604</v>
          </cell>
        </row>
        <row r="527">
          <cell r="A527" t="str">
            <v>SC0534</v>
          </cell>
          <cell r="B527" t="str">
            <v>SRR17925232</v>
          </cell>
          <cell r="C527">
            <v>1232</v>
          </cell>
          <cell r="D527">
            <v>353</v>
          </cell>
          <cell r="E527" t="str">
            <v>Homo sapiens</v>
          </cell>
          <cell r="F527" t="str">
            <v>Campylobacter jejuni</v>
          </cell>
          <cell r="G527" t="str">
            <v>exact</v>
          </cell>
          <cell r="H527" t="str">
            <v>CAMP0331(cmeB)_1094</v>
          </cell>
          <cell r="I527" t="str">
            <v>CAMP0331(cmeB)</v>
          </cell>
          <cell r="J527">
            <v>1094</v>
          </cell>
        </row>
        <row r="528">
          <cell r="A528" t="str">
            <v>SC0841</v>
          </cell>
          <cell r="B528" t="str">
            <v>SRR17925233</v>
          </cell>
          <cell r="C528">
            <v>42</v>
          </cell>
          <cell r="D528">
            <v>42</v>
          </cell>
          <cell r="E528" t="str">
            <v>Homo sapiens</v>
          </cell>
          <cell r="F528" t="str">
            <v>Campylobacter jejuni</v>
          </cell>
          <cell r="G528" t="str">
            <v>exact</v>
          </cell>
          <cell r="H528" t="str">
            <v>CAMP0331(cmeB)_22</v>
          </cell>
          <cell r="I528" t="str">
            <v>CAMP0331(cmeB)</v>
          </cell>
          <cell r="J528">
            <v>22</v>
          </cell>
        </row>
        <row r="529">
          <cell r="A529" t="str">
            <v>SC0745</v>
          </cell>
          <cell r="B529" t="str">
            <v>SRR17925234</v>
          </cell>
          <cell r="C529">
            <v>0</v>
          </cell>
          <cell r="D529">
            <v>0</v>
          </cell>
          <cell r="E529" t="str">
            <v>Homo sapiens</v>
          </cell>
          <cell r="F529" t="str">
            <v>Campylobacter coli</v>
          </cell>
          <cell r="G529" t="str">
            <v>exact</v>
          </cell>
          <cell r="H529" t="str">
            <v>CAMP0331(cmeB)_258</v>
          </cell>
          <cell r="I529" t="str">
            <v>CAMP0331(cmeB)</v>
          </cell>
          <cell r="J529">
            <v>258</v>
          </cell>
        </row>
        <row r="530">
          <cell r="A530" t="str">
            <v>SC0744</v>
          </cell>
          <cell r="B530" t="str">
            <v>SRR17925235</v>
          </cell>
          <cell r="C530">
            <v>227</v>
          </cell>
          <cell r="D530">
            <v>206</v>
          </cell>
          <cell r="E530" t="str">
            <v>Homo sapiens</v>
          </cell>
          <cell r="F530" t="str">
            <v>Campylobacter jejuni</v>
          </cell>
          <cell r="G530" t="str">
            <v>exact</v>
          </cell>
          <cell r="H530" t="str">
            <v>CAMP0331(cmeB)_1</v>
          </cell>
          <cell r="I530" t="str">
            <v>CAMP0331(cmeB)</v>
          </cell>
          <cell r="J530">
            <v>1</v>
          </cell>
        </row>
        <row r="531">
          <cell r="A531" t="str">
            <v>SC0525</v>
          </cell>
          <cell r="B531" t="str">
            <v>SRR17925236</v>
          </cell>
          <cell r="C531">
            <v>48</v>
          </cell>
          <cell r="D531">
            <v>48</v>
          </cell>
          <cell r="E531" t="str">
            <v>Gallus gallus</v>
          </cell>
          <cell r="F531" t="str">
            <v>Campylobacter jejuni</v>
          </cell>
          <cell r="G531" t="str">
            <v>exact</v>
          </cell>
          <cell r="H531" t="str">
            <v>CAMP0331(cmeB)_94</v>
          </cell>
          <cell r="I531" t="str">
            <v>CAMP0331(cmeB)</v>
          </cell>
          <cell r="J531">
            <v>94</v>
          </cell>
        </row>
        <row r="532">
          <cell r="A532" t="str">
            <v>SC0743</v>
          </cell>
          <cell r="B532" t="str">
            <v>SRR17925237</v>
          </cell>
          <cell r="C532">
            <v>6964</v>
          </cell>
          <cell r="D532">
            <v>354</v>
          </cell>
          <cell r="E532" t="str">
            <v>Homo sapiens</v>
          </cell>
          <cell r="F532" t="str">
            <v>Campylobacter jejuni</v>
          </cell>
          <cell r="G532" t="str">
            <v>exact</v>
          </cell>
          <cell r="H532" t="str">
            <v>CAMP0331(cmeB)_1451</v>
          </cell>
          <cell r="I532" t="str">
            <v>CAMP0331(cmeB)</v>
          </cell>
          <cell r="J532">
            <v>1451</v>
          </cell>
        </row>
        <row r="533">
          <cell r="A533" t="str">
            <v>SC0741</v>
          </cell>
          <cell r="B533" t="str">
            <v>SRR17925239</v>
          </cell>
          <cell r="C533">
            <v>48</v>
          </cell>
          <cell r="D533">
            <v>48</v>
          </cell>
          <cell r="E533" t="str">
            <v>Homo sapiens</v>
          </cell>
          <cell r="F533" t="str">
            <v>Campylobacter jejuni</v>
          </cell>
          <cell r="G533" t="str">
            <v>exact</v>
          </cell>
          <cell r="H533" t="str">
            <v>CAMP0331(cmeB)_94</v>
          </cell>
          <cell r="I533" t="str">
            <v>CAMP0331(cmeB)</v>
          </cell>
          <cell r="J533">
            <v>94</v>
          </cell>
        </row>
        <row r="534">
          <cell r="A534" t="str">
            <v>SC0740</v>
          </cell>
          <cell r="B534" t="str">
            <v>SRR17925240</v>
          </cell>
          <cell r="C534">
            <v>48</v>
          </cell>
          <cell r="D534">
            <v>48</v>
          </cell>
          <cell r="E534" t="str">
            <v>Homo sapiens</v>
          </cell>
          <cell r="F534" t="str">
            <v>Campylobacter jejuni</v>
          </cell>
          <cell r="G534" t="str">
            <v>exact</v>
          </cell>
          <cell r="H534" t="str">
            <v>CAMP0331(cmeB)_94</v>
          </cell>
          <cell r="I534" t="str">
            <v>CAMP0331(cmeB)</v>
          </cell>
          <cell r="J534">
            <v>94</v>
          </cell>
        </row>
        <row r="535">
          <cell r="A535" t="str">
            <v>SC0739</v>
          </cell>
          <cell r="B535" t="str">
            <v>SRR17925241</v>
          </cell>
          <cell r="C535">
            <v>53</v>
          </cell>
          <cell r="D535">
            <v>21</v>
          </cell>
          <cell r="E535" t="str">
            <v>Homo sapiens</v>
          </cell>
          <cell r="F535" t="str">
            <v>Campylobacter jejuni</v>
          </cell>
          <cell r="G535" t="str">
            <v>exact</v>
          </cell>
          <cell r="H535" t="str">
            <v>CAMP0331(cmeB)_604</v>
          </cell>
          <cell r="I535" t="str">
            <v>CAMP0331(cmeB)</v>
          </cell>
          <cell r="J535">
            <v>604</v>
          </cell>
        </row>
        <row r="536">
          <cell r="A536" t="str">
            <v>SC0738</v>
          </cell>
          <cell r="B536" t="str">
            <v>SRR17925242</v>
          </cell>
          <cell r="C536">
            <v>2535</v>
          </cell>
          <cell r="D536">
            <v>0</v>
          </cell>
          <cell r="E536" t="str">
            <v>Homo sapiens</v>
          </cell>
          <cell r="F536" t="str">
            <v>Campylobacter jejuni</v>
          </cell>
          <cell r="G536" t="str">
            <v>exact</v>
          </cell>
          <cell r="H536" t="str">
            <v>CAMP0331(cmeB)_1667</v>
          </cell>
          <cell r="I536" t="str">
            <v>CAMP0331(cmeB)</v>
          </cell>
          <cell r="J536">
            <v>1667</v>
          </cell>
        </row>
        <row r="537">
          <cell r="A537" t="str">
            <v>SC0737</v>
          </cell>
          <cell r="B537" t="str">
            <v>SRR17925243</v>
          </cell>
          <cell r="C537">
            <v>825</v>
          </cell>
          <cell r="D537">
            <v>828</v>
          </cell>
          <cell r="E537" t="str">
            <v>Homo sapiens</v>
          </cell>
          <cell r="F537" t="str">
            <v>Campylobacter coli</v>
          </cell>
          <cell r="G537" t="str">
            <v>exact</v>
          </cell>
          <cell r="H537" t="str">
            <v>CAMP0331(cmeB)_253</v>
          </cell>
          <cell r="I537" t="str">
            <v>CAMP0331(cmeB)</v>
          </cell>
          <cell r="J537">
            <v>253</v>
          </cell>
        </row>
        <row r="538">
          <cell r="A538" t="str">
            <v>SC0736</v>
          </cell>
          <cell r="B538" t="str">
            <v>SRR17925244</v>
          </cell>
          <cell r="C538">
            <v>21</v>
          </cell>
          <cell r="D538">
            <v>21</v>
          </cell>
          <cell r="E538" t="str">
            <v>Homo sapiens</v>
          </cell>
          <cell r="F538" t="str">
            <v>Campylobacter jejuni</v>
          </cell>
          <cell r="G538" t="str">
            <v>exact</v>
          </cell>
          <cell r="H538" t="str">
            <v>CAMP0331(cmeB)_604</v>
          </cell>
          <cell r="I538" t="str">
            <v>CAMP0331(cmeB)</v>
          </cell>
          <cell r="J538">
            <v>604</v>
          </cell>
        </row>
        <row r="539">
          <cell r="A539" t="str">
            <v>SC0735</v>
          </cell>
          <cell r="B539" t="str">
            <v>SRR17925245</v>
          </cell>
          <cell r="C539">
            <v>4337</v>
          </cell>
          <cell r="D539">
            <v>21</v>
          </cell>
          <cell r="E539" t="str">
            <v>Homo sapiens</v>
          </cell>
          <cell r="F539" t="str">
            <v>Campylobacter jejuni</v>
          </cell>
          <cell r="G539" t="str">
            <v>exact</v>
          </cell>
          <cell r="H539" t="str">
            <v>CAMP0331(cmeB)_604</v>
          </cell>
          <cell r="I539" t="str">
            <v>CAMP0331(cmeB)</v>
          </cell>
          <cell r="J539">
            <v>604</v>
          </cell>
        </row>
        <row r="540">
          <cell r="A540" t="str">
            <v>SC0734</v>
          </cell>
          <cell r="B540" t="str">
            <v>SRR17925246</v>
          </cell>
          <cell r="C540">
            <v>50</v>
          </cell>
          <cell r="D540">
            <v>21</v>
          </cell>
          <cell r="E540" t="str">
            <v>Homo sapiens</v>
          </cell>
          <cell r="F540" t="str">
            <v>Campylobacter jejuni</v>
          </cell>
          <cell r="G540" t="str">
            <v>exact</v>
          </cell>
          <cell r="H540" t="str">
            <v>CAMP0331(cmeB)_604</v>
          </cell>
          <cell r="I540" t="str">
            <v>CAMP0331(cmeB)</v>
          </cell>
          <cell r="J540">
            <v>604</v>
          </cell>
        </row>
        <row r="541">
          <cell r="A541" t="str">
            <v>SC0524</v>
          </cell>
          <cell r="B541" t="str">
            <v>SRR17925247</v>
          </cell>
          <cell r="C541">
            <v>48</v>
          </cell>
          <cell r="D541">
            <v>48</v>
          </cell>
          <cell r="E541" t="str">
            <v>Gallus gallus</v>
          </cell>
          <cell r="F541" t="str">
            <v>Campylobacter jejuni</v>
          </cell>
          <cell r="G541" t="str">
            <v>exact</v>
          </cell>
          <cell r="H541" t="str">
            <v>CAMP0331(cmeB)_94</v>
          </cell>
          <cell r="I541" t="str">
            <v>CAMP0331(cmeB)</v>
          </cell>
          <cell r="J541">
            <v>94</v>
          </cell>
        </row>
        <row r="542">
          <cell r="A542" t="str">
            <v>SC0733</v>
          </cell>
          <cell r="B542" t="str">
            <v>SRR17925248</v>
          </cell>
          <cell r="C542">
            <v>42</v>
          </cell>
          <cell r="D542">
            <v>42</v>
          </cell>
          <cell r="E542" t="str">
            <v>Homo sapiens</v>
          </cell>
          <cell r="F542" t="str">
            <v>Campylobacter jejuni</v>
          </cell>
          <cell r="G542" t="str">
            <v>exact</v>
          </cell>
          <cell r="H542" t="str">
            <v>CAMP0331(cmeB)_22</v>
          </cell>
          <cell r="I542" t="str">
            <v>CAMP0331(cmeB)</v>
          </cell>
          <cell r="J542">
            <v>22</v>
          </cell>
        </row>
        <row r="543">
          <cell r="A543" t="str">
            <v>SC0732</v>
          </cell>
          <cell r="B543" t="str">
            <v>SRR17925249</v>
          </cell>
          <cell r="C543">
            <v>474</v>
          </cell>
          <cell r="D543">
            <v>48</v>
          </cell>
          <cell r="E543" t="str">
            <v>Homo sapiens</v>
          </cell>
          <cell r="F543" t="str">
            <v>Campylobacter jejuni</v>
          </cell>
          <cell r="G543" t="str">
            <v>exact</v>
          </cell>
          <cell r="H543" t="str">
            <v>CAMP0331(cmeB)_1</v>
          </cell>
          <cell r="I543" t="str">
            <v>CAMP0331(cmeB)</v>
          </cell>
          <cell r="J543">
            <v>1</v>
          </cell>
        </row>
        <row r="544">
          <cell r="A544" t="str">
            <v>SC0730</v>
          </cell>
          <cell r="B544" t="str">
            <v>SRR17925251</v>
          </cell>
          <cell r="C544">
            <v>6964</v>
          </cell>
          <cell r="D544">
            <v>354</v>
          </cell>
          <cell r="E544" t="str">
            <v>Homo sapiens</v>
          </cell>
          <cell r="F544" t="str">
            <v>Campylobacter jejuni</v>
          </cell>
          <cell r="G544" t="str">
            <v>exact</v>
          </cell>
          <cell r="H544" t="str">
            <v>CAMP0331(cmeB)_1451</v>
          </cell>
          <cell r="I544" t="str">
            <v>CAMP0331(cmeB)</v>
          </cell>
          <cell r="J544">
            <v>1451</v>
          </cell>
        </row>
        <row r="545">
          <cell r="A545" t="str">
            <v>SC0729</v>
          </cell>
          <cell r="B545" t="str">
            <v>SRR17925252</v>
          </cell>
          <cell r="C545">
            <v>50</v>
          </cell>
          <cell r="D545">
            <v>21</v>
          </cell>
          <cell r="E545" t="str">
            <v>Homo sapiens</v>
          </cell>
          <cell r="F545" t="str">
            <v>Campylobacter jejuni</v>
          </cell>
          <cell r="G545" t="str">
            <v>exact</v>
          </cell>
          <cell r="H545" t="str">
            <v>CAMP0331(cmeB)_604</v>
          </cell>
          <cell r="I545" t="str">
            <v>CAMP0331(cmeB)</v>
          </cell>
          <cell r="J545">
            <v>604</v>
          </cell>
        </row>
        <row r="546">
          <cell r="A546" t="str">
            <v>SC0728</v>
          </cell>
          <cell r="B546" t="str">
            <v>SRR17925253</v>
          </cell>
          <cell r="C546">
            <v>2345</v>
          </cell>
          <cell r="D546">
            <v>206</v>
          </cell>
          <cell r="E546" t="str">
            <v>Homo sapiens</v>
          </cell>
          <cell r="F546" t="str">
            <v>Campylobacter jejuni</v>
          </cell>
          <cell r="G546" t="str">
            <v>exact</v>
          </cell>
          <cell r="H546" t="str">
            <v>CAMP0331(cmeB)_158</v>
          </cell>
          <cell r="I546" t="str">
            <v>CAMP0331(cmeB)</v>
          </cell>
          <cell r="J546">
            <v>158</v>
          </cell>
        </row>
        <row r="547">
          <cell r="A547" t="str">
            <v>SC0727</v>
          </cell>
          <cell r="B547" t="str">
            <v>SRR17925254</v>
          </cell>
          <cell r="C547">
            <v>48</v>
          </cell>
          <cell r="D547">
            <v>48</v>
          </cell>
          <cell r="E547" t="str">
            <v>Homo sapiens</v>
          </cell>
          <cell r="F547" t="str">
            <v>Campylobacter jejuni</v>
          </cell>
          <cell r="G547" t="str">
            <v>exact</v>
          </cell>
          <cell r="H547" t="str">
            <v>CAMP0331(cmeB)_94</v>
          </cell>
          <cell r="I547" t="str">
            <v>CAMP0331(cmeB)</v>
          </cell>
          <cell r="J547">
            <v>94</v>
          </cell>
        </row>
        <row r="548">
          <cell r="A548" t="str">
            <v>SC0726</v>
          </cell>
          <cell r="B548" t="str">
            <v>SRR17925255</v>
          </cell>
          <cell r="C548">
            <v>53</v>
          </cell>
          <cell r="D548">
            <v>21</v>
          </cell>
          <cell r="E548" t="str">
            <v>Homo sapiens</v>
          </cell>
          <cell r="F548" t="str">
            <v>Campylobacter jejuni</v>
          </cell>
          <cell r="G548" t="str">
            <v>exact</v>
          </cell>
          <cell r="H548" t="str">
            <v>CAMP0331(cmeB)_604</v>
          </cell>
          <cell r="I548" t="str">
            <v>CAMP0331(cmeB)</v>
          </cell>
          <cell r="J548">
            <v>604</v>
          </cell>
        </row>
        <row r="549">
          <cell r="A549" t="str">
            <v>SC0725</v>
          </cell>
          <cell r="B549" t="str">
            <v>SRR17925256</v>
          </cell>
          <cell r="C549">
            <v>0</v>
          </cell>
          <cell r="D549">
            <v>0</v>
          </cell>
          <cell r="E549" t="str">
            <v>Homo sapiens</v>
          </cell>
          <cell r="F549" t="str">
            <v>Campylobacter coli</v>
          </cell>
          <cell r="G549" t="str">
            <v>exact</v>
          </cell>
          <cell r="H549" t="str">
            <v>CAMP0331(cmeB)_1205</v>
          </cell>
          <cell r="I549" t="str">
            <v>CAMP0331(cmeB)</v>
          </cell>
          <cell r="J549">
            <v>1205</v>
          </cell>
        </row>
        <row r="550">
          <cell r="A550" t="str">
            <v>SC0724</v>
          </cell>
          <cell r="B550" t="str">
            <v>SRR17925257</v>
          </cell>
          <cell r="C550">
            <v>45</v>
          </cell>
          <cell r="D550">
            <v>45</v>
          </cell>
          <cell r="E550" t="str">
            <v>Homo sapiens</v>
          </cell>
          <cell r="F550" t="str">
            <v>Campylobacter jejuni</v>
          </cell>
          <cell r="G550" t="str">
            <v>exact</v>
          </cell>
          <cell r="H550" t="str">
            <v>CAMP0331(cmeB)_3616</v>
          </cell>
          <cell r="I550" t="str">
            <v>CAMP0331(cmeB)</v>
          </cell>
          <cell r="J550">
            <v>3616</v>
          </cell>
        </row>
        <row r="551">
          <cell r="A551" t="str">
            <v>SC0523</v>
          </cell>
          <cell r="B551" t="str">
            <v>SRR17925258</v>
          </cell>
          <cell r="C551">
            <v>48</v>
          </cell>
          <cell r="D551">
            <v>48</v>
          </cell>
          <cell r="E551" t="str">
            <v>Gallus gallus</v>
          </cell>
          <cell r="F551" t="str">
            <v>Campylobacter jejuni</v>
          </cell>
          <cell r="G551" t="str">
            <v>exact</v>
          </cell>
          <cell r="H551" t="str">
            <v>CAMP0331(cmeB)_94</v>
          </cell>
          <cell r="I551" t="str">
            <v>CAMP0331(cmeB)</v>
          </cell>
          <cell r="J551">
            <v>94</v>
          </cell>
        </row>
        <row r="552">
          <cell r="A552" t="str">
            <v>SC0723</v>
          </cell>
          <cell r="B552" t="str">
            <v>SRR17925259</v>
          </cell>
          <cell r="C552">
            <v>6964</v>
          </cell>
          <cell r="D552">
            <v>354</v>
          </cell>
          <cell r="E552" t="str">
            <v>Homo sapiens</v>
          </cell>
          <cell r="F552" t="str">
            <v>Campylobacter jejuni</v>
          </cell>
          <cell r="G552" t="str">
            <v>exact</v>
          </cell>
          <cell r="H552" t="str">
            <v>CAMP0331(cmeB)_1451</v>
          </cell>
          <cell r="I552" t="str">
            <v>CAMP0331(cmeB)</v>
          </cell>
          <cell r="J552">
            <v>1451</v>
          </cell>
        </row>
        <row r="553">
          <cell r="A553" t="str">
            <v>SC0722</v>
          </cell>
          <cell r="B553" t="str">
            <v>SRR17925260</v>
          </cell>
          <cell r="C553">
            <v>50</v>
          </cell>
          <cell r="D553">
            <v>21</v>
          </cell>
          <cell r="E553" t="str">
            <v>Homo sapiens</v>
          </cell>
          <cell r="F553" t="str">
            <v>Campylobacter jejuni</v>
          </cell>
          <cell r="G553" t="str">
            <v>exact</v>
          </cell>
          <cell r="H553" t="str">
            <v>CAMP0331(cmeB)_1</v>
          </cell>
          <cell r="I553" t="str">
            <v>CAMP0331(cmeB)</v>
          </cell>
          <cell r="J553">
            <v>1</v>
          </cell>
        </row>
        <row r="554">
          <cell r="A554" t="str">
            <v>SC0721</v>
          </cell>
          <cell r="B554" t="str">
            <v>SRR17925261</v>
          </cell>
          <cell r="C554">
            <v>227</v>
          </cell>
          <cell r="D554">
            <v>206</v>
          </cell>
          <cell r="E554" t="str">
            <v>Homo sapiens</v>
          </cell>
          <cell r="F554" t="str">
            <v>Campylobacter jejuni</v>
          </cell>
          <cell r="G554" t="str">
            <v>exact</v>
          </cell>
          <cell r="H554" t="str">
            <v>CAMP0331(cmeB)_1</v>
          </cell>
          <cell r="I554" t="str">
            <v>CAMP0331(cmeB)</v>
          </cell>
          <cell r="J554">
            <v>1</v>
          </cell>
        </row>
        <row r="555">
          <cell r="A555" t="str">
            <v>SC0719</v>
          </cell>
          <cell r="B555" t="str">
            <v>SRR17925263</v>
          </cell>
          <cell r="C555">
            <v>8323</v>
          </cell>
          <cell r="D555">
            <v>828</v>
          </cell>
          <cell r="E555" t="str">
            <v>Homo sapiens</v>
          </cell>
          <cell r="F555" t="str">
            <v>Campylobacter coli</v>
          </cell>
          <cell r="G555" t="str">
            <v>exact</v>
          </cell>
          <cell r="H555" t="str">
            <v>CAMP0331(cmeB)_258</v>
          </cell>
          <cell r="I555" t="str">
            <v>CAMP0331(cmeB)</v>
          </cell>
          <cell r="J555">
            <v>258</v>
          </cell>
        </row>
        <row r="556">
          <cell r="A556" t="str">
            <v>SC0717</v>
          </cell>
          <cell r="B556" t="str">
            <v>SRR17925264</v>
          </cell>
          <cell r="C556">
            <v>45</v>
          </cell>
          <cell r="D556">
            <v>45</v>
          </cell>
          <cell r="E556" t="str">
            <v>Homo sapiens</v>
          </cell>
          <cell r="F556" t="str">
            <v>Campylobacter jejuni</v>
          </cell>
          <cell r="G556" t="str">
            <v>exact</v>
          </cell>
          <cell r="H556" t="str">
            <v>CAMP0331(cmeB)_5</v>
          </cell>
          <cell r="I556" t="str">
            <v>CAMP0331(cmeB)</v>
          </cell>
          <cell r="J556">
            <v>5</v>
          </cell>
        </row>
        <row r="557">
          <cell r="A557" t="str">
            <v>SC0716</v>
          </cell>
          <cell r="B557" t="str">
            <v>SRR17925265</v>
          </cell>
          <cell r="C557">
            <v>825</v>
          </cell>
          <cell r="D557">
            <v>828</v>
          </cell>
          <cell r="E557" t="str">
            <v>Ovis aries</v>
          </cell>
          <cell r="F557" t="str">
            <v>Campylobacter coli</v>
          </cell>
          <cell r="G557" t="str">
            <v>exact</v>
          </cell>
          <cell r="H557" t="str">
            <v>CAMP0331(cmeB)_253</v>
          </cell>
          <cell r="I557" t="str">
            <v>CAMP0331(cmeB)</v>
          </cell>
          <cell r="J557">
            <v>253</v>
          </cell>
        </row>
        <row r="558">
          <cell r="A558" t="str">
            <v>SC0803</v>
          </cell>
          <cell r="B558" t="str">
            <v>SRR17925267</v>
          </cell>
          <cell r="C558">
            <v>520</v>
          </cell>
          <cell r="D558">
            <v>21</v>
          </cell>
          <cell r="E558" t="str">
            <v>Homo sapiens</v>
          </cell>
          <cell r="F558" t="str">
            <v>Campylobacter jejuni</v>
          </cell>
          <cell r="G558" t="str">
            <v>exact</v>
          </cell>
          <cell r="H558" t="str">
            <v>CAMP0331(cmeB)_604</v>
          </cell>
          <cell r="I558" t="str">
            <v>CAMP0331(cmeB)</v>
          </cell>
          <cell r="J558">
            <v>604</v>
          </cell>
        </row>
        <row r="559">
          <cell r="A559" t="str">
            <v>SC0802</v>
          </cell>
          <cell r="B559" t="str">
            <v>SRR17925268</v>
          </cell>
          <cell r="C559">
            <v>353</v>
          </cell>
          <cell r="D559">
            <v>353</v>
          </cell>
          <cell r="E559" t="str">
            <v>Homo sapiens</v>
          </cell>
          <cell r="F559" t="str">
            <v>Campylobacter jejuni</v>
          </cell>
          <cell r="G559" t="str">
            <v>exact</v>
          </cell>
          <cell r="H559" t="str">
            <v>CAMP0331(cmeB)_41</v>
          </cell>
          <cell r="I559" t="str">
            <v>CAMP0331(cmeB)</v>
          </cell>
          <cell r="J559">
            <v>41</v>
          </cell>
        </row>
        <row r="560">
          <cell r="A560" t="str">
            <v>SC0801</v>
          </cell>
          <cell r="B560" t="str">
            <v>SRR17925269</v>
          </cell>
          <cell r="C560">
            <v>0</v>
          </cell>
          <cell r="D560">
            <v>0</v>
          </cell>
          <cell r="E560" t="str">
            <v>Homo sapiens</v>
          </cell>
          <cell r="F560" t="str">
            <v>Campylobacter jejuni</v>
          </cell>
          <cell r="G560" t="str">
            <v>exact</v>
          </cell>
          <cell r="H560" t="str">
            <v>CAMP0331(cmeB)_2369</v>
          </cell>
          <cell r="I560" t="str">
            <v>CAMP0331(cmeB)</v>
          </cell>
          <cell r="J560">
            <v>2369</v>
          </cell>
        </row>
        <row r="561">
          <cell r="A561" t="str">
            <v>SC0800</v>
          </cell>
          <cell r="B561" t="str">
            <v>SRR17925270</v>
          </cell>
          <cell r="C561">
            <v>0</v>
          </cell>
          <cell r="D561">
            <v>0</v>
          </cell>
          <cell r="E561" t="str">
            <v>Homo sapiens</v>
          </cell>
          <cell r="F561" t="str">
            <v>Campylobacter jejuni</v>
          </cell>
          <cell r="G561" t="str">
            <v>exact</v>
          </cell>
          <cell r="H561" t="str">
            <v>CAMP0331(cmeB)_884</v>
          </cell>
          <cell r="I561" t="str">
            <v>CAMP0331(cmeB)</v>
          </cell>
          <cell r="J561">
            <v>884</v>
          </cell>
        </row>
        <row r="562">
          <cell r="A562" t="str">
            <v>SC0799</v>
          </cell>
          <cell r="B562" t="str">
            <v>SRR17925271</v>
          </cell>
          <cell r="C562">
            <v>227</v>
          </cell>
          <cell r="D562">
            <v>206</v>
          </cell>
          <cell r="E562" t="str">
            <v>Homo sapiens</v>
          </cell>
          <cell r="F562" t="str">
            <v>Campylobacter jejuni</v>
          </cell>
          <cell r="G562" t="str">
            <v>exact</v>
          </cell>
          <cell r="H562" t="str">
            <v>CAMP0331(cmeB)_1</v>
          </cell>
          <cell r="I562" t="str">
            <v>CAMP0331(cmeB)</v>
          </cell>
          <cell r="J562">
            <v>1</v>
          </cell>
        </row>
        <row r="563">
          <cell r="A563" t="str">
            <v>SC0798</v>
          </cell>
          <cell r="B563" t="str">
            <v>SRR17925272</v>
          </cell>
          <cell r="C563">
            <v>1232</v>
          </cell>
          <cell r="D563">
            <v>353</v>
          </cell>
          <cell r="E563" t="str">
            <v>Homo sapiens</v>
          </cell>
          <cell r="F563" t="str">
            <v>Campylobacter jejuni</v>
          </cell>
          <cell r="G563" t="str">
            <v>exact</v>
          </cell>
          <cell r="H563" t="str">
            <v>CAMP0331(cmeB)_1094</v>
          </cell>
          <cell r="I563" t="str">
            <v>CAMP0331(cmeB)</v>
          </cell>
          <cell r="J563">
            <v>1094</v>
          </cell>
        </row>
        <row r="564">
          <cell r="A564" t="str">
            <v>SC0797</v>
          </cell>
          <cell r="B564" t="str">
            <v>SRR17925273</v>
          </cell>
          <cell r="C564">
            <v>4337</v>
          </cell>
          <cell r="D564">
            <v>21</v>
          </cell>
          <cell r="E564" t="str">
            <v>Homo sapiens</v>
          </cell>
          <cell r="F564" t="str">
            <v>Campylobacter jejuni</v>
          </cell>
          <cell r="G564" t="str">
            <v>exact</v>
          </cell>
          <cell r="H564" t="str">
            <v>CAMP0331(cmeB)_4943</v>
          </cell>
          <cell r="I564" t="str">
            <v>CAMP0331(cmeB)</v>
          </cell>
          <cell r="J564">
            <v>4943</v>
          </cell>
        </row>
        <row r="565">
          <cell r="A565" t="str">
            <v>SC0796</v>
          </cell>
          <cell r="B565" t="str">
            <v>SRR17925274</v>
          </cell>
          <cell r="C565">
            <v>50</v>
          </cell>
          <cell r="D565">
            <v>21</v>
          </cell>
          <cell r="E565" t="str">
            <v>Homo sapiens</v>
          </cell>
          <cell r="F565" t="str">
            <v>Campylobacter jejuni</v>
          </cell>
          <cell r="G565" t="str">
            <v>exact</v>
          </cell>
          <cell r="H565" t="str">
            <v>CAMP0331(cmeB)_1</v>
          </cell>
          <cell r="I565" t="str">
            <v>CAMP0331(cmeB)</v>
          </cell>
          <cell r="J565">
            <v>1</v>
          </cell>
        </row>
        <row r="566">
          <cell r="A566" t="str">
            <v>SC0795</v>
          </cell>
          <cell r="B566" t="str">
            <v>SRR17925275</v>
          </cell>
          <cell r="C566">
            <v>257</v>
          </cell>
          <cell r="D566">
            <v>257</v>
          </cell>
          <cell r="E566" t="str">
            <v>Homo sapiens</v>
          </cell>
          <cell r="F566" t="str">
            <v>Campylobacter jejuni</v>
          </cell>
          <cell r="G566" t="str">
            <v>exact</v>
          </cell>
          <cell r="H566" t="str">
            <v>CAMP0331(cmeB)_51</v>
          </cell>
          <cell r="I566" t="str">
            <v>CAMP0331(cmeB)</v>
          </cell>
          <cell r="J566">
            <v>51</v>
          </cell>
        </row>
        <row r="567">
          <cell r="A567" t="str">
            <v>SC0530</v>
          </cell>
          <cell r="B567" t="str">
            <v>SRR17925277</v>
          </cell>
          <cell r="C567">
            <v>6964</v>
          </cell>
          <cell r="D567">
            <v>354</v>
          </cell>
          <cell r="E567" t="str">
            <v>Homo sapiens</v>
          </cell>
          <cell r="F567" t="str">
            <v>Campylobacter jejuni</v>
          </cell>
          <cell r="G567" t="str">
            <v>exact</v>
          </cell>
          <cell r="H567" t="str">
            <v>CAMP0331(cmeB)_1451</v>
          </cell>
          <cell r="I567" t="str">
            <v>CAMP0331(cmeB)</v>
          </cell>
          <cell r="J567">
            <v>1451</v>
          </cell>
        </row>
        <row r="568">
          <cell r="A568" t="str">
            <v>SC0793</v>
          </cell>
          <cell r="B568" t="str">
            <v>SRR17925278</v>
          </cell>
          <cell r="C568">
            <v>227</v>
          </cell>
          <cell r="D568">
            <v>206</v>
          </cell>
          <cell r="E568" t="str">
            <v>Homo sapiens</v>
          </cell>
          <cell r="F568" t="str">
            <v>Campylobacter jejuni</v>
          </cell>
          <cell r="G568" t="str">
            <v>exact</v>
          </cell>
          <cell r="H568" t="str">
            <v>CAMP0331(cmeB)_1</v>
          </cell>
          <cell r="I568" t="str">
            <v>CAMP0331(cmeB)</v>
          </cell>
          <cell r="J568">
            <v>1</v>
          </cell>
        </row>
        <row r="569">
          <cell r="A569" t="str">
            <v>SC0792</v>
          </cell>
          <cell r="B569" t="str">
            <v>SRR17925279</v>
          </cell>
          <cell r="C569">
            <v>677</v>
          </cell>
          <cell r="D569">
            <v>677</v>
          </cell>
          <cell r="E569" t="str">
            <v>Homo sapiens</v>
          </cell>
          <cell r="F569" t="str">
            <v>Campylobacter jejuni</v>
          </cell>
          <cell r="G569" t="str">
            <v>exact</v>
          </cell>
          <cell r="H569" t="str">
            <v>CAMP0331(cmeB)_39</v>
          </cell>
          <cell r="I569" t="str">
            <v>CAMP0331(cmeB)</v>
          </cell>
          <cell r="J569">
            <v>39</v>
          </cell>
        </row>
        <row r="570">
          <cell r="A570" t="str">
            <v>SC0791</v>
          </cell>
          <cell r="B570" t="str">
            <v>SRR17925280</v>
          </cell>
          <cell r="C570">
            <v>227</v>
          </cell>
          <cell r="D570">
            <v>206</v>
          </cell>
          <cell r="E570" t="str">
            <v>Homo sapiens</v>
          </cell>
          <cell r="F570" t="str">
            <v>Campylobacter jejuni</v>
          </cell>
          <cell r="G570" t="str">
            <v>exact</v>
          </cell>
          <cell r="H570" t="str">
            <v>CAMP0331(cmeB)_1</v>
          </cell>
          <cell r="I570" t="str">
            <v>CAMP0331(cmeB)</v>
          </cell>
          <cell r="J570">
            <v>1</v>
          </cell>
        </row>
        <row r="571">
          <cell r="A571" t="str">
            <v>SC0790</v>
          </cell>
          <cell r="B571" t="str">
            <v>SRR17925281</v>
          </cell>
          <cell r="C571">
            <v>53</v>
          </cell>
          <cell r="D571">
            <v>21</v>
          </cell>
          <cell r="E571" t="str">
            <v>Homo sapiens</v>
          </cell>
          <cell r="F571" t="str">
            <v>Campylobacter jejuni</v>
          </cell>
          <cell r="G571" t="str">
            <v>exact</v>
          </cell>
          <cell r="H571" t="str">
            <v>CAMP0331(cmeB)_604</v>
          </cell>
          <cell r="I571" t="str">
            <v>CAMP0331(cmeB)</v>
          </cell>
          <cell r="J571">
            <v>604</v>
          </cell>
        </row>
        <row r="572">
          <cell r="A572" t="str">
            <v>SC0789</v>
          </cell>
          <cell r="B572" t="str">
            <v>SRR17925282</v>
          </cell>
          <cell r="C572">
            <v>2345</v>
          </cell>
          <cell r="D572">
            <v>206</v>
          </cell>
          <cell r="E572" t="str">
            <v>Gallus gallus</v>
          </cell>
          <cell r="F572" t="str">
            <v>Campylobacter jejuni</v>
          </cell>
          <cell r="G572" t="str">
            <v>exact</v>
          </cell>
          <cell r="H572" t="str">
            <v>CAMP0331(cmeB)_158</v>
          </cell>
          <cell r="I572" t="str">
            <v>CAMP0331(cmeB)</v>
          </cell>
          <cell r="J572">
            <v>158</v>
          </cell>
        </row>
        <row r="573">
          <cell r="A573" t="str">
            <v>SC0788</v>
          </cell>
          <cell r="B573" t="str">
            <v>SRR17925283</v>
          </cell>
          <cell r="C573">
            <v>48</v>
          </cell>
          <cell r="D573">
            <v>48</v>
          </cell>
          <cell r="E573" t="str">
            <v>Gallus gallus</v>
          </cell>
          <cell r="F573" t="str">
            <v>Campylobacter jejuni</v>
          </cell>
          <cell r="G573" t="str">
            <v>exact</v>
          </cell>
          <cell r="H573" t="str">
            <v>CAMP0331(cmeB)_94</v>
          </cell>
          <cell r="I573" t="str">
            <v>CAMP0331(cmeB)</v>
          </cell>
          <cell r="J573">
            <v>94</v>
          </cell>
        </row>
        <row r="574">
          <cell r="A574" t="str">
            <v>SC0787</v>
          </cell>
          <cell r="B574" t="str">
            <v>SRR17925284</v>
          </cell>
          <cell r="C574">
            <v>6964</v>
          </cell>
          <cell r="D574">
            <v>354</v>
          </cell>
          <cell r="E574" t="str">
            <v>Gallus gallus</v>
          </cell>
          <cell r="F574" t="str">
            <v>Campylobacter jejuni</v>
          </cell>
          <cell r="G574" t="str">
            <v>exact</v>
          </cell>
          <cell r="H574" t="str">
            <v>CAMP0331(cmeB)_1451</v>
          </cell>
          <cell r="I574" t="str">
            <v>CAMP0331(cmeB)</v>
          </cell>
          <cell r="J574">
            <v>1451</v>
          </cell>
        </row>
        <row r="575">
          <cell r="A575" t="str">
            <v>SC0786</v>
          </cell>
          <cell r="B575" t="str">
            <v>SRR17925285</v>
          </cell>
          <cell r="C575">
            <v>486</v>
          </cell>
          <cell r="D575">
            <v>21</v>
          </cell>
          <cell r="E575" t="str">
            <v>Gallus gallus</v>
          </cell>
          <cell r="F575" t="str">
            <v>Campylobacter jejuni</v>
          </cell>
          <cell r="G575" t="str">
            <v>exact</v>
          </cell>
          <cell r="H575" t="str">
            <v>CAMP0331(cmeB)_1</v>
          </cell>
          <cell r="I575" t="str">
            <v>CAMP0331(cmeB)</v>
          </cell>
          <cell r="J575">
            <v>1</v>
          </cell>
        </row>
        <row r="576">
          <cell r="A576" t="str">
            <v>SC0785</v>
          </cell>
          <cell r="B576" t="str">
            <v>SRR17925286</v>
          </cell>
          <cell r="C576">
            <v>583</v>
          </cell>
          <cell r="D576">
            <v>45</v>
          </cell>
          <cell r="E576" t="str">
            <v>Gallus gallus</v>
          </cell>
          <cell r="F576" t="str">
            <v>Campylobacter jejuni</v>
          </cell>
          <cell r="G576" t="str">
            <v>exact</v>
          </cell>
          <cell r="H576" t="str">
            <v>CAMP0331(cmeB)_24</v>
          </cell>
          <cell r="I576" t="str">
            <v>CAMP0331(cmeB)</v>
          </cell>
          <cell r="J576">
            <v>24</v>
          </cell>
        </row>
        <row r="577">
          <cell r="A577" t="str">
            <v>SC0784</v>
          </cell>
          <cell r="B577" t="str">
            <v>SRR17925287</v>
          </cell>
          <cell r="C577">
            <v>583</v>
          </cell>
          <cell r="D577">
            <v>45</v>
          </cell>
          <cell r="E577" t="str">
            <v>Gallus gallus</v>
          </cell>
          <cell r="F577" t="str">
            <v>Campylobacter jejuni</v>
          </cell>
          <cell r="G577" t="str">
            <v>exact</v>
          </cell>
          <cell r="H577" t="str">
            <v>CAMP0331(cmeB)_24</v>
          </cell>
          <cell r="I577" t="str">
            <v>CAMP0331(cmeB)</v>
          </cell>
          <cell r="J577">
            <v>24</v>
          </cell>
        </row>
        <row r="578">
          <cell r="A578" t="str">
            <v>SC0529</v>
          </cell>
          <cell r="B578" t="str">
            <v>SRR17925288</v>
          </cell>
          <cell r="C578">
            <v>53</v>
          </cell>
          <cell r="D578">
            <v>21</v>
          </cell>
          <cell r="E578" t="str">
            <v>Homo sapiens</v>
          </cell>
          <cell r="F578" t="str">
            <v>Campylobacter jejuni</v>
          </cell>
          <cell r="G578" t="str">
            <v>exact</v>
          </cell>
          <cell r="H578" t="str">
            <v>CAMP0331(cmeB)_604</v>
          </cell>
          <cell r="I578" t="str">
            <v>CAMP0331(cmeB)</v>
          </cell>
          <cell r="J578">
            <v>604</v>
          </cell>
        </row>
        <row r="579">
          <cell r="A579" t="str">
            <v>SC0783</v>
          </cell>
          <cell r="B579" t="str">
            <v>SRR17925289</v>
          </cell>
          <cell r="C579">
            <v>190</v>
          </cell>
          <cell r="D579">
            <v>21</v>
          </cell>
          <cell r="E579" t="str">
            <v>Homo sapiens</v>
          </cell>
          <cell r="F579" t="str">
            <v>Campylobacter jejuni</v>
          </cell>
          <cell r="G579" t="str">
            <v>exact</v>
          </cell>
          <cell r="H579" t="str">
            <v>CAMP0331(cmeB)_604</v>
          </cell>
          <cell r="I579" t="str">
            <v>CAMP0331(cmeB)</v>
          </cell>
          <cell r="J579">
            <v>604</v>
          </cell>
        </row>
        <row r="580">
          <cell r="A580" t="str">
            <v>SC0782</v>
          </cell>
          <cell r="B580" t="str">
            <v>SRR17925290</v>
          </cell>
          <cell r="C580">
            <v>403</v>
          </cell>
          <cell r="D580">
            <v>403</v>
          </cell>
          <cell r="E580" t="str">
            <v>Homo sapiens</v>
          </cell>
          <cell r="F580" t="str">
            <v>Campylobacter jejuni</v>
          </cell>
          <cell r="G580" t="str">
            <v>exact</v>
          </cell>
          <cell r="H580" t="str">
            <v>CAMP0331(cmeB)_54</v>
          </cell>
          <cell r="I580" t="str">
            <v>CAMP0331(cmeB)</v>
          </cell>
          <cell r="J580">
            <v>54</v>
          </cell>
        </row>
        <row r="581">
          <cell r="A581" t="str">
            <v>SC0781</v>
          </cell>
          <cell r="B581" t="str">
            <v>SRR17925291</v>
          </cell>
          <cell r="C581">
            <v>48</v>
          </cell>
          <cell r="D581">
            <v>48</v>
          </cell>
          <cell r="E581" t="str">
            <v>Homo sapiens</v>
          </cell>
          <cell r="F581" t="str">
            <v>Campylobacter jejuni</v>
          </cell>
          <cell r="G581" t="str">
            <v>exact</v>
          </cell>
          <cell r="H581" t="str">
            <v>CAMP0331(cmeB)_94</v>
          </cell>
          <cell r="I581" t="str">
            <v>CAMP0331(cmeB)</v>
          </cell>
          <cell r="J581">
            <v>94</v>
          </cell>
        </row>
        <row r="582">
          <cell r="A582" t="str">
            <v>SC0780</v>
          </cell>
          <cell r="B582" t="str">
            <v>SRR17925292</v>
          </cell>
          <cell r="C582">
            <v>486</v>
          </cell>
          <cell r="D582">
            <v>21</v>
          </cell>
          <cell r="E582" t="str">
            <v>Homo sapiens</v>
          </cell>
          <cell r="F582" t="str">
            <v>Campylobacter jejuni</v>
          </cell>
          <cell r="G582" t="str">
            <v>exact</v>
          </cell>
          <cell r="H582" t="str">
            <v>CAMP0331(cmeB)_1</v>
          </cell>
          <cell r="I582" t="str">
            <v>CAMP0331(cmeB)</v>
          </cell>
          <cell r="J582">
            <v>1</v>
          </cell>
        </row>
        <row r="583">
          <cell r="A583" t="str">
            <v>SC0779</v>
          </cell>
          <cell r="B583" t="str">
            <v>SRR17925293</v>
          </cell>
          <cell r="C583">
            <v>6964</v>
          </cell>
          <cell r="D583">
            <v>354</v>
          </cell>
          <cell r="E583" t="str">
            <v>Homo sapiens</v>
          </cell>
          <cell r="F583" t="str">
            <v>Campylobacter jejuni</v>
          </cell>
          <cell r="G583" t="str">
            <v>exact</v>
          </cell>
          <cell r="H583" t="str">
            <v>CAMP0331(cmeB)_1451</v>
          </cell>
          <cell r="I583" t="str">
            <v>CAMP0331(cmeB)</v>
          </cell>
          <cell r="J583">
            <v>1451</v>
          </cell>
        </row>
        <row r="584">
          <cell r="A584" t="str">
            <v>SC0778</v>
          </cell>
          <cell r="B584" t="str">
            <v>SRR17925294</v>
          </cell>
          <cell r="C584">
            <v>6964</v>
          </cell>
          <cell r="D584">
            <v>354</v>
          </cell>
          <cell r="E584" t="str">
            <v>Homo sapiens</v>
          </cell>
          <cell r="F584" t="str">
            <v>Campylobacter jejuni</v>
          </cell>
          <cell r="G584" t="str">
            <v>exact</v>
          </cell>
          <cell r="H584" t="str">
            <v>CAMP0331(cmeB)_1451</v>
          </cell>
          <cell r="I584" t="str">
            <v>CAMP0331(cmeB)</v>
          </cell>
          <cell r="J584">
            <v>1451</v>
          </cell>
        </row>
        <row r="585">
          <cell r="A585" t="str">
            <v>SC0777</v>
          </cell>
          <cell r="B585" t="str">
            <v>SRR17925295</v>
          </cell>
          <cell r="C585">
            <v>486</v>
          </cell>
          <cell r="D585">
            <v>21</v>
          </cell>
          <cell r="E585" t="str">
            <v>Homo sapiens</v>
          </cell>
          <cell r="F585" t="str">
            <v>Campylobacter jejuni</v>
          </cell>
          <cell r="G585" t="str">
            <v>exact</v>
          </cell>
          <cell r="H585" t="str">
            <v>CAMP0331(cmeB)_1</v>
          </cell>
          <cell r="I585" t="str">
            <v>CAMP0331(cmeB)</v>
          </cell>
          <cell r="J585">
            <v>1</v>
          </cell>
        </row>
        <row r="586">
          <cell r="A586" t="str">
            <v>SC0775</v>
          </cell>
          <cell r="B586" t="str">
            <v>SRR17925297</v>
          </cell>
          <cell r="C586">
            <v>486</v>
          </cell>
          <cell r="D586">
            <v>21</v>
          </cell>
          <cell r="E586" t="str">
            <v>Homo sapiens</v>
          </cell>
          <cell r="F586" t="str">
            <v>Campylobacter jejuni</v>
          </cell>
          <cell r="G586" t="str">
            <v>exact</v>
          </cell>
          <cell r="H586" t="str">
            <v>CAMP0331(cmeB)_1</v>
          </cell>
          <cell r="I586" t="str">
            <v>CAMP0331(cmeB)</v>
          </cell>
          <cell r="J586">
            <v>1</v>
          </cell>
        </row>
        <row r="587">
          <cell r="A587" t="str">
            <v>SC0774</v>
          </cell>
          <cell r="B587" t="str">
            <v>SRR17925298</v>
          </cell>
          <cell r="C587">
            <v>1276</v>
          </cell>
          <cell r="D587">
            <v>1332</v>
          </cell>
          <cell r="E587" t="str">
            <v>Homo sapiens</v>
          </cell>
          <cell r="F587" t="str">
            <v>Campylobacter jejuni</v>
          </cell>
          <cell r="G587" t="str">
            <v>exact</v>
          </cell>
          <cell r="H587" t="str">
            <v>CAMP0331(cmeB)_1720</v>
          </cell>
          <cell r="I587" t="str">
            <v>CAMP0331(cmeB)</v>
          </cell>
          <cell r="J587">
            <v>1720</v>
          </cell>
        </row>
        <row r="588">
          <cell r="A588" t="str">
            <v>SC0528</v>
          </cell>
          <cell r="B588" t="str">
            <v>SRR17925299</v>
          </cell>
          <cell r="C588">
            <v>6964</v>
          </cell>
          <cell r="D588">
            <v>354</v>
          </cell>
          <cell r="E588" t="str">
            <v>Homo sapiens</v>
          </cell>
          <cell r="F588" t="str">
            <v>Campylobacter jejuni</v>
          </cell>
          <cell r="G588" t="str">
            <v>exact</v>
          </cell>
          <cell r="H588" t="str">
            <v>CAMP0331(cmeB)_1451</v>
          </cell>
          <cell r="I588" t="str">
            <v>CAMP0331(cmeB)</v>
          </cell>
          <cell r="J588">
            <v>1451</v>
          </cell>
        </row>
        <row r="589">
          <cell r="A589" t="str">
            <v>SC0773</v>
          </cell>
          <cell r="B589" t="str">
            <v>SRR17925300</v>
          </cell>
          <cell r="C589">
            <v>486</v>
          </cell>
          <cell r="D589">
            <v>21</v>
          </cell>
          <cell r="E589" t="str">
            <v>Homo sapiens</v>
          </cell>
          <cell r="F589" t="str">
            <v>Campylobacter jejuni</v>
          </cell>
          <cell r="G589" t="str">
            <v>exact</v>
          </cell>
          <cell r="H589" t="str">
            <v>CAMP0331(cmeB)_1</v>
          </cell>
          <cell r="I589" t="str">
            <v>CAMP0331(cmeB)</v>
          </cell>
          <cell r="J589">
            <v>1</v>
          </cell>
        </row>
        <row r="590">
          <cell r="A590" t="str">
            <v>SC0772</v>
          </cell>
          <cell r="B590" t="str">
            <v>SRR17925301</v>
          </cell>
          <cell r="C590">
            <v>227</v>
          </cell>
          <cell r="D590">
            <v>206</v>
          </cell>
          <cell r="E590" t="str">
            <v>Homo sapiens</v>
          </cell>
          <cell r="F590" t="str">
            <v>Campylobacter jejuni</v>
          </cell>
          <cell r="G590" t="str">
            <v>exact</v>
          </cell>
          <cell r="H590" t="str">
            <v>CAMP0331(cmeB)_158</v>
          </cell>
          <cell r="I590" t="str">
            <v>CAMP0331(cmeB)</v>
          </cell>
          <cell r="J590">
            <v>158</v>
          </cell>
        </row>
        <row r="591">
          <cell r="A591" t="str">
            <v>SC0771</v>
          </cell>
          <cell r="B591" t="str">
            <v>SRR17925302</v>
          </cell>
          <cell r="C591">
            <v>6964</v>
          </cell>
          <cell r="D591">
            <v>354</v>
          </cell>
          <cell r="E591" t="str">
            <v>Homo sapiens</v>
          </cell>
          <cell r="F591" t="str">
            <v>Campylobacter jejuni</v>
          </cell>
          <cell r="G591" t="str">
            <v>exact</v>
          </cell>
          <cell r="H591" t="str">
            <v>CAMP0331(cmeB)_1451</v>
          </cell>
          <cell r="I591" t="str">
            <v>CAMP0331(cmeB)</v>
          </cell>
          <cell r="J591">
            <v>1451</v>
          </cell>
        </row>
        <row r="592">
          <cell r="A592" t="str">
            <v>SC0770</v>
          </cell>
          <cell r="B592" t="str">
            <v>SRR17925303</v>
          </cell>
          <cell r="C592">
            <v>51</v>
          </cell>
          <cell r="D592">
            <v>443</v>
          </cell>
          <cell r="E592" t="str">
            <v>Homo sapiens</v>
          </cell>
          <cell r="F592" t="str">
            <v>Campylobacter jejuni</v>
          </cell>
          <cell r="G592" t="str">
            <v>exact</v>
          </cell>
          <cell r="H592" t="str">
            <v>CAMP0331(cmeB)_127</v>
          </cell>
          <cell r="I592" t="str">
            <v>CAMP0331(cmeB)</v>
          </cell>
          <cell r="J592">
            <v>127</v>
          </cell>
        </row>
        <row r="593">
          <cell r="A593" t="str">
            <v>SC0769</v>
          </cell>
          <cell r="B593" t="str">
            <v>SRR17925304</v>
          </cell>
          <cell r="C593">
            <v>48</v>
          </cell>
          <cell r="D593">
            <v>48</v>
          </cell>
          <cell r="E593" t="str">
            <v>Homo sapiens</v>
          </cell>
          <cell r="F593" t="str">
            <v>Campylobacter jejuni</v>
          </cell>
          <cell r="G593" t="str">
            <v>exact</v>
          </cell>
          <cell r="H593" t="str">
            <v>CAMP0331(cmeB)_94</v>
          </cell>
          <cell r="I593" t="str">
            <v>CAMP0331(cmeB)</v>
          </cell>
          <cell r="J593">
            <v>94</v>
          </cell>
        </row>
        <row r="594">
          <cell r="A594" t="str">
            <v>SC0768</v>
          </cell>
          <cell r="B594" t="str">
            <v>SRR17925305</v>
          </cell>
          <cell r="C594">
            <v>6964</v>
          </cell>
          <cell r="D594">
            <v>354</v>
          </cell>
          <cell r="E594" t="str">
            <v>Homo sapiens</v>
          </cell>
          <cell r="F594" t="str">
            <v>Campylobacter jejuni</v>
          </cell>
          <cell r="G594" t="str">
            <v>exact</v>
          </cell>
          <cell r="H594" t="str">
            <v>CAMP0331(cmeB)_1451</v>
          </cell>
          <cell r="I594" t="str">
            <v>CAMP0331(cmeB)</v>
          </cell>
          <cell r="J594">
            <v>1451</v>
          </cell>
        </row>
        <row r="595">
          <cell r="A595" t="str">
            <v>SC0767</v>
          </cell>
          <cell r="B595" t="str">
            <v>SRR17925306</v>
          </cell>
          <cell r="C595">
            <v>4337</v>
          </cell>
          <cell r="D595">
            <v>21</v>
          </cell>
          <cell r="E595" t="str">
            <v>Homo sapiens</v>
          </cell>
          <cell r="F595" t="str">
            <v>Campylobacter jejuni</v>
          </cell>
          <cell r="G595" t="str">
            <v>exact</v>
          </cell>
          <cell r="H595" t="str">
            <v>CAMP0331(cmeB)_4943</v>
          </cell>
          <cell r="I595" t="str">
            <v>CAMP0331(cmeB)</v>
          </cell>
          <cell r="J595">
            <v>4943</v>
          </cell>
        </row>
        <row r="596">
          <cell r="A596" t="str">
            <v>SC0766</v>
          </cell>
          <cell r="B596" t="str">
            <v>SRR17925307</v>
          </cell>
          <cell r="C596">
            <v>8097</v>
          </cell>
          <cell r="D596">
            <v>21</v>
          </cell>
          <cell r="E596" t="str">
            <v>Homo sapiens</v>
          </cell>
          <cell r="F596" t="str">
            <v>Campylobacter jejuni</v>
          </cell>
          <cell r="G596" t="str">
            <v>exact</v>
          </cell>
          <cell r="H596" t="str">
            <v>CAMP0331(cmeB)_604</v>
          </cell>
          <cell r="I596" t="str">
            <v>CAMP0331(cmeB)</v>
          </cell>
          <cell r="J596">
            <v>604</v>
          </cell>
        </row>
        <row r="597">
          <cell r="A597" t="str">
            <v>SC0765</v>
          </cell>
          <cell r="B597" t="str">
            <v>SRR17925308</v>
          </cell>
          <cell r="C597">
            <v>6964</v>
          </cell>
          <cell r="D597">
            <v>354</v>
          </cell>
          <cell r="E597" t="str">
            <v>Gallus gallus</v>
          </cell>
          <cell r="F597" t="str">
            <v>Campylobacter jejuni</v>
          </cell>
          <cell r="G597" t="str">
            <v>exact</v>
          </cell>
          <cell r="H597" t="str">
            <v>CAMP0331(cmeB)_1451</v>
          </cell>
          <cell r="I597" t="str">
            <v>CAMP0331(cmeB)</v>
          </cell>
          <cell r="J597">
            <v>1451</v>
          </cell>
        </row>
        <row r="598">
          <cell r="A598" t="str">
            <v>SC0764</v>
          </cell>
          <cell r="B598" t="str">
            <v>SRR17925309</v>
          </cell>
          <cell r="C598">
            <v>4337</v>
          </cell>
          <cell r="D598">
            <v>21</v>
          </cell>
          <cell r="E598" t="str">
            <v>Gallus gallus</v>
          </cell>
          <cell r="F598" t="str">
            <v>Campylobacter jejuni</v>
          </cell>
          <cell r="G598" t="str">
            <v>exact</v>
          </cell>
          <cell r="H598" t="str">
            <v>CAMP0331(cmeB)_604</v>
          </cell>
          <cell r="I598" t="str">
            <v>CAMP0331(cmeB)</v>
          </cell>
          <cell r="J598">
            <v>604</v>
          </cell>
        </row>
        <row r="599">
          <cell r="A599" t="str">
            <v>SC0527</v>
          </cell>
          <cell r="B599" t="str">
            <v>SRR17925310</v>
          </cell>
          <cell r="C599">
            <v>5686</v>
          </cell>
          <cell r="D599">
            <v>0</v>
          </cell>
          <cell r="E599" t="str">
            <v>Homo sapiens</v>
          </cell>
          <cell r="F599" t="str">
            <v>Campylobacter jejuni</v>
          </cell>
          <cell r="G599" t="str">
            <v>exact</v>
          </cell>
          <cell r="H599" t="str">
            <v>CAMP0331(cmeB)_306</v>
          </cell>
          <cell r="I599" t="str">
            <v>CAMP0331(cmeB)</v>
          </cell>
          <cell r="J599">
            <v>306</v>
          </cell>
        </row>
        <row r="600">
          <cell r="A600" t="str">
            <v>SC0763</v>
          </cell>
          <cell r="B600" t="str">
            <v>SRR17925311</v>
          </cell>
          <cell r="C600">
            <v>6964</v>
          </cell>
          <cell r="D600">
            <v>354</v>
          </cell>
          <cell r="E600" t="str">
            <v>Gallus gallus</v>
          </cell>
          <cell r="F600" t="str">
            <v>Campylobacter jejuni</v>
          </cell>
          <cell r="G600" t="str">
            <v>exact</v>
          </cell>
          <cell r="H600" t="str">
            <v>CAMP0331(cmeB)_1451</v>
          </cell>
          <cell r="I600" t="str">
            <v>CAMP0331(cmeB)</v>
          </cell>
          <cell r="J600">
            <v>1451</v>
          </cell>
        </row>
        <row r="601">
          <cell r="A601" t="str">
            <v>SC0762</v>
          </cell>
          <cell r="B601" t="str">
            <v>SRR17925312</v>
          </cell>
          <cell r="C601">
            <v>6964</v>
          </cell>
          <cell r="D601">
            <v>354</v>
          </cell>
          <cell r="E601" t="str">
            <v>Gallus gallus</v>
          </cell>
          <cell r="F601" t="str">
            <v>Campylobacter jejuni</v>
          </cell>
          <cell r="G601" t="str">
            <v>exact</v>
          </cell>
          <cell r="H601" t="str">
            <v>CAMP0331(cmeB)_1451</v>
          </cell>
          <cell r="I601" t="str">
            <v>CAMP0331(cmeB)</v>
          </cell>
          <cell r="J601">
            <v>1451</v>
          </cell>
        </row>
        <row r="602">
          <cell r="A602" t="str">
            <v>SC0759</v>
          </cell>
          <cell r="B602" t="str">
            <v>SRR17925315</v>
          </cell>
          <cell r="C602">
            <v>45</v>
          </cell>
          <cell r="D602">
            <v>45</v>
          </cell>
          <cell r="E602" t="str">
            <v>Homo sapiens</v>
          </cell>
          <cell r="F602" t="str">
            <v>Campylobacter jejuni</v>
          </cell>
          <cell r="G602" t="str">
            <v>exact</v>
          </cell>
          <cell r="H602" t="str">
            <v>CAMP0331(cmeB)_3616</v>
          </cell>
          <cell r="I602" t="str">
            <v>CAMP0331(cmeB)</v>
          </cell>
          <cell r="J602">
            <v>3616</v>
          </cell>
        </row>
        <row r="603">
          <cell r="A603" t="str">
            <v>SC0758</v>
          </cell>
          <cell r="B603" t="str">
            <v>SRR17925316</v>
          </cell>
          <cell r="C603">
            <v>45</v>
          </cell>
          <cell r="D603">
            <v>45</v>
          </cell>
          <cell r="E603" t="str">
            <v>Homo sapiens</v>
          </cell>
          <cell r="F603" t="str">
            <v>Campylobacter jejuni</v>
          </cell>
          <cell r="G603" t="str">
            <v>exact</v>
          </cell>
          <cell r="H603" t="str">
            <v>CAMP0331(cmeB)_3616</v>
          </cell>
          <cell r="I603" t="str">
            <v>CAMP0331(cmeB)</v>
          </cell>
          <cell r="J603">
            <v>3616</v>
          </cell>
        </row>
        <row r="604">
          <cell r="A604" t="str">
            <v>SC0757</v>
          </cell>
          <cell r="B604" t="str">
            <v>SRR17925317</v>
          </cell>
          <cell r="C604">
            <v>4337</v>
          </cell>
          <cell r="D604">
            <v>21</v>
          </cell>
          <cell r="E604" t="str">
            <v>Homo sapiens</v>
          </cell>
          <cell r="F604" t="str">
            <v>Campylobacter jejuni</v>
          </cell>
          <cell r="G604" t="str">
            <v>exact</v>
          </cell>
          <cell r="H604" t="str">
            <v>CAMP0331(cmeB)_604</v>
          </cell>
          <cell r="I604" t="str">
            <v>CAMP0331(cmeB)</v>
          </cell>
          <cell r="J604">
            <v>604</v>
          </cell>
        </row>
        <row r="605">
          <cell r="A605" t="str">
            <v>SC0756</v>
          </cell>
          <cell r="B605" t="str">
            <v>SRR17925318</v>
          </cell>
          <cell r="C605">
            <v>190</v>
          </cell>
          <cell r="D605">
            <v>21</v>
          </cell>
          <cell r="E605" t="str">
            <v>Homo sapiens</v>
          </cell>
          <cell r="F605" t="str">
            <v>Campylobacter jejuni</v>
          </cell>
          <cell r="G605" t="str">
            <v>exact</v>
          </cell>
          <cell r="H605" t="str">
            <v>CAMP0331(cmeB)_604</v>
          </cell>
          <cell r="I605" t="str">
            <v>CAMP0331(cmeB)</v>
          </cell>
          <cell r="J605">
            <v>604</v>
          </cell>
        </row>
        <row r="606">
          <cell r="A606" t="str">
            <v>SC0755</v>
          </cell>
          <cell r="B606" t="str">
            <v>SRR17925319</v>
          </cell>
          <cell r="C606">
            <v>6964</v>
          </cell>
          <cell r="D606">
            <v>354</v>
          </cell>
          <cell r="E606" t="str">
            <v>Homo sapiens</v>
          </cell>
          <cell r="F606" t="str">
            <v>Campylobacter jejuni</v>
          </cell>
          <cell r="G606" t="str">
            <v>exact</v>
          </cell>
          <cell r="H606" t="str">
            <v>CAMP0331(cmeB)_1451</v>
          </cell>
          <cell r="I606" t="str">
            <v>CAMP0331(cmeB)</v>
          </cell>
          <cell r="J606">
            <v>1451</v>
          </cell>
        </row>
        <row r="607">
          <cell r="A607" t="str">
            <v>SC0754</v>
          </cell>
          <cell r="B607" t="str">
            <v>SRR17925320</v>
          </cell>
          <cell r="C607">
            <v>6964</v>
          </cell>
          <cell r="D607">
            <v>354</v>
          </cell>
          <cell r="E607" t="str">
            <v>Homo sapiens</v>
          </cell>
          <cell r="F607" t="str">
            <v>Campylobacter jejuni</v>
          </cell>
          <cell r="G607" t="str">
            <v>exact</v>
          </cell>
          <cell r="H607" t="str">
            <v>CAMP0331(cmeB)_1451</v>
          </cell>
          <cell r="I607" t="str">
            <v>CAMP0331(cmeB)</v>
          </cell>
          <cell r="J607">
            <v>1451</v>
          </cell>
        </row>
        <row r="608">
          <cell r="A608" t="str">
            <v>SC0526</v>
          </cell>
          <cell r="B608" t="str">
            <v>SRR17925321</v>
          </cell>
          <cell r="C608">
            <v>227</v>
          </cell>
          <cell r="D608">
            <v>206</v>
          </cell>
          <cell r="E608" t="str">
            <v>Gallus gallus</v>
          </cell>
          <cell r="F608" t="str">
            <v>Campylobacter jejuni</v>
          </cell>
          <cell r="G608" t="str">
            <v>exact</v>
          </cell>
          <cell r="H608" t="str">
            <v>CAMP0331(cmeB)_1</v>
          </cell>
          <cell r="I608" t="str">
            <v>CAMP0331(cmeB)</v>
          </cell>
          <cell r="J608">
            <v>1</v>
          </cell>
        </row>
        <row r="609">
          <cell r="A609" t="str">
            <v>SC0753</v>
          </cell>
          <cell r="B609" t="str">
            <v>SRR17925322</v>
          </cell>
          <cell r="C609">
            <v>48</v>
          </cell>
          <cell r="D609">
            <v>48</v>
          </cell>
          <cell r="E609" t="str">
            <v>Homo sapiens</v>
          </cell>
          <cell r="F609" t="str">
            <v>Campylobacter jejuni</v>
          </cell>
          <cell r="G609" t="str">
            <v>exact</v>
          </cell>
          <cell r="H609" t="str">
            <v>CAMP0331(cmeB)_94</v>
          </cell>
          <cell r="I609" t="str">
            <v>CAMP0331(cmeB)</v>
          </cell>
          <cell r="J609">
            <v>94</v>
          </cell>
        </row>
        <row r="610">
          <cell r="A610" t="str">
            <v>SC0752</v>
          </cell>
          <cell r="B610" t="str">
            <v>SRR17925323</v>
          </cell>
          <cell r="C610">
            <v>0</v>
          </cell>
          <cell r="D610">
            <v>0</v>
          </cell>
          <cell r="E610" t="str">
            <v>Homo sapiens</v>
          </cell>
          <cell r="F610" t="str">
            <v>Campylobacter coli</v>
          </cell>
          <cell r="G610" t="str">
            <v>exact</v>
          </cell>
          <cell r="H610" t="str">
            <v>CAMP0331(cmeB)_258</v>
          </cell>
          <cell r="I610" t="str">
            <v>CAMP0331(cmeB)</v>
          </cell>
          <cell r="J610">
            <v>258</v>
          </cell>
        </row>
        <row r="611">
          <cell r="A611" t="str">
            <v>SC0751</v>
          </cell>
          <cell r="B611" t="str">
            <v>SRR17925324</v>
          </cell>
          <cell r="C611">
            <v>2026</v>
          </cell>
          <cell r="D611">
            <v>403</v>
          </cell>
          <cell r="E611" t="str">
            <v>Homo sapiens</v>
          </cell>
          <cell r="F611" t="str">
            <v>Campylobacter jejuni</v>
          </cell>
          <cell r="G611" t="str">
            <v>exact</v>
          </cell>
          <cell r="H611" t="str">
            <v>CAMP0331(cmeB)_54</v>
          </cell>
          <cell r="I611" t="str">
            <v>CAMP0331(cmeB)</v>
          </cell>
          <cell r="J611">
            <v>54</v>
          </cell>
        </row>
        <row r="612">
          <cell r="A612" t="str">
            <v>SC0750</v>
          </cell>
          <cell r="B612" t="str">
            <v>SRR17925325</v>
          </cell>
          <cell r="C612">
            <v>137</v>
          </cell>
          <cell r="D612">
            <v>45</v>
          </cell>
          <cell r="E612" t="str">
            <v>Homo sapiens</v>
          </cell>
          <cell r="F612" t="str">
            <v>Campylobacter jejuni</v>
          </cell>
          <cell r="G612" t="str">
            <v>exact</v>
          </cell>
          <cell r="H612" t="str">
            <v>CAMP0331(cmeB)_27</v>
          </cell>
          <cell r="I612" t="str">
            <v>CAMP0331(cmeB)</v>
          </cell>
          <cell r="J612">
            <v>27</v>
          </cell>
        </row>
        <row r="613">
          <cell r="A613" t="str">
            <v>SC0749</v>
          </cell>
          <cell r="B613" t="str">
            <v>SRR17925326</v>
          </cell>
          <cell r="C613">
            <v>257</v>
          </cell>
          <cell r="D613">
            <v>257</v>
          </cell>
          <cell r="E613" t="str">
            <v>Homo sapiens</v>
          </cell>
          <cell r="F613" t="str">
            <v>Campylobacter jejuni</v>
          </cell>
          <cell r="G613" t="str">
            <v>exact</v>
          </cell>
          <cell r="H613" t="str">
            <v>CAMP0331(cmeB)_51</v>
          </cell>
          <cell r="I613" t="str">
            <v>CAMP0331(cmeB)</v>
          </cell>
          <cell r="J613">
            <v>51</v>
          </cell>
        </row>
        <row r="614">
          <cell r="A614" t="str">
            <v>SC0748</v>
          </cell>
          <cell r="B614" t="str">
            <v>SRR17925327</v>
          </cell>
          <cell r="C614">
            <v>6964</v>
          </cell>
          <cell r="D614">
            <v>354</v>
          </cell>
          <cell r="E614" t="str">
            <v>Homo sapiens</v>
          </cell>
          <cell r="F614" t="str">
            <v>Campylobacter jejuni</v>
          </cell>
          <cell r="G614" t="str">
            <v>exact</v>
          </cell>
          <cell r="H614" t="str">
            <v>CAMP0331(cmeB)_1451</v>
          </cell>
          <cell r="I614" t="str">
            <v>CAMP0331(cmeB)</v>
          </cell>
          <cell r="J614">
            <v>1451</v>
          </cell>
        </row>
        <row r="615">
          <cell r="A615" t="str">
            <v>SC0747</v>
          </cell>
          <cell r="B615" t="str">
            <v>SRR17925328</v>
          </cell>
          <cell r="C615">
            <v>508</v>
          </cell>
          <cell r="D615">
            <v>508</v>
          </cell>
          <cell r="E615" t="str">
            <v>Homo sapiens</v>
          </cell>
          <cell r="F615" t="str">
            <v>Campylobacter jejuni</v>
          </cell>
          <cell r="G615" t="str">
            <v>exact</v>
          </cell>
          <cell r="H615" t="str">
            <v>CAMP0331(cmeB)_43</v>
          </cell>
          <cell r="I615" t="str">
            <v>CAMP0331(cmeB)</v>
          </cell>
          <cell r="J615">
            <v>43</v>
          </cell>
        </row>
        <row r="616">
          <cell r="A616" t="str">
            <v>SC0746</v>
          </cell>
          <cell r="B616" t="str">
            <v>SRR17925329</v>
          </cell>
          <cell r="C616">
            <v>2247</v>
          </cell>
          <cell r="D616">
            <v>0</v>
          </cell>
          <cell r="E616" t="str">
            <v>Homo sapiens</v>
          </cell>
          <cell r="F616" t="str">
            <v>Campylobacter jejuni</v>
          </cell>
          <cell r="G616" t="str">
            <v>exact</v>
          </cell>
          <cell r="H616" t="str">
            <v>CAMP0331(cmeB)_1150</v>
          </cell>
          <cell r="I616" t="str">
            <v>CAMP0331(cmeB)</v>
          </cell>
          <cell r="J616">
            <v>1150</v>
          </cell>
        </row>
        <row r="617">
          <cell r="A617" t="str">
            <v>SC0656</v>
          </cell>
          <cell r="B617" t="str">
            <v>SRR17925330</v>
          </cell>
          <cell r="C617">
            <v>227</v>
          </cell>
          <cell r="D617">
            <v>206</v>
          </cell>
          <cell r="E617" t="str">
            <v>Homo sapiens</v>
          </cell>
          <cell r="F617" t="str">
            <v>Campylobacter jejuni</v>
          </cell>
          <cell r="G617" t="str">
            <v>exact</v>
          </cell>
          <cell r="H617" t="str">
            <v>CAMP0331(cmeB)_1</v>
          </cell>
          <cell r="I617" t="str">
            <v>CAMP0331(cmeB)</v>
          </cell>
          <cell r="J617">
            <v>1</v>
          </cell>
        </row>
        <row r="618">
          <cell r="A618" t="str">
            <v>SC0655</v>
          </cell>
          <cell r="B618" t="str">
            <v>SRR17925331</v>
          </cell>
          <cell r="C618">
            <v>0</v>
          </cell>
          <cell r="D618">
            <v>0</v>
          </cell>
          <cell r="E618" t="str">
            <v>Homo sapiens</v>
          </cell>
          <cell r="F618" t="str">
            <v>Campylobacter coli</v>
          </cell>
          <cell r="G618" t="str">
            <v>exact</v>
          </cell>
          <cell r="H618" t="str">
            <v>CAMP0331(cmeB)_258</v>
          </cell>
          <cell r="I618" t="str">
            <v>CAMP0331(cmeB)</v>
          </cell>
          <cell r="J618">
            <v>258</v>
          </cell>
        </row>
        <row r="619">
          <cell r="A619" t="str">
            <v>SC0654</v>
          </cell>
          <cell r="B619" t="str">
            <v>SRR17925332</v>
          </cell>
          <cell r="C619">
            <v>8556</v>
          </cell>
          <cell r="D619">
            <v>0</v>
          </cell>
          <cell r="E619" t="str">
            <v>Homo sapiens</v>
          </cell>
          <cell r="F619" t="str">
            <v>Campylobacter jejuni</v>
          </cell>
          <cell r="G619" t="str">
            <v>exact</v>
          </cell>
          <cell r="H619" t="str">
            <v>CAMP0331(cmeB)_267</v>
          </cell>
          <cell r="I619" t="str">
            <v>CAMP0331(cmeB)</v>
          </cell>
          <cell r="J619">
            <v>267</v>
          </cell>
        </row>
        <row r="620">
          <cell r="A620" t="str">
            <v>SC0653</v>
          </cell>
          <cell r="B620" t="str">
            <v>SRR17925333</v>
          </cell>
          <cell r="C620">
            <v>2993</v>
          </cell>
          <cell r="D620">
            <v>362</v>
          </cell>
          <cell r="E620" t="str">
            <v>Homo sapiens</v>
          </cell>
          <cell r="F620" t="str">
            <v>Campylobacter jejuni</v>
          </cell>
          <cell r="G620" t="str">
            <v>exact</v>
          </cell>
          <cell r="H620" t="str">
            <v>CAMP0331(cmeB)_54</v>
          </cell>
          <cell r="I620" t="str">
            <v>CAMP0331(cmeB)</v>
          </cell>
          <cell r="J620">
            <v>54</v>
          </cell>
        </row>
        <row r="621">
          <cell r="A621" t="str">
            <v>SC0652</v>
          </cell>
          <cell r="B621" t="str">
            <v>SRR17925334</v>
          </cell>
          <cell r="C621">
            <v>45</v>
          </cell>
          <cell r="D621">
            <v>45</v>
          </cell>
          <cell r="E621" t="str">
            <v>Homo sapiens</v>
          </cell>
          <cell r="F621" t="str">
            <v>Campylobacter jejuni</v>
          </cell>
          <cell r="G621" t="str">
            <v>exact</v>
          </cell>
          <cell r="H621" t="str">
            <v>CAMP0331(cmeB)_5</v>
          </cell>
          <cell r="I621" t="str">
            <v>CAMP0331(cmeB)</v>
          </cell>
          <cell r="J621">
            <v>5</v>
          </cell>
        </row>
        <row r="622">
          <cell r="A622" t="str">
            <v>SC0651</v>
          </cell>
          <cell r="B622" t="str">
            <v>SRR17925335</v>
          </cell>
          <cell r="C622">
            <v>1517</v>
          </cell>
          <cell r="D622">
            <v>354</v>
          </cell>
          <cell r="E622" t="str">
            <v>Homo sapiens</v>
          </cell>
          <cell r="F622" t="str">
            <v>Campylobacter jejuni</v>
          </cell>
          <cell r="G622" t="str">
            <v>exact</v>
          </cell>
          <cell r="H622" t="str">
            <v>CAMP0331(cmeB)_233</v>
          </cell>
          <cell r="I622" t="str">
            <v>CAMP0331(cmeB)</v>
          </cell>
          <cell r="J622">
            <v>233</v>
          </cell>
        </row>
        <row r="623">
          <cell r="A623" t="str">
            <v>SC0516</v>
          </cell>
          <cell r="B623" t="str">
            <v>SRR17925336</v>
          </cell>
          <cell r="C623">
            <v>50</v>
          </cell>
          <cell r="D623">
            <v>21</v>
          </cell>
          <cell r="E623" t="str">
            <v>Gallus gallus</v>
          </cell>
          <cell r="F623" t="str">
            <v>Campylobacter jejuni</v>
          </cell>
          <cell r="G623" t="str">
            <v>exact</v>
          </cell>
          <cell r="H623" t="str">
            <v>CAMP0331(cmeB)_369</v>
          </cell>
          <cell r="I623" t="str">
            <v>CAMP0331(cmeB)</v>
          </cell>
          <cell r="J623">
            <v>369</v>
          </cell>
        </row>
        <row r="624">
          <cell r="A624" t="str">
            <v>SC0650</v>
          </cell>
          <cell r="B624" t="str">
            <v>SRR17925337</v>
          </cell>
          <cell r="C624">
            <v>6964</v>
          </cell>
          <cell r="D624">
            <v>354</v>
          </cell>
          <cell r="E624" t="str">
            <v>Homo sapiens</v>
          </cell>
          <cell r="F624" t="str">
            <v>Campylobacter jejuni</v>
          </cell>
          <cell r="G624" t="str">
            <v>exact</v>
          </cell>
          <cell r="H624" t="str">
            <v>CAMP0331(cmeB)_1451</v>
          </cell>
          <cell r="I624" t="str">
            <v>CAMP0331(cmeB)</v>
          </cell>
          <cell r="J624">
            <v>1451</v>
          </cell>
        </row>
        <row r="625">
          <cell r="A625" t="str">
            <v>SC0649</v>
          </cell>
          <cell r="B625" t="str">
            <v>SRR17925338</v>
          </cell>
          <cell r="C625">
            <v>227</v>
          </cell>
          <cell r="D625">
            <v>206</v>
          </cell>
          <cell r="E625" t="str">
            <v>Homo sapiens</v>
          </cell>
          <cell r="F625" t="str">
            <v>Campylobacter jejuni</v>
          </cell>
          <cell r="G625" t="str">
            <v>exact</v>
          </cell>
          <cell r="H625" t="str">
            <v>CAMP0331(cmeB)_1</v>
          </cell>
          <cell r="I625" t="str">
            <v>CAMP0331(cmeB)</v>
          </cell>
          <cell r="J625">
            <v>1</v>
          </cell>
        </row>
        <row r="626">
          <cell r="A626" t="str">
            <v>SC0648</v>
          </cell>
          <cell r="B626" t="str">
            <v>SRR17925339</v>
          </cell>
          <cell r="C626">
            <v>0</v>
          </cell>
          <cell r="D626">
            <v>0</v>
          </cell>
          <cell r="E626" t="str">
            <v>Gallus gallus</v>
          </cell>
          <cell r="F626" t="str">
            <v>Campylobacter jejuni</v>
          </cell>
          <cell r="G626" t="str">
            <v>exact</v>
          </cell>
          <cell r="H626" t="str">
            <v>CAMP0331(cmeB)_1706</v>
          </cell>
          <cell r="I626" t="str">
            <v>CAMP0331(cmeB)</v>
          </cell>
          <cell r="J626">
            <v>1706</v>
          </cell>
        </row>
        <row r="627">
          <cell r="A627" t="str">
            <v>SC0647</v>
          </cell>
          <cell r="B627" t="str">
            <v>SRR17925340</v>
          </cell>
          <cell r="C627">
            <v>45</v>
          </cell>
          <cell r="D627">
            <v>45</v>
          </cell>
          <cell r="E627" t="str">
            <v>Gallus gallus</v>
          </cell>
          <cell r="F627" t="str">
            <v>Campylobacter jejuni</v>
          </cell>
          <cell r="G627" t="str">
            <v>exact</v>
          </cell>
          <cell r="H627" t="str">
            <v>CAMP0331(cmeB)_3633</v>
          </cell>
          <cell r="I627" t="str">
            <v>CAMP0331(cmeB)</v>
          </cell>
          <cell r="J627">
            <v>3633</v>
          </cell>
        </row>
        <row r="628">
          <cell r="A628" t="str">
            <v>SC0646</v>
          </cell>
          <cell r="B628" t="str">
            <v>SRR17925341</v>
          </cell>
          <cell r="C628">
            <v>6964</v>
          </cell>
          <cell r="D628">
            <v>354</v>
          </cell>
          <cell r="E628" t="str">
            <v>Gallus gallus</v>
          </cell>
          <cell r="F628" t="str">
            <v>Campylobacter jejuni</v>
          </cell>
          <cell r="G628" t="str">
            <v>exact</v>
          </cell>
          <cell r="H628" t="str">
            <v>CAMP0331(cmeB)_1451</v>
          </cell>
          <cell r="I628" t="str">
            <v>CAMP0331(cmeB)</v>
          </cell>
          <cell r="J628">
            <v>1451</v>
          </cell>
        </row>
        <row r="629">
          <cell r="A629" t="str">
            <v>SC0645</v>
          </cell>
          <cell r="B629" t="str">
            <v>SRR17925342</v>
          </cell>
          <cell r="C629">
            <v>227</v>
          </cell>
          <cell r="D629">
            <v>206</v>
          </cell>
          <cell r="E629" t="str">
            <v>Gallus gallus</v>
          </cell>
          <cell r="F629" t="str">
            <v>Campylobacter jejuni</v>
          </cell>
          <cell r="G629" t="str">
            <v>exact</v>
          </cell>
          <cell r="H629" t="str">
            <v>CAMP0331(cmeB)_1</v>
          </cell>
          <cell r="I629" t="str">
            <v>CAMP0331(cmeB)</v>
          </cell>
          <cell r="J629">
            <v>1</v>
          </cell>
        </row>
        <row r="630">
          <cell r="A630" t="str">
            <v>SC0644</v>
          </cell>
          <cell r="B630" t="str">
            <v>SRR17925343</v>
          </cell>
          <cell r="C630">
            <v>190</v>
          </cell>
          <cell r="D630">
            <v>21</v>
          </cell>
          <cell r="E630" t="str">
            <v>Gallus gallus</v>
          </cell>
          <cell r="F630" t="str">
            <v>Campylobacter jejuni</v>
          </cell>
          <cell r="G630" t="str">
            <v>exact</v>
          </cell>
          <cell r="H630" t="str">
            <v>CAMP0331(cmeB)_604</v>
          </cell>
          <cell r="I630" t="str">
            <v>CAMP0331(cmeB)</v>
          </cell>
          <cell r="J630">
            <v>604</v>
          </cell>
        </row>
        <row r="631">
          <cell r="A631" t="str">
            <v>SC0643</v>
          </cell>
          <cell r="B631" t="str">
            <v>SRR17925344</v>
          </cell>
          <cell r="C631">
            <v>4896</v>
          </cell>
          <cell r="D631">
            <v>353</v>
          </cell>
          <cell r="E631" t="str">
            <v>Homo sapiens</v>
          </cell>
          <cell r="F631" t="str">
            <v>Campylobacter jejuni</v>
          </cell>
          <cell r="G631" t="str">
            <v>exact</v>
          </cell>
          <cell r="H631" t="str">
            <v>CAMP0331(cmeB)_4942</v>
          </cell>
          <cell r="I631" t="str">
            <v>CAMP0331(cmeB)</v>
          </cell>
          <cell r="J631">
            <v>4942</v>
          </cell>
        </row>
        <row r="632">
          <cell r="A632" t="str">
            <v>SC0642</v>
          </cell>
          <cell r="B632" t="str">
            <v>SRR17925345</v>
          </cell>
          <cell r="C632">
            <v>474</v>
          </cell>
          <cell r="D632">
            <v>48</v>
          </cell>
          <cell r="E632" t="str">
            <v>Homo sapiens</v>
          </cell>
          <cell r="F632" t="str">
            <v>Campylobacter jejuni</v>
          </cell>
          <cell r="G632" t="str">
            <v>exact</v>
          </cell>
          <cell r="H632" t="str">
            <v>CAMP0331(cmeB)_1</v>
          </cell>
          <cell r="I632" t="str">
            <v>CAMP0331(cmeB)</v>
          </cell>
          <cell r="J632">
            <v>1</v>
          </cell>
        </row>
        <row r="633">
          <cell r="A633" t="str">
            <v>SC0641</v>
          </cell>
          <cell r="B633" t="str">
            <v>SRR17925346</v>
          </cell>
          <cell r="C633">
            <v>5655</v>
          </cell>
          <cell r="D633">
            <v>21</v>
          </cell>
          <cell r="E633" t="str">
            <v>Homo sapiens</v>
          </cell>
          <cell r="F633" t="str">
            <v>Campylobacter jejuni</v>
          </cell>
          <cell r="G633" t="str">
            <v>exact</v>
          </cell>
          <cell r="H633" t="str">
            <v>CAMP0331(cmeB)_604</v>
          </cell>
          <cell r="I633" t="str">
            <v>CAMP0331(cmeB)</v>
          </cell>
          <cell r="J633">
            <v>604</v>
          </cell>
        </row>
        <row r="634">
          <cell r="A634" t="str">
            <v>SC0515</v>
          </cell>
          <cell r="B634" t="str">
            <v>SRR17925347</v>
          </cell>
          <cell r="C634">
            <v>6964</v>
          </cell>
          <cell r="D634">
            <v>354</v>
          </cell>
          <cell r="E634" t="str">
            <v>Gallus gallus</v>
          </cell>
          <cell r="F634" t="str">
            <v>Campylobacter jejuni</v>
          </cell>
          <cell r="G634" t="str">
            <v>exact</v>
          </cell>
          <cell r="H634" t="str">
            <v>CAMP0331(cmeB)_1451</v>
          </cell>
          <cell r="I634" t="str">
            <v>CAMP0331(cmeB)</v>
          </cell>
          <cell r="J634">
            <v>1451</v>
          </cell>
        </row>
        <row r="635">
          <cell r="A635" t="str">
            <v>SC0640</v>
          </cell>
          <cell r="B635" t="str">
            <v>SRR17925348</v>
          </cell>
          <cell r="C635">
            <v>5655</v>
          </cell>
          <cell r="D635">
            <v>21</v>
          </cell>
          <cell r="E635" t="str">
            <v>Homo sapiens</v>
          </cell>
          <cell r="F635" t="str">
            <v>Campylobacter jejuni</v>
          </cell>
          <cell r="G635" t="str">
            <v>exact</v>
          </cell>
          <cell r="H635" t="str">
            <v>CAMP0331(cmeB)_604</v>
          </cell>
          <cell r="I635" t="str">
            <v>CAMP0331(cmeB)</v>
          </cell>
          <cell r="J635">
            <v>604</v>
          </cell>
        </row>
        <row r="636">
          <cell r="A636" t="str">
            <v>SC0639</v>
          </cell>
          <cell r="B636" t="str">
            <v>SRR17925349</v>
          </cell>
          <cell r="C636">
            <v>0</v>
          </cell>
          <cell r="D636">
            <v>0</v>
          </cell>
          <cell r="E636" t="str">
            <v>Homo sapiens</v>
          </cell>
          <cell r="F636" t="str">
            <v>Campylobacter jejuni</v>
          </cell>
          <cell r="G636" t="str">
            <v>exact</v>
          </cell>
          <cell r="H636" t="str">
            <v>CAMP0331(cmeB)_14</v>
          </cell>
          <cell r="I636" t="str">
            <v>CAMP0331(cmeB)</v>
          </cell>
          <cell r="J636">
            <v>14</v>
          </cell>
        </row>
        <row r="637">
          <cell r="A637" t="str">
            <v>SC0638</v>
          </cell>
          <cell r="B637" t="str">
            <v>SRR17925350</v>
          </cell>
          <cell r="C637">
            <v>422</v>
          </cell>
          <cell r="D637">
            <v>21</v>
          </cell>
          <cell r="E637" t="str">
            <v>Homo sapiens</v>
          </cell>
          <cell r="F637" t="str">
            <v>Campylobacter jejuni</v>
          </cell>
          <cell r="G637" t="str">
            <v>exact</v>
          </cell>
          <cell r="H637" t="str">
            <v>CAMP0331(cmeB)_604</v>
          </cell>
          <cell r="I637" t="str">
            <v>CAMP0331(cmeB)</v>
          </cell>
          <cell r="J637">
            <v>604</v>
          </cell>
        </row>
        <row r="638">
          <cell r="A638" t="str">
            <v>SC0637</v>
          </cell>
          <cell r="B638" t="str">
            <v>SRR17925351</v>
          </cell>
          <cell r="C638">
            <v>696</v>
          </cell>
          <cell r="D638">
            <v>1332</v>
          </cell>
          <cell r="E638" t="str">
            <v>Homo sapiens</v>
          </cell>
          <cell r="F638" t="str">
            <v>Campylobacter jejuni</v>
          </cell>
          <cell r="G638" t="str">
            <v>exact</v>
          </cell>
          <cell r="H638" t="str">
            <v>CAMP0331(cmeB)_560</v>
          </cell>
          <cell r="I638" t="str">
            <v>CAMP0331(cmeB)</v>
          </cell>
          <cell r="J638">
            <v>560</v>
          </cell>
        </row>
        <row r="639">
          <cell r="A639" t="str">
            <v>SC0636</v>
          </cell>
          <cell r="B639" t="str">
            <v>SRR17925352</v>
          </cell>
          <cell r="C639">
            <v>658</v>
          </cell>
          <cell r="D639">
            <v>658</v>
          </cell>
          <cell r="E639" t="str">
            <v>Homo sapiens</v>
          </cell>
          <cell r="F639" t="str">
            <v>Campylobacter jejuni</v>
          </cell>
          <cell r="G639" t="str">
            <v>exact</v>
          </cell>
          <cell r="H639" t="str">
            <v>CAMP0331(cmeB)_26</v>
          </cell>
          <cell r="I639" t="str">
            <v>CAMP0331(cmeB)</v>
          </cell>
          <cell r="J639">
            <v>26</v>
          </cell>
        </row>
        <row r="640">
          <cell r="A640" t="str">
            <v>SC0635</v>
          </cell>
          <cell r="B640" t="str">
            <v>SRR17925353</v>
          </cell>
          <cell r="C640">
            <v>6964</v>
          </cell>
          <cell r="D640">
            <v>354</v>
          </cell>
          <cell r="E640" t="str">
            <v>Homo sapiens</v>
          </cell>
          <cell r="F640" t="str">
            <v>Campylobacter jejuni</v>
          </cell>
          <cell r="G640" t="str">
            <v>exact</v>
          </cell>
          <cell r="H640" t="str">
            <v>CAMP0331(cmeB)_1451</v>
          </cell>
          <cell r="I640" t="str">
            <v>CAMP0331(cmeB)</v>
          </cell>
          <cell r="J640">
            <v>1451</v>
          </cell>
        </row>
        <row r="641">
          <cell r="A641" t="str">
            <v>SC0634</v>
          </cell>
          <cell r="B641" t="str">
            <v>SRR17925354</v>
          </cell>
          <cell r="C641">
            <v>1581</v>
          </cell>
          <cell r="D641">
            <v>0</v>
          </cell>
          <cell r="E641" t="str">
            <v>Homo sapiens</v>
          </cell>
          <cell r="F641" t="str">
            <v>Campylobacter coli</v>
          </cell>
          <cell r="G641" t="str">
            <v>exact</v>
          </cell>
          <cell r="H641" t="str">
            <v>CAMP0331(cmeB)_690</v>
          </cell>
          <cell r="I641" t="str">
            <v>CAMP0331(cmeB)</v>
          </cell>
          <cell r="J641">
            <v>690</v>
          </cell>
        </row>
        <row r="642">
          <cell r="A642" t="str">
            <v>SC0633</v>
          </cell>
          <cell r="B642" t="str">
            <v>SRR17925355</v>
          </cell>
          <cell r="C642">
            <v>2247</v>
          </cell>
          <cell r="D642">
            <v>0</v>
          </cell>
          <cell r="E642" t="str">
            <v>Homo sapiens</v>
          </cell>
          <cell r="F642" t="str">
            <v>Campylobacter jejuni</v>
          </cell>
          <cell r="G642" t="str">
            <v>exact</v>
          </cell>
          <cell r="H642" t="str">
            <v>CAMP0331(cmeB)_1150</v>
          </cell>
          <cell r="I642" t="str">
            <v>CAMP0331(cmeB)</v>
          </cell>
          <cell r="J642">
            <v>1150</v>
          </cell>
        </row>
        <row r="643">
          <cell r="A643" t="str">
            <v>SC0631</v>
          </cell>
          <cell r="B643" t="str">
            <v>SRR17925357</v>
          </cell>
          <cell r="C643">
            <v>4175</v>
          </cell>
          <cell r="D643">
            <v>828</v>
          </cell>
          <cell r="E643" t="str">
            <v>Homo sapiens</v>
          </cell>
          <cell r="F643" t="str">
            <v>Campylobacter coli</v>
          </cell>
          <cell r="G643" t="str">
            <v>exact</v>
          </cell>
          <cell r="H643" t="str">
            <v>CAMP0331(cmeB)_28</v>
          </cell>
          <cell r="I643" t="str">
            <v>CAMP0331(cmeB)</v>
          </cell>
          <cell r="J643">
            <v>28</v>
          </cell>
        </row>
        <row r="644">
          <cell r="A644" t="str">
            <v>SC0514</v>
          </cell>
          <cell r="B644" t="str">
            <v>SRR17925358</v>
          </cell>
          <cell r="C644">
            <v>6964</v>
          </cell>
          <cell r="D644">
            <v>354</v>
          </cell>
          <cell r="E644" t="str">
            <v>Homo sapiens</v>
          </cell>
          <cell r="F644" t="str">
            <v>Campylobacter jejuni</v>
          </cell>
          <cell r="G644" t="str">
            <v>exact</v>
          </cell>
          <cell r="H644" t="str">
            <v>CAMP0331(cmeB)_1451</v>
          </cell>
          <cell r="I644" t="str">
            <v>CAMP0331(cmeB)</v>
          </cell>
          <cell r="J644">
            <v>1451</v>
          </cell>
        </row>
        <row r="645">
          <cell r="A645" t="str">
            <v>SC0629</v>
          </cell>
          <cell r="B645" t="str">
            <v>SRR17925360</v>
          </cell>
          <cell r="C645">
            <v>520</v>
          </cell>
          <cell r="D645">
            <v>21</v>
          </cell>
          <cell r="E645" t="str">
            <v>Homo sapiens</v>
          </cell>
          <cell r="F645" t="str">
            <v>Campylobacter jejuni</v>
          </cell>
          <cell r="G645" t="str">
            <v>exact</v>
          </cell>
          <cell r="H645" t="str">
            <v>CAMP0331(cmeB)_604</v>
          </cell>
          <cell r="I645" t="str">
            <v>CAMP0331(cmeB)</v>
          </cell>
          <cell r="J645">
            <v>604</v>
          </cell>
        </row>
        <row r="646">
          <cell r="A646" t="str">
            <v>SC0628</v>
          </cell>
          <cell r="B646" t="str">
            <v>SRR17925361</v>
          </cell>
          <cell r="C646">
            <v>2081</v>
          </cell>
          <cell r="D646">
            <v>0</v>
          </cell>
          <cell r="E646" t="str">
            <v>Homo sapiens</v>
          </cell>
          <cell r="F646" t="str">
            <v>Campylobacter jejuni</v>
          </cell>
          <cell r="G646" t="str">
            <v>exact</v>
          </cell>
          <cell r="H646" t="str">
            <v>CAMP0331(cmeB)_1092</v>
          </cell>
          <cell r="I646" t="str">
            <v>CAMP0331(cmeB)</v>
          </cell>
          <cell r="J646">
            <v>1092</v>
          </cell>
        </row>
        <row r="647">
          <cell r="A647" t="str">
            <v>SC0715</v>
          </cell>
          <cell r="B647" t="str">
            <v>SRR17925362</v>
          </cell>
          <cell r="C647">
            <v>825</v>
          </cell>
          <cell r="D647">
            <v>828</v>
          </cell>
          <cell r="E647" t="str">
            <v>Ovis aries</v>
          </cell>
          <cell r="F647" t="str">
            <v>Campylobacter coli</v>
          </cell>
          <cell r="G647" t="str">
            <v>exact</v>
          </cell>
          <cell r="H647" t="str">
            <v>CAMP0331(cmeB)_253</v>
          </cell>
          <cell r="I647" t="str">
            <v>CAMP0331(cmeB)</v>
          </cell>
          <cell r="J647">
            <v>253</v>
          </cell>
        </row>
        <row r="648">
          <cell r="A648" t="str">
            <v>SC0714</v>
          </cell>
          <cell r="B648" t="str">
            <v>SRR17925363</v>
          </cell>
          <cell r="C648">
            <v>2026</v>
          </cell>
          <cell r="D648">
            <v>403</v>
          </cell>
          <cell r="E648" t="str">
            <v>Ovis aries</v>
          </cell>
          <cell r="F648" t="str">
            <v>Campylobacter jejuni</v>
          </cell>
          <cell r="G648" t="str">
            <v>exact</v>
          </cell>
          <cell r="H648" t="str">
            <v>CAMP0331(cmeB)_54</v>
          </cell>
          <cell r="I648" t="str">
            <v>CAMP0331(cmeB)</v>
          </cell>
          <cell r="J648">
            <v>54</v>
          </cell>
        </row>
        <row r="649">
          <cell r="A649" t="str">
            <v>SC0713</v>
          </cell>
          <cell r="B649" t="str">
            <v>SRR17925364</v>
          </cell>
          <cell r="C649">
            <v>825</v>
          </cell>
          <cell r="D649">
            <v>828</v>
          </cell>
          <cell r="E649" t="str">
            <v>Ovis aries</v>
          </cell>
          <cell r="F649" t="str">
            <v>Campylobacter coli</v>
          </cell>
          <cell r="G649" t="str">
            <v>exact</v>
          </cell>
          <cell r="H649" t="str">
            <v>CAMP0331(cmeB)_253</v>
          </cell>
          <cell r="I649" t="str">
            <v>CAMP0331(cmeB)</v>
          </cell>
          <cell r="J649">
            <v>253</v>
          </cell>
        </row>
        <row r="650">
          <cell r="A650" t="str">
            <v>SC0522</v>
          </cell>
          <cell r="B650" t="str">
            <v>SRR17925365</v>
          </cell>
          <cell r="C650">
            <v>4337</v>
          </cell>
          <cell r="D650">
            <v>21</v>
          </cell>
          <cell r="E650" t="str">
            <v>Gallus gallus</v>
          </cell>
          <cell r="F650" t="str">
            <v>Campylobacter jejuni</v>
          </cell>
          <cell r="G650" t="str">
            <v>exact</v>
          </cell>
          <cell r="H650" t="str">
            <v>CAMP0331(cmeB)_604</v>
          </cell>
          <cell r="I650" t="str">
            <v>CAMP0331(cmeB)</v>
          </cell>
          <cell r="J650">
            <v>604</v>
          </cell>
        </row>
        <row r="651">
          <cell r="A651" t="str">
            <v>SC0712</v>
          </cell>
          <cell r="B651" t="str">
            <v>SRR17925366</v>
          </cell>
          <cell r="C651">
            <v>825</v>
          </cell>
          <cell r="D651">
            <v>828</v>
          </cell>
          <cell r="E651" t="str">
            <v>Ovis aries</v>
          </cell>
          <cell r="F651" t="str">
            <v>Campylobacter coli</v>
          </cell>
          <cell r="G651" t="str">
            <v>exact</v>
          </cell>
          <cell r="H651" t="str">
            <v>CAMP0331(cmeB)_253</v>
          </cell>
          <cell r="I651" t="str">
            <v>CAMP0331(cmeB)</v>
          </cell>
          <cell r="J651">
            <v>253</v>
          </cell>
        </row>
        <row r="652">
          <cell r="A652" t="str">
            <v>SC0709</v>
          </cell>
          <cell r="B652" t="str">
            <v>SRR17925368</v>
          </cell>
          <cell r="C652">
            <v>3072</v>
          </cell>
          <cell r="D652">
            <v>828</v>
          </cell>
          <cell r="E652" t="str">
            <v>Ovis aries</v>
          </cell>
          <cell r="F652" t="str">
            <v>Campylobacter coli</v>
          </cell>
          <cell r="G652" t="str">
            <v>exact</v>
          </cell>
          <cell r="H652" t="str">
            <v>CAMP0331(cmeB)_1205</v>
          </cell>
          <cell r="I652" t="str">
            <v>CAMP0331(cmeB)</v>
          </cell>
          <cell r="J652">
            <v>1205</v>
          </cell>
        </row>
        <row r="653">
          <cell r="A653" t="str">
            <v>SC0707</v>
          </cell>
          <cell r="B653" t="str">
            <v>SRR17925370</v>
          </cell>
          <cell r="C653">
            <v>42</v>
          </cell>
          <cell r="D653">
            <v>42</v>
          </cell>
          <cell r="E653" t="str">
            <v>Ovis aries</v>
          </cell>
          <cell r="F653" t="str">
            <v>Campylobacter jejuni</v>
          </cell>
          <cell r="G653" t="str">
            <v>exact</v>
          </cell>
          <cell r="H653" t="str">
            <v>CAMP0331(cmeB)_22</v>
          </cell>
          <cell r="I653" t="str">
            <v>CAMP0331(cmeB)</v>
          </cell>
          <cell r="J653">
            <v>22</v>
          </cell>
        </row>
        <row r="654">
          <cell r="A654" t="str">
            <v>SC0706</v>
          </cell>
          <cell r="B654" t="str">
            <v>SRR17925371</v>
          </cell>
          <cell r="C654">
            <v>50</v>
          </cell>
          <cell r="D654">
            <v>21</v>
          </cell>
          <cell r="E654" t="str">
            <v>Ovis aries</v>
          </cell>
          <cell r="F654" t="str">
            <v>Campylobacter jejuni</v>
          </cell>
          <cell r="G654" t="str">
            <v>exact</v>
          </cell>
          <cell r="H654" t="str">
            <v>CAMP0331(cmeB)_1</v>
          </cell>
          <cell r="I654" t="str">
            <v>CAMP0331(cmeB)</v>
          </cell>
          <cell r="J654">
            <v>1</v>
          </cell>
        </row>
        <row r="655">
          <cell r="A655" t="str">
            <v>SC0705</v>
          </cell>
          <cell r="B655" t="str">
            <v>SRR17925372</v>
          </cell>
          <cell r="C655">
            <v>227</v>
          </cell>
          <cell r="D655">
            <v>206</v>
          </cell>
          <cell r="E655" t="str">
            <v>Homo sapiens</v>
          </cell>
          <cell r="F655" t="str">
            <v>Campylobacter jejuni</v>
          </cell>
          <cell r="G655" t="str">
            <v>exact</v>
          </cell>
          <cell r="H655" t="str">
            <v>CAMP0331(cmeB)_1</v>
          </cell>
          <cell r="I655" t="str">
            <v>CAMP0331(cmeB)</v>
          </cell>
          <cell r="J655">
            <v>1</v>
          </cell>
        </row>
        <row r="656">
          <cell r="A656" t="str">
            <v>SC0704</v>
          </cell>
          <cell r="B656" t="str">
            <v>SRR17925373</v>
          </cell>
          <cell r="C656">
            <v>3072</v>
          </cell>
          <cell r="D656">
            <v>828</v>
          </cell>
          <cell r="E656" t="str">
            <v>Homo sapiens</v>
          </cell>
          <cell r="F656" t="str">
            <v>Campylobacter coli</v>
          </cell>
          <cell r="G656" t="str">
            <v>exact</v>
          </cell>
          <cell r="H656" t="str">
            <v>CAMP0331(cmeB)_1205</v>
          </cell>
          <cell r="I656" t="str">
            <v>CAMP0331(cmeB)</v>
          </cell>
          <cell r="J656">
            <v>1205</v>
          </cell>
        </row>
        <row r="657">
          <cell r="A657" t="str">
            <v>SC0703</v>
          </cell>
          <cell r="B657" t="str">
            <v>SRR17925374</v>
          </cell>
          <cell r="C657">
            <v>45</v>
          </cell>
          <cell r="D657">
            <v>45</v>
          </cell>
          <cell r="E657" t="str">
            <v>Homo sapiens</v>
          </cell>
          <cell r="F657" t="str">
            <v>Campylobacter jejuni</v>
          </cell>
          <cell r="G657" t="str">
            <v>exact</v>
          </cell>
          <cell r="H657" t="str">
            <v>CAMP0331(cmeB)_3633</v>
          </cell>
          <cell r="I657" t="str">
            <v>CAMP0331(cmeB)</v>
          </cell>
          <cell r="J657">
            <v>3633</v>
          </cell>
        </row>
        <row r="658">
          <cell r="A658" t="str">
            <v>SC0702</v>
          </cell>
          <cell r="B658" t="str">
            <v>SRR17925375</v>
          </cell>
          <cell r="C658">
            <v>48</v>
          </cell>
          <cell r="D658">
            <v>48</v>
          </cell>
          <cell r="E658" t="str">
            <v>Homo sapiens</v>
          </cell>
          <cell r="F658" t="str">
            <v>Campylobacter jejuni</v>
          </cell>
          <cell r="G658" t="str">
            <v>exact</v>
          </cell>
          <cell r="H658" t="str">
            <v>CAMP0331(cmeB)_94</v>
          </cell>
          <cell r="I658" t="str">
            <v>CAMP0331(cmeB)</v>
          </cell>
          <cell r="J658">
            <v>94</v>
          </cell>
        </row>
        <row r="659">
          <cell r="A659" t="str">
            <v>SC0521</v>
          </cell>
          <cell r="B659" t="str">
            <v>SRR17925376</v>
          </cell>
          <cell r="C659">
            <v>2345</v>
          </cell>
          <cell r="D659">
            <v>206</v>
          </cell>
          <cell r="E659" t="str">
            <v>Gallus gallus</v>
          </cell>
          <cell r="F659" t="str">
            <v>Campylobacter jejuni</v>
          </cell>
          <cell r="G659" t="str">
            <v>exact</v>
          </cell>
          <cell r="H659" t="str">
            <v>CAMP0331(cmeB)_158</v>
          </cell>
          <cell r="I659" t="str">
            <v>CAMP0331(cmeB)</v>
          </cell>
          <cell r="J659">
            <v>158</v>
          </cell>
        </row>
        <row r="660">
          <cell r="A660" t="str">
            <v>SC0503</v>
          </cell>
          <cell r="B660" t="str">
            <v>SRR17925377</v>
          </cell>
          <cell r="C660">
            <v>6964</v>
          </cell>
          <cell r="D660">
            <v>354</v>
          </cell>
          <cell r="E660" t="str">
            <v>Gallus gallus</v>
          </cell>
          <cell r="F660" t="str">
            <v>Campylobacter jejuni</v>
          </cell>
          <cell r="G660" t="str">
            <v>exact</v>
          </cell>
          <cell r="H660" t="str">
            <v>CAMP0331(cmeB)_1451</v>
          </cell>
          <cell r="I660" t="str">
            <v>CAMP0331(cmeB)</v>
          </cell>
          <cell r="J660">
            <v>1451</v>
          </cell>
        </row>
        <row r="661">
          <cell r="A661" t="str">
            <v>SC0701</v>
          </cell>
          <cell r="B661" t="str">
            <v>SRR17925378</v>
          </cell>
          <cell r="C661">
            <v>50</v>
          </cell>
          <cell r="D661">
            <v>21</v>
          </cell>
          <cell r="E661" t="str">
            <v>Homo sapiens</v>
          </cell>
          <cell r="F661" t="str">
            <v>Campylobacter jejuni</v>
          </cell>
          <cell r="G661" t="str">
            <v>exact</v>
          </cell>
          <cell r="H661" t="str">
            <v>CAMP0331(cmeB)_1</v>
          </cell>
          <cell r="I661" t="str">
            <v>CAMP0331(cmeB)</v>
          </cell>
          <cell r="J661">
            <v>1</v>
          </cell>
        </row>
        <row r="662">
          <cell r="A662" t="str">
            <v>SC0700</v>
          </cell>
          <cell r="B662" t="str">
            <v>SRR17925379</v>
          </cell>
          <cell r="C662">
            <v>45</v>
          </cell>
          <cell r="D662">
            <v>45</v>
          </cell>
          <cell r="E662" t="str">
            <v>Homo sapiens</v>
          </cell>
          <cell r="F662" t="str">
            <v>Campylobacter jejuni</v>
          </cell>
          <cell r="G662" t="str">
            <v>exact</v>
          </cell>
          <cell r="H662" t="str">
            <v>CAMP0331(cmeB)_5</v>
          </cell>
          <cell r="I662" t="str">
            <v>CAMP0331(cmeB)</v>
          </cell>
          <cell r="J662">
            <v>5</v>
          </cell>
        </row>
        <row r="663">
          <cell r="A663" t="str">
            <v>SC0699</v>
          </cell>
          <cell r="B663" t="str">
            <v>SRR17925380</v>
          </cell>
          <cell r="C663">
            <v>45</v>
          </cell>
          <cell r="D663">
            <v>45</v>
          </cell>
          <cell r="E663" t="str">
            <v>Homo sapiens</v>
          </cell>
          <cell r="F663" t="str">
            <v>Campylobacter jejuni</v>
          </cell>
          <cell r="G663" t="str">
            <v>exact</v>
          </cell>
          <cell r="H663" t="str">
            <v>CAMP0331(cmeB)_5</v>
          </cell>
          <cell r="I663" t="str">
            <v>CAMP0331(cmeB)</v>
          </cell>
          <cell r="J663">
            <v>5</v>
          </cell>
        </row>
        <row r="664">
          <cell r="A664" t="str">
            <v>SC0698</v>
          </cell>
          <cell r="B664" t="str">
            <v>SRR17925381</v>
          </cell>
          <cell r="C664">
            <v>48</v>
          </cell>
          <cell r="D664">
            <v>48</v>
          </cell>
          <cell r="E664" t="str">
            <v>Homo sapiens</v>
          </cell>
          <cell r="F664" t="str">
            <v>Campylobacter jejuni</v>
          </cell>
          <cell r="G664" t="str">
            <v>exact</v>
          </cell>
          <cell r="H664" t="str">
            <v>CAMP0331(cmeB)_94</v>
          </cell>
          <cell r="I664" t="str">
            <v>CAMP0331(cmeB)</v>
          </cell>
          <cell r="J664">
            <v>94</v>
          </cell>
        </row>
        <row r="665">
          <cell r="A665" t="str">
            <v>SC0696</v>
          </cell>
          <cell r="B665" t="str">
            <v>SRR17925383</v>
          </cell>
          <cell r="C665">
            <v>2026</v>
          </cell>
          <cell r="D665">
            <v>403</v>
          </cell>
          <cell r="E665" t="str">
            <v>Bos taurus taurus</v>
          </cell>
          <cell r="F665" t="str">
            <v>Campylobacter jejuni</v>
          </cell>
          <cell r="G665" t="str">
            <v>exact</v>
          </cell>
          <cell r="H665" t="str">
            <v>CAMP0331(cmeB)_54</v>
          </cell>
          <cell r="I665" t="str">
            <v>CAMP0331(cmeB)</v>
          </cell>
          <cell r="J665">
            <v>54</v>
          </cell>
        </row>
        <row r="666">
          <cell r="A666" t="str">
            <v>SC0695</v>
          </cell>
          <cell r="B666" t="str">
            <v>SRR17925384</v>
          </cell>
          <cell r="C666">
            <v>50</v>
          </cell>
          <cell r="D666">
            <v>21</v>
          </cell>
          <cell r="E666" t="str">
            <v>Bos taurus taurus</v>
          </cell>
          <cell r="F666" t="str">
            <v>Campylobacter jejuni</v>
          </cell>
          <cell r="G666" t="str">
            <v>exact</v>
          </cell>
          <cell r="H666" t="str">
            <v>CAMP0331(cmeB)_604</v>
          </cell>
          <cell r="I666" t="str">
            <v>CAMP0331(cmeB)</v>
          </cell>
          <cell r="J666">
            <v>604</v>
          </cell>
        </row>
        <row r="667">
          <cell r="A667" t="str">
            <v>SC0693</v>
          </cell>
          <cell r="B667" t="str">
            <v>SRR17925386</v>
          </cell>
          <cell r="C667">
            <v>2341</v>
          </cell>
          <cell r="D667">
            <v>61</v>
          </cell>
          <cell r="E667" t="str">
            <v>Bos taurus taurus</v>
          </cell>
          <cell r="F667" t="str">
            <v>Campylobacter jejuni</v>
          </cell>
          <cell r="G667" t="str">
            <v>exact</v>
          </cell>
          <cell r="H667" t="str">
            <v>CAMP0331(cmeB)_14</v>
          </cell>
          <cell r="I667" t="str">
            <v>CAMP0331(cmeB)</v>
          </cell>
          <cell r="J667">
            <v>14</v>
          </cell>
        </row>
        <row r="668">
          <cell r="A668" t="str">
            <v>SC0692</v>
          </cell>
          <cell r="B668" t="str">
            <v>SRR17925387</v>
          </cell>
          <cell r="C668">
            <v>6964</v>
          </cell>
          <cell r="D668">
            <v>354</v>
          </cell>
          <cell r="E668" t="str">
            <v>Homo sapiens</v>
          </cell>
          <cell r="F668" t="str">
            <v>Campylobacter jejuni</v>
          </cell>
          <cell r="G668" t="str">
            <v>exact</v>
          </cell>
          <cell r="H668" t="str">
            <v>CAMP0331(cmeB)_1451</v>
          </cell>
          <cell r="I668" t="str">
            <v>CAMP0331(cmeB)</v>
          </cell>
          <cell r="J668">
            <v>1451</v>
          </cell>
        </row>
        <row r="669">
          <cell r="A669" t="str">
            <v>SC0520</v>
          </cell>
          <cell r="B669" t="str">
            <v>SRR17925388</v>
          </cell>
          <cell r="C669">
            <v>45</v>
          </cell>
          <cell r="D669">
            <v>45</v>
          </cell>
          <cell r="E669" t="str">
            <v>Gallus gallus</v>
          </cell>
          <cell r="F669" t="str">
            <v>Campylobacter jejuni</v>
          </cell>
          <cell r="G669" t="str">
            <v>exact</v>
          </cell>
          <cell r="H669" t="str">
            <v>CAMP0331(cmeB)_5</v>
          </cell>
          <cell r="I669" t="str">
            <v>CAMP0331(cmeB)</v>
          </cell>
          <cell r="J669">
            <v>5</v>
          </cell>
        </row>
        <row r="670">
          <cell r="A670" t="str">
            <v>SC0691</v>
          </cell>
          <cell r="B670" t="str">
            <v>SRR17925389</v>
          </cell>
          <cell r="C670">
            <v>696</v>
          </cell>
          <cell r="D670">
            <v>1332</v>
          </cell>
          <cell r="E670" t="str">
            <v>Homo sapiens</v>
          </cell>
          <cell r="F670" t="str">
            <v>Campylobacter jejuni</v>
          </cell>
          <cell r="G670" t="str">
            <v>exact</v>
          </cell>
          <cell r="H670" t="str">
            <v>CAMP0331(cmeB)_560</v>
          </cell>
          <cell r="I670" t="str">
            <v>CAMP0331(cmeB)</v>
          </cell>
          <cell r="J670">
            <v>560</v>
          </cell>
        </row>
        <row r="671">
          <cell r="A671" t="str">
            <v>SC0690</v>
          </cell>
          <cell r="B671" t="str">
            <v>SRR17925390</v>
          </cell>
          <cell r="C671">
            <v>48</v>
          </cell>
          <cell r="D671">
            <v>48</v>
          </cell>
          <cell r="E671" t="str">
            <v>Homo sapiens</v>
          </cell>
          <cell r="F671" t="str">
            <v>Campylobacter jejuni</v>
          </cell>
          <cell r="G671" t="str">
            <v>exact</v>
          </cell>
          <cell r="H671" t="str">
            <v>CAMP0331(cmeB)_94</v>
          </cell>
          <cell r="I671" t="str">
            <v>CAMP0331(cmeB)</v>
          </cell>
          <cell r="J671">
            <v>94</v>
          </cell>
        </row>
        <row r="672">
          <cell r="A672" t="str">
            <v>SC0687</v>
          </cell>
          <cell r="B672" t="str">
            <v>SRR17925393</v>
          </cell>
          <cell r="C672">
            <v>45</v>
          </cell>
          <cell r="D672">
            <v>45</v>
          </cell>
          <cell r="E672" t="str">
            <v>Homo sapiens</v>
          </cell>
          <cell r="F672" t="str">
            <v>Campylobacter jejuni</v>
          </cell>
          <cell r="G672" t="str">
            <v>exact</v>
          </cell>
          <cell r="H672" t="str">
            <v>CAMP0331(cmeB)_3633</v>
          </cell>
          <cell r="I672" t="str">
            <v>CAMP0331(cmeB)</v>
          </cell>
          <cell r="J672">
            <v>3633</v>
          </cell>
        </row>
        <row r="673">
          <cell r="A673" t="str">
            <v>SC0686</v>
          </cell>
          <cell r="B673" t="str">
            <v>SRR17925394</v>
          </cell>
          <cell r="C673">
            <v>48</v>
          </cell>
          <cell r="D673">
            <v>48</v>
          </cell>
          <cell r="E673" t="str">
            <v>Homo sapiens</v>
          </cell>
          <cell r="F673" t="str">
            <v>Campylobacter jejuni</v>
          </cell>
          <cell r="G673" t="str">
            <v>exact</v>
          </cell>
          <cell r="H673" t="str">
            <v>CAMP0331(cmeB)_94</v>
          </cell>
          <cell r="I673" t="str">
            <v>CAMP0331(cmeB)</v>
          </cell>
          <cell r="J673">
            <v>94</v>
          </cell>
        </row>
        <row r="674">
          <cell r="A674" t="str">
            <v>SC0685</v>
          </cell>
          <cell r="B674" t="str">
            <v>SRR17925395</v>
          </cell>
          <cell r="C674">
            <v>25</v>
          </cell>
          <cell r="D674">
            <v>45</v>
          </cell>
          <cell r="E674" t="str">
            <v>Homo sapiens</v>
          </cell>
          <cell r="F674" t="str">
            <v>Campylobacter jejuni</v>
          </cell>
          <cell r="G674" t="str">
            <v>exact</v>
          </cell>
          <cell r="H674" t="str">
            <v>CAMP0331(cmeB)_5</v>
          </cell>
          <cell r="I674" t="str">
            <v>CAMP0331(cmeB)</v>
          </cell>
          <cell r="J674">
            <v>5</v>
          </cell>
        </row>
        <row r="675">
          <cell r="A675" t="str">
            <v>SC0684</v>
          </cell>
          <cell r="B675" t="str">
            <v>SRR17925396</v>
          </cell>
          <cell r="C675">
            <v>677</v>
          </cell>
          <cell r="D675">
            <v>677</v>
          </cell>
          <cell r="E675" t="str">
            <v>Homo sapiens</v>
          </cell>
          <cell r="F675" t="str">
            <v>Campylobacter jejuni</v>
          </cell>
          <cell r="G675" t="str">
            <v>exact</v>
          </cell>
          <cell r="H675" t="str">
            <v>CAMP0331(cmeB)_39</v>
          </cell>
          <cell r="I675" t="str">
            <v>CAMP0331(cmeB)</v>
          </cell>
          <cell r="J675">
            <v>39</v>
          </cell>
        </row>
        <row r="676">
          <cell r="A676" t="str">
            <v>SC0683</v>
          </cell>
          <cell r="B676" t="str">
            <v>SRR17925397</v>
          </cell>
          <cell r="C676">
            <v>474</v>
          </cell>
          <cell r="D676">
            <v>48</v>
          </cell>
          <cell r="E676" t="str">
            <v>Homo sapiens</v>
          </cell>
          <cell r="F676" t="str">
            <v>Campylobacter jejuni</v>
          </cell>
          <cell r="G676" t="str">
            <v>exact</v>
          </cell>
          <cell r="H676" t="str">
            <v>CAMP0331(cmeB)_1</v>
          </cell>
          <cell r="I676" t="str">
            <v>CAMP0331(cmeB)</v>
          </cell>
          <cell r="J676">
            <v>1</v>
          </cell>
        </row>
        <row r="677">
          <cell r="A677" t="str">
            <v>SC0519</v>
          </cell>
          <cell r="B677" t="str">
            <v>SRR17925399</v>
          </cell>
          <cell r="C677">
            <v>6964</v>
          </cell>
          <cell r="D677">
            <v>354</v>
          </cell>
          <cell r="E677" t="str">
            <v>Gallus gallus</v>
          </cell>
          <cell r="F677" t="str">
            <v>Campylobacter jejuni</v>
          </cell>
          <cell r="G677" t="str">
            <v>exact</v>
          </cell>
          <cell r="H677" t="str">
            <v>CAMP0331(cmeB)_1451</v>
          </cell>
          <cell r="I677" t="str">
            <v>CAMP0331(cmeB)</v>
          </cell>
          <cell r="J677">
            <v>1451</v>
          </cell>
        </row>
        <row r="678">
          <cell r="A678" t="str">
            <v>SC0681</v>
          </cell>
          <cell r="B678" t="str">
            <v>SRR17925400</v>
          </cell>
          <cell r="C678">
            <v>6964</v>
          </cell>
          <cell r="D678">
            <v>354</v>
          </cell>
          <cell r="E678" t="str">
            <v>Gallus gallus</v>
          </cell>
          <cell r="F678" t="str">
            <v>Campylobacter jejuni</v>
          </cell>
          <cell r="G678" t="str">
            <v>exact</v>
          </cell>
          <cell r="H678" t="str">
            <v>CAMP0331(cmeB)_1451</v>
          </cell>
          <cell r="I678" t="str">
            <v>CAMP0331(cmeB)</v>
          </cell>
          <cell r="J678">
            <v>1451</v>
          </cell>
        </row>
        <row r="679">
          <cell r="A679" t="str">
            <v>SC0680</v>
          </cell>
          <cell r="B679" t="str">
            <v>SRR17925401</v>
          </cell>
          <cell r="C679">
            <v>583</v>
          </cell>
          <cell r="D679">
            <v>45</v>
          </cell>
          <cell r="E679" t="str">
            <v>Gallus gallus</v>
          </cell>
          <cell r="F679" t="str">
            <v>Campylobacter jejuni</v>
          </cell>
          <cell r="G679" t="str">
            <v>exact</v>
          </cell>
          <cell r="H679" t="str">
            <v>CAMP0331(cmeB)_24</v>
          </cell>
          <cell r="I679" t="str">
            <v>CAMP0331(cmeB)</v>
          </cell>
          <cell r="J679">
            <v>24</v>
          </cell>
        </row>
        <row r="680">
          <cell r="A680" t="str">
            <v>SC0679</v>
          </cell>
          <cell r="B680" t="str">
            <v>SRR17925402</v>
          </cell>
          <cell r="C680">
            <v>48</v>
          </cell>
          <cell r="D680">
            <v>48</v>
          </cell>
          <cell r="E680" t="str">
            <v>Gallus gallus</v>
          </cell>
          <cell r="F680" t="str">
            <v>Campylobacter jejuni</v>
          </cell>
          <cell r="G680" t="str">
            <v>exact</v>
          </cell>
          <cell r="H680" t="str">
            <v>CAMP0331(cmeB)_94</v>
          </cell>
          <cell r="I680" t="str">
            <v>CAMP0331(cmeB)</v>
          </cell>
          <cell r="J680">
            <v>94</v>
          </cell>
        </row>
        <row r="681">
          <cell r="A681" t="str">
            <v>SC0678</v>
          </cell>
          <cell r="B681" t="str">
            <v>SRR17925403</v>
          </cell>
          <cell r="C681">
            <v>48</v>
          </cell>
          <cell r="D681">
            <v>48</v>
          </cell>
          <cell r="E681" t="str">
            <v>Gallus gallus</v>
          </cell>
          <cell r="F681" t="str">
            <v>Campylobacter jejuni</v>
          </cell>
          <cell r="G681" t="str">
            <v>exact</v>
          </cell>
          <cell r="H681" t="str">
            <v>CAMP0331(cmeB)_94</v>
          </cell>
          <cell r="I681" t="str">
            <v>CAMP0331(cmeB)</v>
          </cell>
          <cell r="J681">
            <v>94</v>
          </cell>
        </row>
        <row r="682">
          <cell r="A682" t="str">
            <v>SC0676</v>
          </cell>
          <cell r="B682" t="str">
            <v>SRR17925405</v>
          </cell>
          <cell r="C682">
            <v>190</v>
          </cell>
          <cell r="D682">
            <v>21</v>
          </cell>
          <cell r="E682" t="str">
            <v>Gallus gallus</v>
          </cell>
          <cell r="F682" t="str">
            <v>Campylobacter jejuni</v>
          </cell>
          <cell r="G682" t="str">
            <v>exact</v>
          </cell>
          <cell r="H682" t="str">
            <v>CAMP0331(cmeB)_604</v>
          </cell>
          <cell r="I682" t="str">
            <v>CAMP0331(cmeB)</v>
          </cell>
          <cell r="J682">
            <v>604</v>
          </cell>
        </row>
        <row r="683">
          <cell r="A683" t="str">
            <v>SC0675</v>
          </cell>
          <cell r="B683" t="str">
            <v>SRR17925406</v>
          </cell>
          <cell r="C683">
            <v>8185</v>
          </cell>
          <cell r="D683">
            <v>21</v>
          </cell>
          <cell r="E683" t="str">
            <v>Gallus gallus</v>
          </cell>
          <cell r="F683" t="str">
            <v>Campylobacter jejuni</v>
          </cell>
          <cell r="G683" t="str">
            <v>exact</v>
          </cell>
          <cell r="H683" t="str">
            <v>CAMP0331(cmeB)_3615</v>
          </cell>
          <cell r="I683" t="str">
            <v>CAMP0331(cmeB)</v>
          </cell>
          <cell r="J683">
            <v>3615</v>
          </cell>
        </row>
        <row r="684">
          <cell r="A684" t="str">
            <v>SC0674</v>
          </cell>
          <cell r="B684" t="str">
            <v>SRR17925407</v>
          </cell>
          <cell r="C684">
            <v>890</v>
          </cell>
          <cell r="D684">
            <v>828</v>
          </cell>
          <cell r="E684" t="str">
            <v>Gallus gallus</v>
          </cell>
          <cell r="F684" t="str">
            <v>Campylobacter coli</v>
          </cell>
          <cell r="G684" t="str">
            <v>exact</v>
          </cell>
          <cell r="H684" t="str">
            <v>CAMP0331(cmeB)_490</v>
          </cell>
          <cell r="I684" t="str">
            <v>CAMP0331(cmeB)</v>
          </cell>
          <cell r="J684">
            <v>490</v>
          </cell>
        </row>
        <row r="685">
          <cell r="A685" t="str">
            <v>SC0673</v>
          </cell>
          <cell r="B685" t="str">
            <v>SRR17925408</v>
          </cell>
          <cell r="C685">
            <v>52</v>
          </cell>
          <cell r="D685">
            <v>52</v>
          </cell>
          <cell r="E685" t="str">
            <v>Gallus gallus</v>
          </cell>
          <cell r="F685" t="str">
            <v>Campylobacter jejuni</v>
          </cell>
          <cell r="G685" t="str">
            <v>exact</v>
          </cell>
          <cell r="H685" t="str">
            <v>CAMP0331(cmeB)_4941</v>
          </cell>
          <cell r="I685" t="str">
            <v>CAMP0331(cmeB)</v>
          </cell>
          <cell r="J685">
            <v>4941</v>
          </cell>
        </row>
        <row r="686">
          <cell r="A686" t="str">
            <v>SC0672</v>
          </cell>
          <cell r="B686" t="str">
            <v>SRR17925409</v>
          </cell>
          <cell r="C686">
            <v>583</v>
          </cell>
          <cell r="D686">
            <v>45</v>
          </cell>
          <cell r="E686" t="str">
            <v>Gallus gallus</v>
          </cell>
          <cell r="F686" t="str">
            <v>Campylobacter jejuni</v>
          </cell>
          <cell r="G686" t="str">
            <v>exact</v>
          </cell>
          <cell r="H686" t="str">
            <v>CAMP0331(cmeB)_24</v>
          </cell>
          <cell r="I686" t="str">
            <v>CAMP0331(cmeB)</v>
          </cell>
          <cell r="J686">
            <v>24</v>
          </cell>
        </row>
        <row r="687">
          <cell r="A687" t="str">
            <v>SC0518</v>
          </cell>
          <cell r="B687" t="str">
            <v>SRR17925410</v>
          </cell>
          <cell r="C687">
            <v>4500</v>
          </cell>
          <cell r="D687">
            <v>0</v>
          </cell>
          <cell r="E687" t="str">
            <v>Gallus gallus</v>
          </cell>
          <cell r="F687" t="str">
            <v>Campylobacter jejuni</v>
          </cell>
          <cell r="G687" t="str">
            <v>exact</v>
          </cell>
          <cell r="H687" t="str">
            <v>CAMP0331(cmeB)_1706</v>
          </cell>
          <cell r="I687" t="str">
            <v>CAMP0331(cmeB)</v>
          </cell>
          <cell r="J687">
            <v>1706</v>
          </cell>
        </row>
        <row r="688">
          <cell r="A688" t="str">
            <v>SC0671</v>
          </cell>
          <cell r="B688" t="str">
            <v>SRR17925411</v>
          </cell>
          <cell r="C688">
            <v>2345</v>
          </cell>
          <cell r="D688">
            <v>206</v>
          </cell>
          <cell r="E688" t="str">
            <v>Gallus gallus</v>
          </cell>
          <cell r="F688" t="str">
            <v>Campylobacter jejuni</v>
          </cell>
          <cell r="G688" t="str">
            <v>exact</v>
          </cell>
          <cell r="H688" t="str">
            <v>CAMP0331(cmeB)_158</v>
          </cell>
          <cell r="I688" t="str">
            <v>CAMP0331(cmeB)</v>
          </cell>
          <cell r="J688">
            <v>158</v>
          </cell>
        </row>
        <row r="689">
          <cell r="A689" t="str">
            <v>SC0670</v>
          </cell>
          <cell r="B689" t="str">
            <v>SRR17925412</v>
          </cell>
          <cell r="C689">
            <v>1581</v>
          </cell>
          <cell r="D689">
            <v>0</v>
          </cell>
          <cell r="E689" t="str">
            <v>Gallus gallus</v>
          </cell>
          <cell r="F689" t="str">
            <v>Campylobacter coli</v>
          </cell>
          <cell r="G689" t="str">
            <v>exact</v>
          </cell>
          <cell r="H689" t="str">
            <v>CAMP0331(cmeB)_690</v>
          </cell>
          <cell r="I689" t="str">
            <v>CAMP0331(cmeB)</v>
          </cell>
          <cell r="J689">
            <v>690</v>
          </cell>
        </row>
        <row r="690">
          <cell r="A690" t="str">
            <v>SC0669</v>
          </cell>
          <cell r="B690" t="str">
            <v>SRR17925413</v>
          </cell>
          <cell r="C690">
            <v>508</v>
          </cell>
          <cell r="D690">
            <v>508</v>
          </cell>
          <cell r="E690" t="str">
            <v>Homo sapiens</v>
          </cell>
          <cell r="F690" t="str">
            <v>Campylobacter jejuni</v>
          </cell>
          <cell r="G690" t="str">
            <v>exact</v>
          </cell>
          <cell r="H690" t="str">
            <v>CAMP0331(cmeB)_43</v>
          </cell>
          <cell r="I690" t="str">
            <v>CAMP0331(cmeB)</v>
          </cell>
          <cell r="J690">
            <v>43</v>
          </cell>
        </row>
        <row r="691">
          <cell r="A691" t="str">
            <v>SC0668</v>
          </cell>
          <cell r="B691" t="str">
            <v>SRR17925414</v>
          </cell>
          <cell r="C691">
            <v>2345</v>
          </cell>
          <cell r="D691">
            <v>206</v>
          </cell>
          <cell r="E691" t="str">
            <v>Homo sapiens</v>
          </cell>
          <cell r="F691" t="str">
            <v>Campylobacter jejuni</v>
          </cell>
          <cell r="G691" t="str">
            <v>exact</v>
          </cell>
          <cell r="H691" t="str">
            <v>CAMP0331(cmeB)_158</v>
          </cell>
          <cell r="I691" t="str">
            <v>CAMP0331(cmeB)</v>
          </cell>
          <cell r="J691">
            <v>158</v>
          </cell>
        </row>
        <row r="692">
          <cell r="A692" t="str">
            <v>SC0666</v>
          </cell>
          <cell r="B692" t="str">
            <v>SRR17925415</v>
          </cell>
          <cell r="C692">
            <v>21</v>
          </cell>
          <cell r="D692">
            <v>21</v>
          </cell>
          <cell r="E692" t="str">
            <v>Homo sapiens</v>
          </cell>
          <cell r="F692" t="str">
            <v>Campylobacter jejuni</v>
          </cell>
          <cell r="G692" t="str">
            <v>exact</v>
          </cell>
          <cell r="H692" t="str">
            <v>CAMP0331(cmeB)_604</v>
          </cell>
          <cell r="I692" t="str">
            <v>CAMP0331(cmeB)</v>
          </cell>
          <cell r="J692">
            <v>604</v>
          </cell>
        </row>
        <row r="693">
          <cell r="A693" t="str">
            <v>SC0665</v>
          </cell>
          <cell r="B693" t="str">
            <v>SRR17925416</v>
          </cell>
          <cell r="C693">
            <v>53</v>
          </cell>
          <cell r="D693">
            <v>21</v>
          </cell>
          <cell r="E693" t="str">
            <v>Homo sapiens</v>
          </cell>
          <cell r="F693" t="str">
            <v>Campylobacter jejuni</v>
          </cell>
          <cell r="G693" t="str">
            <v>exact</v>
          </cell>
          <cell r="H693" t="str">
            <v>CAMP0331(cmeB)_604</v>
          </cell>
          <cell r="I693" t="str">
            <v>CAMP0331(cmeB)</v>
          </cell>
          <cell r="J693">
            <v>604</v>
          </cell>
        </row>
        <row r="694">
          <cell r="A694" t="str">
            <v>SC0664</v>
          </cell>
          <cell r="B694" t="str">
            <v>SRR17925417</v>
          </cell>
          <cell r="C694">
            <v>45</v>
          </cell>
          <cell r="D694">
            <v>45</v>
          </cell>
          <cell r="E694" t="str">
            <v>Homo sapiens</v>
          </cell>
          <cell r="F694" t="str">
            <v>Campylobacter jejuni</v>
          </cell>
          <cell r="G694" t="str">
            <v>exact</v>
          </cell>
          <cell r="H694" t="str">
            <v>CAMP0331(cmeB)_5</v>
          </cell>
          <cell r="I694" t="str">
            <v>CAMP0331(cmeB)</v>
          </cell>
          <cell r="J694">
            <v>5</v>
          </cell>
        </row>
        <row r="695">
          <cell r="A695" t="str">
            <v>SC0663</v>
          </cell>
          <cell r="B695" t="str">
            <v>SRR17925418</v>
          </cell>
          <cell r="C695">
            <v>422</v>
          </cell>
          <cell r="D695">
            <v>21</v>
          </cell>
          <cell r="E695" t="str">
            <v>Homo sapiens</v>
          </cell>
          <cell r="F695" t="str">
            <v>Campylobacter jejuni</v>
          </cell>
          <cell r="G695" t="str">
            <v>exact</v>
          </cell>
          <cell r="H695" t="str">
            <v>CAMP0331(cmeB)_604</v>
          </cell>
          <cell r="I695" t="str">
            <v>CAMP0331(cmeB)</v>
          </cell>
          <cell r="J695">
            <v>604</v>
          </cell>
        </row>
        <row r="696">
          <cell r="A696" t="str">
            <v>SC0662</v>
          </cell>
          <cell r="B696" t="str">
            <v>SRR17925419</v>
          </cell>
          <cell r="C696">
            <v>53</v>
          </cell>
          <cell r="D696">
            <v>21</v>
          </cell>
          <cell r="E696" t="str">
            <v>Homo sapiens</v>
          </cell>
          <cell r="F696" t="str">
            <v>Campylobacter jejuni</v>
          </cell>
          <cell r="G696" t="str">
            <v>exact</v>
          </cell>
          <cell r="H696" t="str">
            <v>CAMP0331(cmeB)_604</v>
          </cell>
          <cell r="I696" t="str">
            <v>CAMP0331(cmeB)</v>
          </cell>
          <cell r="J696">
            <v>604</v>
          </cell>
        </row>
        <row r="697">
          <cell r="A697" t="str">
            <v>SC0661</v>
          </cell>
          <cell r="B697" t="str">
            <v>SRR17925420</v>
          </cell>
          <cell r="C697">
            <v>53</v>
          </cell>
          <cell r="D697">
            <v>21</v>
          </cell>
          <cell r="E697" t="str">
            <v>Homo sapiens</v>
          </cell>
          <cell r="F697" t="str">
            <v>Campylobacter jejuni</v>
          </cell>
          <cell r="G697" t="str">
            <v>exact</v>
          </cell>
          <cell r="H697" t="str">
            <v>CAMP0331(cmeB)_604</v>
          </cell>
          <cell r="I697" t="str">
            <v>CAMP0331(cmeB)</v>
          </cell>
          <cell r="J697">
            <v>604</v>
          </cell>
        </row>
        <row r="698">
          <cell r="A698" t="str">
            <v>SC0517</v>
          </cell>
          <cell r="B698" t="str">
            <v>SRR17925421</v>
          </cell>
          <cell r="C698">
            <v>583</v>
          </cell>
          <cell r="D698">
            <v>45</v>
          </cell>
          <cell r="E698" t="str">
            <v>Gallus gallus</v>
          </cell>
          <cell r="F698" t="str">
            <v>Campylobacter jejuni</v>
          </cell>
          <cell r="G698" t="str">
            <v>exact</v>
          </cell>
          <cell r="H698" t="str">
            <v>CAMP0331(cmeB)_24</v>
          </cell>
          <cell r="I698" t="str">
            <v>CAMP0331(cmeB)</v>
          </cell>
          <cell r="J698">
            <v>24</v>
          </cell>
        </row>
        <row r="699">
          <cell r="A699" t="str">
            <v>SC0660</v>
          </cell>
          <cell r="B699" t="str">
            <v>SRR17925422</v>
          </cell>
          <cell r="C699">
            <v>45</v>
          </cell>
          <cell r="D699">
            <v>45</v>
          </cell>
          <cell r="E699" t="str">
            <v>Homo sapiens</v>
          </cell>
          <cell r="F699" t="str">
            <v>Campylobacter jejuni</v>
          </cell>
          <cell r="G699" t="str">
            <v>exact</v>
          </cell>
          <cell r="H699" t="str">
            <v>CAMP0331(cmeB)_27</v>
          </cell>
          <cell r="I699" t="str">
            <v>CAMP0331(cmeB)</v>
          </cell>
          <cell r="J699">
            <v>27</v>
          </cell>
        </row>
        <row r="700">
          <cell r="A700" t="str">
            <v>SC0659</v>
          </cell>
          <cell r="B700" t="str">
            <v>SRR17925423</v>
          </cell>
          <cell r="C700">
            <v>45</v>
          </cell>
          <cell r="D700">
            <v>45</v>
          </cell>
          <cell r="E700" t="str">
            <v>Homo sapiens</v>
          </cell>
          <cell r="F700" t="str">
            <v>Campylobacter jejuni</v>
          </cell>
          <cell r="G700" t="str">
            <v>exact</v>
          </cell>
          <cell r="H700" t="str">
            <v>CAMP0331(cmeB)_5</v>
          </cell>
          <cell r="I700" t="str">
            <v>CAMP0331(cmeB)</v>
          </cell>
          <cell r="J700">
            <v>5</v>
          </cell>
        </row>
        <row r="701">
          <cell r="A701" t="str">
            <v>SC0658</v>
          </cell>
          <cell r="B701" t="str">
            <v>SRR17925424</v>
          </cell>
          <cell r="C701">
            <v>6964</v>
          </cell>
          <cell r="D701">
            <v>354</v>
          </cell>
          <cell r="E701" t="str">
            <v>Homo sapiens</v>
          </cell>
          <cell r="F701" t="str">
            <v>Campylobacter jejuni</v>
          </cell>
          <cell r="G701" t="str">
            <v>exact</v>
          </cell>
          <cell r="H701" t="str">
            <v>CAMP0331(cmeB)_1451</v>
          </cell>
          <cell r="I701" t="str">
            <v>CAMP0331(cmeB)</v>
          </cell>
          <cell r="J701">
            <v>1451</v>
          </cell>
        </row>
        <row r="702">
          <cell r="A702" t="str">
            <v>SC0657</v>
          </cell>
          <cell r="B702" t="str">
            <v>SRR17925425</v>
          </cell>
          <cell r="C702">
            <v>6964</v>
          </cell>
          <cell r="D702">
            <v>354</v>
          </cell>
          <cell r="E702" t="str">
            <v>Homo sapiens</v>
          </cell>
          <cell r="F702" t="str">
            <v>Campylobacter jejuni</v>
          </cell>
          <cell r="G702" t="str">
            <v>exact</v>
          </cell>
          <cell r="H702" t="str">
            <v>CAMP0331(cmeB)_1451</v>
          </cell>
          <cell r="I702" t="str">
            <v>CAMP0331(cmeB)</v>
          </cell>
          <cell r="J702">
            <v>1451</v>
          </cell>
        </row>
        <row r="703">
          <cell r="A703" t="str">
            <v>SC0547</v>
          </cell>
          <cell r="B703" t="str">
            <v>SRR17925426</v>
          </cell>
          <cell r="C703">
            <v>3538</v>
          </cell>
          <cell r="D703">
            <v>0</v>
          </cell>
          <cell r="E703" t="str">
            <v>Bos taurus taurus</v>
          </cell>
          <cell r="F703" t="str">
            <v>Campylobacter jejuni</v>
          </cell>
          <cell r="G703" t="str">
            <v>exact</v>
          </cell>
          <cell r="H703" t="str">
            <v>CAMP0331(cmeB)_14</v>
          </cell>
          <cell r="I703" t="str">
            <v>CAMP0331(cmeB)</v>
          </cell>
          <cell r="J703">
            <v>14</v>
          </cell>
        </row>
        <row r="704">
          <cell r="A704" t="str">
            <v>SC0546</v>
          </cell>
          <cell r="B704" t="str">
            <v>SRR17925427</v>
          </cell>
          <cell r="C704">
            <v>53</v>
          </cell>
          <cell r="D704">
            <v>21</v>
          </cell>
          <cell r="E704" t="str">
            <v>Bos taurus taurus</v>
          </cell>
          <cell r="F704" t="str">
            <v>Campylobacter jejuni</v>
          </cell>
          <cell r="G704" t="str">
            <v>exact</v>
          </cell>
          <cell r="H704" t="str">
            <v>CAMP0331(cmeB)_604</v>
          </cell>
          <cell r="I704" t="str">
            <v>CAMP0331(cmeB)</v>
          </cell>
          <cell r="J704">
            <v>604</v>
          </cell>
        </row>
        <row r="705">
          <cell r="A705" t="str">
            <v>SC0545</v>
          </cell>
          <cell r="B705" t="str">
            <v>SRR17925428</v>
          </cell>
          <cell r="C705">
            <v>3072</v>
          </cell>
          <cell r="D705">
            <v>828</v>
          </cell>
          <cell r="E705" t="str">
            <v>Bos taurus taurus</v>
          </cell>
          <cell r="F705" t="str">
            <v>Campylobacter coli</v>
          </cell>
          <cell r="G705" t="str">
            <v>exact</v>
          </cell>
          <cell r="H705" t="str">
            <v>CAMP0331(cmeB)_1205</v>
          </cell>
          <cell r="I705" t="str">
            <v>CAMP0331(cmeB)</v>
          </cell>
          <cell r="J705">
            <v>1205</v>
          </cell>
        </row>
        <row r="706">
          <cell r="A706" t="str">
            <v>SC0544</v>
          </cell>
          <cell r="B706" t="str">
            <v>SRR17925429</v>
          </cell>
          <cell r="C706">
            <v>2392</v>
          </cell>
          <cell r="D706">
            <v>52</v>
          </cell>
          <cell r="E706" t="str">
            <v>Bos taurus taurus</v>
          </cell>
          <cell r="F706" t="str">
            <v>Campylobacter jejuni</v>
          </cell>
          <cell r="G706" t="str">
            <v>exact</v>
          </cell>
          <cell r="H706" t="str">
            <v>CAMP0331(cmeB)_4945</v>
          </cell>
          <cell r="I706" t="str">
            <v>CAMP0331(cmeB)</v>
          </cell>
          <cell r="J706">
            <v>4945</v>
          </cell>
        </row>
        <row r="707">
          <cell r="A707" t="str">
            <v>SC0543</v>
          </cell>
          <cell r="B707" t="str">
            <v>SRR17925430</v>
          </cell>
          <cell r="C707">
            <v>61</v>
          </cell>
          <cell r="D707">
            <v>61</v>
          </cell>
          <cell r="E707" t="str">
            <v>Bos taurus taurus</v>
          </cell>
          <cell r="F707" t="str">
            <v>Campylobacter jejuni</v>
          </cell>
          <cell r="G707" t="str">
            <v>exact</v>
          </cell>
          <cell r="H707" t="str">
            <v>CAMP0331(cmeB)_14</v>
          </cell>
          <cell r="I707" t="str">
            <v>CAMP0331(cmeB)</v>
          </cell>
          <cell r="J707">
            <v>14</v>
          </cell>
        </row>
        <row r="708">
          <cell r="A708" t="str">
            <v>SC0542</v>
          </cell>
          <cell r="B708" t="str">
            <v>SRR17925431</v>
          </cell>
          <cell r="C708">
            <v>422</v>
          </cell>
          <cell r="D708">
            <v>21</v>
          </cell>
          <cell r="E708" t="str">
            <v>Bos taurus taurus</v>
          </cell>
          <cell r="F708" t="str">
            <v>Campylobacter jejuni</v>
          </cell>
          <cell r="G708" t="str">
            <v>exact</v>
          </cell>
          <cell r="H708" t="str">
            <v>CAMP0331(cmeB)_604</v>
          </cell>
          <cell r="I708" t="str">
            <v>CAMP0331(cmeB)</v>
          </cell>
          <cell r="J708">
            <v>604</v>
          </cell>
        </row>
        <row r="709">
          <cell r="A709" t="str">
            <v>SC0541</v>
          </cell>
          <cell r="B709" t="str">
            <v>SRR17925432</v>
          </cell>
          <cell r="C709">
            <v>190</v>
          </cell>
          <cell r="D709">
            <v>21</v>
          </cell>
          <cell r="E709" t="str">
            <v>Bos taurus taurus</v>
          </cell>
          <cell r="F709" t="str">
            <v>Campylobacter jejuni</v>
          </cell>
          <cell r="G709" t="str">
            <v>exact</v>
          </cell>
          <cell r="H709" t="str">
            <v>CAMP0331(cmeB)_604</v>
          </cell>
          <cell r="I709" t="str">
            <v>CAMP0331(cmeB)</v>
          </cell>
          <cell r="J709">
            <v>604</v>
          </cell>
        </row>
        <row r="710">
          <cell r="A710" t="str">
            <v>SC0540</v>
          </cell>
          <cell r="B710" t="str">
            <v>SRR17925434</v>
          </cell>
          <cell r="C710">
            <v>3072</v>
          </cell>
          <cell r="D710">
            <v>828</v>
          </cell>
          <cell r="E710" t="str">
            <v>Homo sapiens</v>
          </cell>
          <cell r="F710" t="str">
            <v>Campylobacter coli</v>
          </cell>
          <cell r="G710" t="str">
            <v>exact</v>
          </cell>
          <cell r="H710" t="str">
            <v>CAMP0331(cmeB)_1205</v>
          </cell>
          <cell r="I710" t="str">
            <v>CAMP0331(cmeB)</v>
          </cell>
          <cell r="J710">
            <v>1205</v>
          </cell>
        </row>
        <row r="711">
          <cell r="A711" t="str">
            <v>SC0539</v>
          </cell>
          <cell r="B711" t="str">
            <v>SRR17925435</v>
          </cell>
          <cell r="C711">
            <v>45</v>
          </cell>
          <cell r="D711">
            <v>45</v>
          </cell>
          <cell r="E711" t="str">
            <v>Homo sapiens</v>
          </cell>
          <cell r="F711" t="str">
            <v>Campylobacter jejuni</v>
          </cell>
          <cell r="G711" t="str">
            <v>exact</v>
          </cell>
          <cell r="H711" t="str">
            <v>CAMP0331(cmeB)_5</v>
          </cell>
          <cell r="I711" t="str">
            <v>CAMP0331(cmeB)</v>
          </cell>
          <cell r="J711">
            <v>5</v>
          </cell>
        </row>
        <row r="712">
          <cell r="A712" t="str">
            <v>SC0899</v>
          </cell>
          <cell r="B712" t="str">
            <v>SRR17925436</v>
          </cell>
          <cell r="C712">
            <v>1517</v>
          </cell>
          <cell r="D712">
            <v>354</v>
          </cell>
          <cell r="E712" t="str">
            <v>Bos taurus taurus</v>
          </cell>
          <cell r="F712" t="str">
            <v>Campylobacter jejuni</v>
          </cell>
          <cell r="G712" t="str">
            <v>exact</v>
          </cell>
          <cell r="H712" t="str">
            <v>CAMP0331(cmeB)_233</v>
          </cell>
          <cell r="I712" t="str">
            <v>CAMP0331(cmeB)</v>
          </cell>
          <cell r="J712">
            <v>233</v>
          </cell>
        </row>
        <row r="713">
          <cell r="A713" t="str">
            <v>SC0898</v>
          </cell>
          <cell r="B713" t="str">
            <v>SRR17925437</v>
          </cell>
          <cell r="C713">
            <v>53</v>
          </cell>
          <cell r="D713">
            <v>21</v>
          </cell>
          <cell r="E713" t="str">
            <v>Bos taurus taurus</v>
          </cell>
          <cell r="F713" t="str">
            <v>Campylobacter jejuni</v>
          </cell>
          <cell r="G713" t="str">
            <v>exact</v>
          </cell>
          <cell r="H713" t="str">
            <v>CAMP0331(cmeB)_604</v>
          </cell>
          <cell r="I713" t="str">
            <v>CAMP0331(cmeB)</v>
          </cell>
          <cell r="J713">
            <v>604</v>
          </cell>
        </row>
        <row r="714">
          <cell r="A714" t="str">
            <v>SC0897</v>
          </cell>
          <cell r="B714" t="str">
            <v>SRR17925438</v>
          </cell>
          <cell r="C714">
            <v>53</v>
          </cell>
          <cell r="D714">
            <v>21</v>
          </cell>
          <cell r="E714" t="str">
            <v>Bos taurus taurus</v>
          </cell>
          <cell r="F714" t="str">
            <v>Campylobacter jejuni</v>
          </cell>
          <cell r="G714" t="str">
            <v>exact</v>
          </cell>
          <cell r="H714" t="str">
            <v>CAMP0331(cmeB)_604</v>
          </cell>
          <cell r="I714" t="str">
            <v>CAMP0331(cmeB)</v>
          </cell>
          <cell r="J714">
            <v>604</v>
          </cell>
        </row>
        <row r="715">
          <cell r="A715" t="str">
            <v>SC0896</v>
          </cell>
          <cell r="B715" t="str">
            <v>SRR17925439</v>
          </cell>
          <cell r="C715">
            <v>61</v>
          </cell>
          <cell r="D715">
            <v>61</v>
          </cell>
          <cell r="E715" t="str">
            <v>Bos taurus taurus</v>
          </cell>
          <cell r="F715" t="str">
            <v>Campylobacter jejuni</v>
          </cell>
          <cell r="G715" t="str">
            <v>exact</v>
          </cell>
          <cell r="H715" t="str">
            <v>CAMP0331(cmeB)_14</v>
          </cell>
          <cell r="I715" t="str">
            <v>CAMP0331(cmeB)</v>
          </cell>
          <cell r="J715">
            <v>14</v>
          </cell>
        </row>
        <row r="716">
          <cell r="A716" t="str">
            <v>SC0895</v>
          </cell>
          <cell r="B716" t="str">
            <v>SRR17925440</v>
          </cell>
          <cell r="C716">
            <v>535</v>
          </cell>
          <cell r="D716">
            <v>460</v>
          </cell>
          <cell r="E716" t="str">
            <v>Bos taurus taurus</v>
          </cell>
          <cell r="F716" t="str">
            <v>Campylobacter jejuni</v>
          </cell>
          <cell r="G716" t="str">
            <v>exact</v>
          </cell>
          <cell r="H716" t="str">
            <v>CAMP0331(cmeB)_53</v>
          </cell>
          <cell r="I716" t="str">
            <v>CAMP0331(cmeB)</v>
          </cell>
          <cell r="J716">
            <v>53</v>
          </cell>
        </row>
        <row r="717">
          <cell r="A717" t="str">
            <v>SC0894</v>
          </cell>
          <cell r="B717" t="str">
            <v>SRR17925441</v>
          </cell>
          <cell r="C717">
            <v>53</v>
          </cell>
          <cell r="D717">
            <v>21</v>
          </cell>
          <cell r="E717" t="str">
            <v>Bos taurus taurus</v>
          </cell>
          <cell r="F717" t="str">
            <v>Campylobacter jejuni</v>
          </cell>
          <cell r="G717" t="str">
            <v>exact</v>
          </cell>
          <cell r="H717" t="str">
            <v>CAMP0331(cmeB)_604</v>
          </cell>
          <cell r="I717" t="str">
            <v>CAMP0331(cmeB)</v>
          </cell>
          <cell r="J717">
            <v>604</v>
          </cell>
        </row>
        <row r="718">
          <cell r="A718" t="str">
            <v>SC0893</v>
          </cell>
          <cell r="B718" t="str">
            <v>SRR17925442</v>
          </cell>
          <cell r="C718">
            <v>42</v>
          </cell>
          <cell r="D718">
            <v>42</v>
          </cell>
          <cell r="E718" t="str">
            <v>Bos taurus taurus</v>
          </cell>
          <cell r="F718" t="str">
            <v>Campylobacter jejuni</v>
          </cell>
          <cell r="G718" t="str">
            <v>exact</v>
          </cell>
          <cell r="H718" t="str">
            <v>CAMP0331(cmeB)_22</v>
          </cell>
          <cell r="I718" t="str">
            <v>CAMP0331(cmeB)</v>
          </cell>
          <cell r="J718">
            <v>22</v>
          </cell>
        </row>
        <row r="719">
          <cell r="A719" t="str">
            <v>SC0892</v>
          </cell>
          <cell r="B719" t="str">
            <v>SRR17925443</v>
          </cell>
          <cell r="C719">
            <v>53</v>
          </cell>
          <cell r="D719">
            <v>21</v>
          </cell>
          <cell r="E719" t="str">
            <v>Bos taurus taurus</v>
          </cell>
          <cell r="F719" t="str">
            <v>Campylobacter jejuni</v>
          </cell>
          <cell r="G719" t="str">
            <v>exact</v>
          </cell>
          <cell r="H719" t="str">
            <v>CAMP0331(cmeB)_604</v>
          </cell>
          <cell r="I719" t="str">
            <v>CAMP0331(cmeB)</v>
          </cell>
          <cell r="J719">
            <v>604</v>
          </cell>
        </row>
        <row r="720">
          <cell r="A720" t="str">
            <v>SC0538</v>
          </cell>
          <cell r="B720" t="str">
            <v>SRR17925444</v>
          </cell>
          <cell r="C720">
            <v>190</v>
          </cell>
          <cell r="D720">
            <v>21</v>
          </cell>
          <cell r="E720" t="str">
            <v>Homo sapiens</v>
          </cell>
          <cell r="F720" t="str">
            <v>Campylobacter jejuni</v>
          </cell>
          <cell r="G720" t="str">
            <v>exact</v>
          </cell>
          <cell r="H720" t="str">
            <v>CAMP0331(cmeB)_604</v>
          </cell>
          <cell r="I720" t="str">
            <v>CAMP0331(cmeB)</v>
          </cell>
          <cell r="J720">
            <v>604</v>
          </cell>
        </row>
        <row r="721">
          <cell r="A721" t="str">
            <v>SC0891</v>
          </cell>
          <cell r="B721" t="str">
            <v>SRR17925445</v>
          </cell>
          <cell r="C721">
            <v>61</v>
          </cell>
          <cell r="D721">
            <v>61</v>
          </cell>
          <cell r="E721" t="str">
            <v>Bos taurus taurus</v>
          </cell>
          <cell r="F721" t="str">
            <v>Campylobacter jejuni</v>
          </cell>
          <cell r="G721" t="str">
            <v>exact</v>
          </cell>
          <cell r="H721" t="str">
            <v>CAMP0331(cmeB)_14</v>
          </cell>
          <cell r="I721" t="str">
            <v>CAMP0331(cmeB)</v>
          </cell>
          <cell r="J721">
            <v>14</v>
          </cell>
        </row>
        <row r="722">
          <cell r="A722" t="str">
            <v>SC0890</v>
          </cell>
          <cell r="B722" t="str">
            <v>SRR17925446</v>
          </cell>
          <cell r="C722">
            <v>61</v>
          </cell>
          <cell r="D722">
            <v>61</v>
          </cell>
          <cell r="E722" t="str">
            <v>Bos taurus taurus</v>
          </cell>
          <cell r="F722" t="str">
            <v>Campylobacter jejuni</v>
          </cell>
          <cell r="G722" t="str">
            <v>exact</v>
          </cell>
          <cell r="H722" t="str">
            <v>CAMP0331(cmeB)_14</v>
          </cell>
          <cell r="I722" t="str">
            <v>CAMP0331(cmeB)</v>
          </cell>
          <cell r="J722">
            <v>14</v>
          </cell>
        </row>
        <row r="723">
          <cell r="A723" t="str">
            <v>SC0889</v>
          </cell>
          <cell r="B723" t="str">
            <v>SRR17925447</v>
          </cell>
          <cell r="C723">
            <v>583</v>
          </cell>
          <cell r="D723">
            <v>45</v>
          </cell>
          <cell r="E723" t="str">
            <v>Homo sapiens</v>
          </cell>
          <cell r="F723" t="str">
            <v>Campylobacter jejuni</v>
          </cell>
          <cell r="G723" t="str">
            <v>exact</v>
          </cell>
          <cell r="H723" t="str">
            <v>CAMP0331(cmeB)_24</v>
          </cell>
          <cell r="I723" t="str">
            <v>CAMP0331(cmeB)</v>
          </cell>
          <cell r="J723">
            <v>24</v>
          </cell>
        </row>
        <row r="724">
          <cell r="A724" t="str">
            <v>SC0888</v>
          </cell>
          <cell r="B724" t="str">
            <v>SRR17925448</v>
          </cell>
          <cell r="C724">
            <v>3538</v>
          </cell>
          <cell r="D724">
            <v>0</v>
          </cell>
          <cell r="E724" t="str">
            <v>Homo sapiens</v>
          </cell>
          <cell r="F724" t="str">
            <v>Campylobacter jejuni</v>
          </cell>
          <cell r="G724" t="str">
            <v>exact</v>
          </cell>
          <cell r="H724" t="str">
            <v>CAMP0331(cmeB)_14</v>
          </cell>
          <cell r="I724" t="str">
            <v>CAMP0331(cmeB)</v>
          </cell>
          <cell r="J724">
            <v>14</v>
          </cell>
        </row>
        <row r="725">
          <cell r="A725" t="str">
            <v>SC0887</v>
          </cell>
          <cell r="B725" t="str">
            <v>SRR17925449</v>
          </cell>
          <cell r="C725">
            <v>2026</v>
          </cell>
          <cell r="D725">
            <v>403</v>
          </cell>
          <cell r="E725" t="str">
            <v>Homo sapiens</v>
          </cell>
          <cell r="F725" t="str">
            <v>Campylobacter jejuni</v>
          </cell>
          <cell r="G725" t="str">
            <v>exact</v>
          </cell>
          <cell r="H725" t="str">
            <v>CAMP0331(cmeB)_54</v>
          </cell>
          <cell r="I725" t="str">
            <v>CAMP0331(cmeB)</v>
          </cell>
          <cell r="J725">
            <v>54</v>
          </cell>
        </row>
        <row r="726">
          <cell r="A726" t="str">
            <v>SC0886</v>
          </cell>
          <cell r="B726" t="str">
            <v>SRR17925450</v>
          </cell>
          <cell r="C726">
            <v>45</v>
          </cell>
          <cell r="D726">
            <v>45</v>
          </cell>
          <cell r="E726" t="str">
            <v>Homo sapiens</v>
          </cell>
          <cell r="F726" t="str">
            <v>Campylobacter jejuni</v>
          </cell>
          <cell r="G726" t="str">
            <v>exact</v>
          </cell>
          <cell r="H726" t="str">
            <v>CAMP0331(cmeB)_5</v>
          </cell>
          <cell r="I726" t="str">
            <v>CAMP0331(cmeB)</v>
          </cell>
          <cell r="J726">
            <v>5</v>
          </cell>
        </row>
        <row r="727">
          <cell r="A727" t="str">
            <v>SC0883</v>
          </cell>
          <cell r="B727" t="str">
            <v>SRR17925451</v>
          </cell>
          <cell r="C727">
            <v>45</v>
          </cell>
          <cell r="D727">
            <v>45</v>
          </cell>
          <cell r="E727" t="str">
            <v>Homo sapiens</v>
          </cell>
          <cell r="F727" t="str">
            <v>Campylobacter jejuni</v>
          </cell>
          <cell r="G727" t="str">
            <v>exact</v>
          </cell>
          <cell r="H727" t="str">
            <v>CAMP0331(cmeB)_5</v>
          </cell>
          <cell r="I727" t="str">
            <v>CAMP0331(cmeB)</v>
          </cell>
          <cell r="J727">
            <v>5</v>
          </cell>
        </row>
        <row r="728">
          <cell r="A728" t="str">
            <v>SC0882</v>
          </cell>
          <cell r="B728" t="str">
            <v>SRR17925452</v>
          </cell>
          <cell r="C728">
            <v>45</v>
          </cell>
          <cell r="D728">
            <v>45</v>
          </cell>
          <cell r="E728" t="str">
            <v>Homo sapiens</v>
          </cell>
          <cell r="F728" t="str">
            <v>Campylobacter jejuni</v>
          </cell>
          <cell r="G728" t="str">
            <v>exact</v>
          </cell>
          <cell r="H728" t="str">
            <v>CAMP0331(cmeB)_5</v>
          </cell>
          <cell r="I728" t="str">
            <v>CAMP0331(cmeB)</v>
          </cell>
          <cell r="J728">
            <v>5</v>
          </cell>
        </row>
        <row r="729">
          <cell r="A729" t="str">
            <v>SC0881</v>
          </cell>
          <cell r="B729" t="str">
            <v>SRR17925453</v>
          </cell>
          <cell r="C729">
            <v>50</v>
          </cell>
          <cell r="D729">
            <v>21</v>
          </cell>
          <cell r="E729" t="str">
            <v>Homo sapiens</v>
          </cell>
          <cell r="F729" t="str">
            <v>Campylobacter jejuni</v>
          </cell>
          <cell r="G729" t="str">
            <v>exact</v>
          </cell>
          <cell r="H729" t="str">
            <v>CAMP0331(cmeB)_1</v>
          </cell>
          <cell r="I729" t="str">
            <v>CAMP0331(cmeB)</v>
          </cell>
          <cell r="J729">
            <v>1</v>
          </cell>
        </row>
        <row r="730">
          <cell r="A730" t="str">
            <v>SC0880</v>
          </cell>
          <cell r="B730" t="str">
            <v>SRR17925454</v>
          </cell>
          <cell r="C730">
            <v>38</v>
          </cell>
          <cell r="D730">
            <v>48</v>
          </cell>
          <cell r="E730" t="str">
            <v>Homo sapiens</v>
          </cell>
          <cell r="F730" t="str">
            <v>Campylobacter jejuni</v>
          </cell>
          <cell r="G730" t="str">
            <v>exact</v>
          </cell>
          <cell r="H730" t="str">
            <v>CAMP0331(cmeB)_14</v>
          </cell>
          <cell r="I730" t="str">
            <v>CAMP0331(cmeB)</v>
          </cell>
          <cell r="J730">
            <v>14</v>
          </cell>
        </row>
        <row r="731">
          <cell r="A731" t="str">
            <v>SC0537</v>
          </cell>
          <cell r="B731" t="str">
            <v>SRR17925455</v>
          </cell>
          <cell r="C731">
            <v>50</v>
          </cell>
          <cell r="D731">
            <v>21</v>
          </cell>
          <cell r="E731" t="str">
            <v>Homo sapiens</v>
          </cell>
          <cell r="F731" t="str">
            <v>Campylobacter jejuni</v>
          </cell>
          <cell r="G731" t="str">
            <v>exact</v>
          </cell>
          <cell r="H731" t="str">
            <v>CAMP0331(cmeB)_604</v>
          </cell>
          <cell r="I731" t="str">
            <v>CAMP0331(cmeB)</v>
          </cell>
          <cell r="J731">
            <v>604</v>
          </cell>
        </row>
        <row r="732">
          <cell r="A732" t="str">
            <v>SC0879</v>
          </cell>
          <cell r="B732" t="str">
            <v>SRR17925456</v>
          </cell>
          <cell r="C732">
            <v>45</v>
          </cell>
          <cell r="D732">
            <v>45</v>
          </cell>
          <cell r="E732" t="str">
            <v>Homo sapiens</v>
          </cell>
          <cell r="F732" t="str">
            <v>Campylobacter jejuni</v>
          </cell>
          <cell r="G732" t="str">
            <v>exact</v>
          </cell>
          <cell r="H732" t="str">
            <v>CAMP0331(cmeB)_5</v>
          </cell>
          <cell r="I732" t="str">
            <v>CAMP0331(cmeB)</v>
          </cell>
          <cell r="J732">
            <v>5</v>
          </cell>
        </row>
        <row r="733">
          <cell r="A733" t="str">
            <v>SC0878</v>
          </cell>
          <cell r="B733" t="str">
            <v>SRR17925457</v>
          </cell>
          <cell r="C733">
            <v>45</v>
          </cell>
          <cell r="D733">
            <v>45</v>
          </cell>
          <cell r="E733" t="str">
            <v>Homo sapiens</v>
          </cell>
          <cell r="F733" t="str">
            <v>Campylobacter jejuni</v>
          </cell>
          <cell r="G733" t="str">
            <v>exact</v>
          </cell>
          <cell r="H733" t="str">
            <v>CAMP0331(cmeB)_5</v>
          </cell>
          <cell r="I733" t="str">
            <v>CAMP0331(cmeB)</v>
          </cell>
          <cell r="J733">
            <v>5</v>
          </cell>
        </row>
        <row r="734">
          <cell r="A734" t="str">
            <v>SC0627</v>
          </cell>
          <cell r="B734" t="str">
            <v>SRR17925458</v>
          </cell>
          <cell r="C734">
            <v>583</v>
          </cell>
          <cell r="D734">
            <v>45</v>
          </cell>
          <cell r="E734" t="str">
            <v>Homo sapiens</v>
          </cell>
          <cell r="F734" t="str">
            <v>Campylobacter jejuni</v>
          </cell>
          <cell r="G734" t="str">
            <v>exact</v>
          </cell>
          <cell r="H734" t="str">
            <v>CAMP0331(cmeB)_24</v>
          </cell>
          <cell r="I734" t="str">
            <v>CAMP0331(cmeB)</v>
          </cell>
          <cell r="J734">
            <v>24</v>
          </cell>
        </row>
        <row r="735">
          <cell r="A735" t="str">
            <v>SC0626</v>
          </cell>
          <cell r="B735" t="str">
            <v>SRR17925459</v>
          </cell>
          <cell r="C735">
            <v>583</v>
          </cell>
          <cell r="D735">
            <v>45</v>
          </cell>
          <cell r="E735" t="str">
            <v>Homo sapiens</v>
          </cell>
          <cell r="F735" t="str">
            <v>Campylobacter jejuni</v>
          </cell>
          <cell r="G735" t="str">
            <v>exact</v>
          </cell>
          <cell r="H735" t="str">
            <v>CAMP0331(cmeB)_24</v>
          </cell>
          <cell r="I735" t="str">
            <v>CAMP0331(cmeB)</v>
          </cell>
          <cell r="J735">
            <v>24</v>
          </cell>
        </row>
        <row r="736">
          <cell r="A736" t="str">
            <v>SC0625</v>
          </cell>
          <cell r="B736" t="str">
            <v>SRR17925460</v>
          </cell>
          <cell r="C736">
            <v>0</v>
          </cell>
          <cell r="D736">
            <v>0</v>
          </cell>
          <cell r="E736" t="str">
            <v>Homo sapiens</v>
          </cell>
          <cell r="F736" t="str">
            <v>Campylobacter jejuni</v>
          </cell>
          <cell r="G736" t="str">
            <v>exact</v>
          </cell>
          <cell r="H736" t="str">
            <v>CAMP0331(cmeB)_267</v>
          </cell>
          <cell r="I736" t="str">
            <v>CAMP0331(cmeB)</v>
          </cell>
          <cell r="J736">
            <v>267</v>
          </cell>
        </row>
        <row r="737">
          <cell r="A737" t="str">
            <v>SC0624</v>
          </cell>
          <cell r="B737" t="str">
            <v>SRR17925461</v>
          </cell>
          <cell r="C737">
            <v>6964</v>
          </cell>
          <cell r="D737">
            <v>354</v>
          </cell>
          <cell r="E737" t="str">
            <v>Homo sapiens</v>
          </cell>
          <cell r="F737" t="str">
            <v>Campylobacter jejuni</v>
          </cell>
          <cell r="G737" t="str">
            <v>exact</v>
          </cell>
          <cell r="H737" t="str">
            <v>CAMP0331(cmeB)_1451</v>
          </cell>
          <cell r="I737" t="str">
            <v>CAMP0331(cmeB)</v>
          </cell>
          <cell r="J737">
            <v>1451</v>
          </cell>
        </row>
        <row r="738">
          <cell r="A738" t="str">
            <v>SC0623</v>
          </cell>
          <cell r="B738" t="str">
            <v>SRR17925462</v>
          </cell>
          <cell r="C738">
            <v>0</v>
          </cell>
          <cell r="D738">
            <v>0</v>
          </cell>
          <cell r="E738" t="str">
            <v>Homo sapiens</v>
          </cell>
          <cell r="F738" t="str">
            <v>Campylobacter jejuni</v>
          </cell>
          <cell r="G738" t="str">
            <v>exact</v>
          </cell>
          <cell r="H738" t="str">
            <v>CAMP0331(cmeB)_3625</v>
          </cell>
          <cell r="I738" t="str">
            <v>CAMP0331(cmeB)</v>
          </cell>
          <cell r="J738">
            <v>3625</v>
          </cell>
        </row>
        <row r="739">
          <cell r="A739" t="str">
            <v>SC0621</v>
          </cell>
          <cell r="B739" t="str">
            <v>SRR17925464</v>
          </cell>
          <cell r="C739">
            <v>6964</v>
          </cell>
          <cell r="D739">
            <v>354</v>
          </cell>
          <cell r="E739" t="str">
            <v>Gallus gallus</v>
          </cell>
          <cell r="F739" t="str">
            <v>Campylobacter jejuni</v>
          </cell>
          <cell r="G739" t="str">
            <v>exact</v>
          </cell>
          <cell r="H739" t="str">
            <v>CAMP0331(cmeB)_1451</v>
          </cell>
          <cell r="I739" t="str">
            <v>CAMP0331(cmeB)</v>
          </cell>
          <cell r="J739">
            <v>1451</v>
          </cell>
        </row>
        <row r="740">
          <cell r="A740" t="str">
            <v>SC0620</v>
          </cell>
          <cell r="B740" t="str">
            <v>SRR17925466</v>
          </cell>
          <cell r="C740">
            <v>6964</v>
          </cell>
          <cell r="D740">
            <v>354</v>
          </cell>
          <cell r="E740" t="str">
            <v>Gallus gallus</v>
          </cell>
          <cell r="F740" t="str">
            <v>Campylobacter jejuni</v>
          </cell>
          <cell r="G740" t="str">
            <v>exact</v>
          </cell>
          <cell r="H740" t="str">
            <v>CAMP0331(cmeB)_1451</v>
          </cell>
          <cell r="I740" t="str">
            <v>CAMP0331(cmeB)</v>
          </cell>
          <cell r="J740">
            <v>1451</v>
          </cell>
        </row>
        <row r="741">
          <cell r="A741" t="str">
            <v>SC0619</v>
          </cell>
          <cell r="B741" t="str">
            <v>SRR17925467</v>
          </cell>
          <cell r="C741">
            <v>6964</v>
          </cell>
          <cell r="D741">
            <v>354</v>
          </cell>
          <cell r="E741" t="str">
            <v>Gallus gallus</v>
          </cell>
          <cell r="F741" t="str">
            <v>Campylobacter jejuni</v>
          </cell>
          <cell r="G741" t="str">
            <v>exact</v>
          </cell>
          <cell r="H741" t="str">
            <v>CAMP0331(cmeB)_1451</v>
          </cell>
          <cell r="I741" t="str">
            <v>CAMP0331(cmeB)</v>
          </cell>
          <cell r="J741">
            <v>1451</v>
          </cell>
        </row>
        <row r="742">
          <cell r="A742" t="str">
            <v>SC0617</v>
          </cell>
          <cell r="B742" t="str">
            <v>SRR17925469</v>
          </cell>
          <cell r="C742">
            <v>48</v>
          </cell>
          <cell r="D742">
            <v>48</v>
          </cell>
          <cell r="E742" t="str">
            <v>Gallus gallus</v>
          </cell>
          <cell r="F742" t="str">
            <v>Campylobacter jejuni</v>
          </cell>
          <cell r="G742" t="str">
            <v>exact</v>
          </cell>
          <cell r="H742" t="str">
            <v>CAMP0331(cmeB)_94</v>
          </cell>
          <cell r="I742" t="str">
            <v>CAMP0331(cmeB)</v>
          </cell>
          <cell r="J742">
            <v>94</v>
          </cell>
        </row>
        <row r="743">
          <cell r="A743" t="str">
            <v>SC0616</v>
          </cell>
          <cell r="B743" t="str">
            <v>SRR17925470</v>
          </cell>
          <cell r="C743">
            <v>6964</v>
          </cell>
          <cell r="D743">
            <v>354</v>
          </cell>
          <cell r="E743" t="str">
            <v>Gallus gallus</v>
          </cell>
          <cell r="F743" t="str">
            <v>Campylobacter jejuni</v>
          </cell>
          <cell r="G743" t="str">
            <v>exact</v>
          </cell>
          <cell r="H743" t="str">
            <v>CAMP0331(cmeB)_1451</v>
          </cell>
          <cell r="I743" t="str">
            <v>CAMP0331(cmeB)</v>
          </cell>
          <cell r="J743">
            <v>1451</v>
          </cell>
        </row>
        <row r="744">
          <cell r="A744" t="str">
            <v>SC0615</v>
          </cell>
          <cell r="B744" t="str">
            <v>SRR17925471</v>
          </cell>
          <cell r="C744">
            <v>4337</v>
          </cell>
          <cell r="D744">
            <v>21</v>
          </cell>
          <cell r="E744" t="str">
            <v>Gallus gallus</v>
          </cell>
          <cell r="F744" t="str">
            <v>Campylobacter jejuni</v>
          </cell>
          <cell r="G744" t="str">
            <v>exact</v>
          </cell>
          <cell r="H744" t="str">
            <v>CAMP0331(cmeB)_604</v>
          </cell>
          <cell r="I744" t="str">
            <v>CAMP0331(cmeB)</v>
          </cell>
          <cell r="J744">
            <v>604</v>
          </cell>
        </row>
        <row r="745">
          <cell r="A745" t="str">
            <v>SC0614</v>
          </cell>
          <cell r="B745" t="str">
            <v>SRR17925472</v>
          </cell>
          <cell r="C745">
            <v>6964</v>
          </cell>
          <cell r="D745">
            <v>354</v>
          </cell>
          <cell r="E745" t="str">
            <v>Gallus gallus</v>
          </cell>
          <cell r="F745" t="str">
            <v>Campylobacter jejuni</v>
          </cell>
          <cell r="G745" t="str">
            <v>exact</v>
          </cell>
          <cell r="H745" t="str">
            <v>CAMP0331(cmeB)_1451</v>
          </cell>
          <cell r="I745" t="str">
            <v>CAMP0331(cmeB)</v>
          </cell>
          <cell r="J745">
            <v>1451</v>
          </cell>
        </row>
        <row r="746">
          <cell r="A746" t="str">
            <v>SC0612</v>
          </cell>
          <cell r="B746" t="str">
            <v>SRR17925474</v>
          </cell>
          <cell r="C746">
            <v>6964</v>
          </cell>
          <cell r="D746">
            <v>354</v>
          </cell>
          <cell r="E746" t="str">
            <v>Gallus gallus</v>
          </cell>
          <cell r="F746" t="str">
            <v>Campylobacter jejuni</v>
          </cell>
          <cell r="G746" t="str">
            <v>exact</v>
          </cell>
          <cell r="H746" t="str">
            <v>CAMP0331(cmeB)_1451</v>
          </cell>
          <cell r="I746" t="str">
            <v>CAMP0331(cmeB)</v>
          </cell>
          <cell r="J746">
            <v>1451</v>
          </cell>
        </row>
        <row r="747">
          <cell r="A747" t="str">
            <v>SC0611</v>
          </cell>
          <cell r="B747" t="str">
            <v>SRR17925475</v>
          </cell>
          <cell r="C747">
            <v>48</v>
          </cell>
          <cell r="D747">
            <v>48</v>
          </cell>
          <cell r="E747" t="str">
            <v>Gallus gallus</v>
          </cell>
          <cell r="F747" t="str">
            <v>Campylobacter jejuni</v>
          </cell>
          <cell r="G747" t="str">
            <v>exact</v>
          </cell>
          <cell r="H747" t="str">
            <v>CAMP0331(cmeB)_94</v>
          </cell>
          <cell r="I747" t="str">
            <v>CAMP0331(cmeB)</v>
          </cell>
          <cell r="J747">
            <v>94</v>
          </cell>
        </row>
        <row r="748">
          <cell r="A748" t="str">
            <v>SC0512</v>
          </cell>
          <cell r="B748" t="str">
            <v>SRR17925476</v>
          </cell>
          <cell r="C748">
            <v>436</v>
          </cell>
          <cell r="D748">
            <v>0</v>
          </cell>
          <cell r="E748" t="str">
            <v>Homo sapiens</v>
          </cell>
          <cell r="F748" t="str">
            <v>Campylobacter jejuni</v>
          </cell>
          <cell r="G748" t="str">
            <v>exact</v>
          </cell>
          <cell r="H748" t="str">
            <v>CAMP0331(cmeB)_252</v>
          </cell>
          <cell r="I748" t="str">
            <v>CAMP0331(cmeB)</v>
          </cell>
          <cell r="J748">
            <v>252</v>
          </cell>
        </row>
        <row r="749">
          <cell r="A749" t="str">
            <v>SC0610</v>
          </cell>
          <cell r="B749" t="str">
            <v>SRR17925477</v>
          </cell>
          <cell r="C749">
            <v>1517</v>
          </cell>
          <cell r="D749">
            <v>354</v>
          </cell>
          <cell r="E749" t="str">
            <v>Gallus gallus</v>
          </cell>
          <cell r="F749" t="str">
            <v>Campylobacter jejuni</v>
          </cell>
          <cell r="G749" t="str">
            <v>exact</v>
          </cell>
          <cell r="H749" t="str">
            <v>CAMP0331(cmeB)_233</v>
          </cell>
          <cell r="I749" t="str">
            <v>CAMP0331(cmeB)</v>
          </cell>
          <cell r="J749">
            <v>233</v>
          </cell>
        </row>
        <row r="750">
          <cell r="A750" t="str">
            <v>SC0609</v>
          </cell>
          <cell r="B750" t="str">
            <v>SRR17925478</v>
          </cell>
          <cell r="C750">
            <v>48</v>
          </cell>
          <cell r="D750">
            <v>48</v>
          </cell>
          <cell r="E750" t="str">
            <v>Gallus gallus</v>
          </cell>
          <cell r="F750" t="str">
            <v>Campylobacter jejuni</v>
          </cell>
          <cell r="G750" t="str">
            <v>exact</v>
          </cell>
          <cell r="H750" t="str">
            <v>CAMP0331(cmeB)_94</v>
          </cell>
          <cell r="I750" t="str">
            <v>CAMP0331(cmeB)</v>
          </cell>
          <cell r="J750">
            <v>94</v>
          </cell>
        </row>
        <row r="751">
          <cell r="A751" t="str">
            <v>SC0608</v>
          </cell>
          <cell r="B751" t="str">
            <v>SRR17925479</v>
          </cell>
          <cell r="C751">
            <v>48</v>
          </cell>
          <cell r="D751">
            <v>48</v>
          </cell>
          <cell r="E751" t="str">
            <v>Gallus gallus</v>
          </cell>
          <cell r="F751" t="str">
            <v>Campylobacter jejuni</v>
          </cell>
          <cell r="G751" t="str">
            <v>exact</v>
          </cell>
          <cell r="H751" t="str">
            <v>CAMP0331(cmeB)_94</v>
          </cell>
          <cell r="I751" t="str">
            <v>CAMP0331(cmeB)</v>
          </cell>
          <cell r="J751">
            <v>94</v>
          </cell>
        </row>
        <row r="752">
          <cell r="A752" t="str">
            <v>SC0607</v>
          </cell>
          <cell r="B752" t="str">
            <v>SRR17925480</v>
          </cell>
          <cell r="C752">
            <v>227</v>
          </cell>
          <cell r="D752">
            <v>206</v>
          </cell>
          <cell r="E752" t="str">
            <v>Gallus gallus</v>
          </cell>
          <cell r="F752" t="str">
            <v>Campylobacter jejuni</v>
          </cell>
          <cell r="G752" t="str">
            <v>exact</v>
          </cell>
          <cell r="H752" t="str">
            <v>CAMP0331(cmeB)_1</v>
          </cell>
          <cell r="I752" t="str">
            <v>CAMP0331(cmeB)</v>
          </cell>
          <cell r="J752">
            <v>1</v>
          </cell>
        </row>
        <row r="753">
          <cell r="A753" t="str">
            <v>SC0606</v>
          </cell>
          <cell r="B753" t="str">
            <v>SRR17925481</v>
          </cell>
          <cell r="C753">
            <v>6964</v>
          </cell>
          <cell r="D753">
            <v>354</v>
          </cell>
          <cell r="E753" t="str">
            <v>Gallus gallus</v>
          </cell>
          <cell r="F753" t="str">
            <v>Campylobacter jejuni</v>
          </cell>
          <cell r="G753" t="str">
            <v>exact</v>
          </cell>
          <cell r="H753" t="str">
            <v>CAMP0331(cmeB)_1451</v>
          </cell>
          <cell r="I753" t="str">
            <v>CAMP0331(cmeB)</v>
          </cell>
          <cell r="J753">
            <v>1451</v>
          </cell>
        </row>
        <row r="754">
          <cell r="A754" t="str">
            <v>SC0605</v>
          </cell>
          <cell r="B754" t="str">
            <v>SRR17925482</v>
          </cell>
          <cell r="C754">
            <v>583</v>
          </cell>
          <cell r="D754">
            <v>45</v>
          </cell>
          <cell r="E754" t="str">
            <v>Gallus gallus</v>
          </cell>
          <cell r="F754" t="str">
            <v>Campylobacter jejuni</v>
          </cell>
          <cell r="G754" t="str">
            <v>exact</v>
          </cell>
          <cell r="H754" t="str">
            <v>CAMP0331(cmeB)_24</v>
          </cell>
          <cell r="I754" t="str">
            <v>CAMP0331(cmeB)</v>
          </cell>
          <cell r="J754">
            <v>24</v>
          </cell>
        </row>
        <row r="755">
          <cell r="A755" t="str">
            <v>SC0604</v>
          </cell>
          <cell r="B755" t="str">
            <v>SRR17925483</v>
          </cell>
          <cell r="C755">
            <v>583</v>
          </cell>
          <cell r="D755">
            <v>45</v>
          </cell>
          <cell r="E755" t="str">
            <v>Gallus gallus</v>
          </cell>
          <cell r="F755" t="str">
            <v>Campylobacter jejuni</v>
          </cell>
          <cell r="G755" t="str">
            <v>exact</v>
          </cell>
          <cell r="H755" t="str">
            <v>CAMP0331(cmeB)_24</v>
          </cell>
          <cell r="I755" t="str">
            <v>CAMP0331(cmeB)</v>
          </cell>
          <cell r="J755">
            <v>24</v>
          </cell>
        </row>
        <row r="756">
          <cell r="A756" t="str">
            <v>SC0603</v>
          </cell>
          <cell r="B756" t="str">
            <v>SRR17925484</v>
          </cell>
          <cell r="C756">
            <v>50</v>
          </cell>
          <cell r="D756">
            <v>21</v>
          </cell>
          <cell r="E756" t="str">
            <v>Gallus gallus</v>
          </cell>
          <cell r="F756" t="str">
            <v>Campylobacter jejuni</v>
          </cell>
          <cell r="G756" t="str">
            <v>exact</v>
          </cell>
          <cell r="H756" t="str">
            <v>CAMP0331(cmeB)_1</v>
          </cell>
          <cell r="I756" t="str">
            <v>CAMP0331(cmeB)</v>
          </cell>
          <cell r="J756">
            <v>1</v>
          </cell>
        </row>
        <row r="757">
          <cell r="A757" t="str">
            <v>SC0601</v>
          </cell>
          <cell r="B757" t="str">
            <v>SRR17925486</v>
          </cell>
          <cell r="C757">
            <v>583</v>
          </cell>
          <cell r="D757">
            <v>45</v>
          </cell>
          <cell r="E757" t="str">
            <v>Gallus gallus</v>
          </cell>
          <cell r="F757" t="str">
            <v>Campylobacter jejuni</v>
          </cell>
          <cell r="G757" t="str">
            <v>exact</v>
          </cell>
          <cell r="H757" t="str">
            <v>CAMP0331(cmeB)_24</v>
          </cell>
          <cell r="I757" t="str">
            <v>CAMP0331(cmeB)</v>
          </cell>
          <cell r="J757">
            <v>24</v>
          </cell>
        </row>
        <row r="758">
          <cell r="A758" t="str">
            <v>SC0511</v>
          </cell>
          <cell r="B758" t="str">
            <v>SRR17925487</v>
          </cell>
          <cell r="C758">
            <v>6964</v>
          </cell>
          <cell r="D758">
            <v>354</v>
          </cell>
          <cell r="E758" t="str">
            <v>Homo sapiens</v>
          </cell>
          <cell r="F758" t="str">
            <v>Campylobacter jejuni</v>
          </cell>
          <cell r="G758" t="str">
            <v>exact</v>
          </cell>
          <cell r="H758" t="str">
            <v>CAMP0331(cmeB)_1451</v>
          </cell>
          <cell r="I758" t="str">
            <v>CAMP0331(cmeB)</v>
          </cell>
          <cell r="J758">
            <v>1451</v>
          </cell>
        </row>
        <row r="759">
          <cell r="A759" t="str">
            <v>SC0502</v>
          </cell>
          <cell r="B759" t="str">
            <v>SRR17925488</v>
          </cell>
          <cell r="C759">
            <v>1956</v>
          </cell>
          <cell r="D759">
            <v>1034</v>
          </cell>
          <cell r="E759" t="str">
            <v>Homo sapiens</v>
          </cell>
          <cell r="F759" t="str">
            <v>Campylobacter jejuni</v>
          </cell>
          <cell r="G759" t="str">
            <v>exact</v>
          </cell>
          <cell r="H759" t="str">
            <v>CAMP0331(cmeB)_534</v>
          </cell>
          <cell r="I759" t="str">
            <v>CAMP0331(cmeB)</v>
          </cell>
          <cell r="J759">
            <v>534</v>
          </cell>
        </row>
        <row r="760">
          <cell r="A760" t="str">
            <v>SC0501</v>
          </cell>
          <cell r="B760" t="str">
            <v>SRR17925489</v>
          </cell>
          <cell r="C760">
            <v>6964</v>
          </cell>
          <cell r="D760">
            <v>354</v>
          </cell>
          <cell r="E760" t="str">
            <v>Gallus gallus</v>
          </cell>
          <cell r="F760" t="str">
            <v>Campylobacter jejuni</v>
          </cell>
          <cell r="G760" t="str">
            <v>exact</v>
          </cell>
          <cell r="H760" t="str">
            <v>CAMP0331(cmeB)_1451</v>
          </cell>
          <cell r="I760" t="str">
            <v>CAMP0331(cmeB)</v>
          </cell>
          <cell r="J760">
            <v>1451</v>
          </cell>
        </row>
        <row r="761">
          <cell r="A761" t="str">
            <v>SC0060</v>
          </cell>
          <cell r="B761" t="str">
            <v>SRR17926684</v>
          </cell>
          <cell r="C761">
            <v>227</v>
          </cell>
          <cell r="D761">
            <v>206</v>
          </cell>
          <cell r="E761" t="str">
            <v>Homo sapiens</v>
          </cell>
          <cell r="F761" t="str">
            <v>Campylobacter jejuni</v>
          </cell>
          <cell r="G761" t="str">
            <v>exact</v>
          </cell>
          <cell r="H761" t="str">
            <v>CAMP0331(cmeB)_1</v>
          </cell>
          <cell r="I761" t="str">
            <v>CAMP0331(cmeB)</v>
          </cell>
          <cell r="J761">
            <v>1</v>
          </cell>
        </row>
        <row r="762">
          <cell r="A762" t="str">
            <v>SC0059</v>
          </cell>
          <cell r="B762" t="str">
            <v>SRR17926685</v>
          </cell>
          <cell r="C762">
            <v>436</v>
          </cell>
          <cell r="D762">
            <v>0</v>
          </cell>
          <cell r="E762" t="str">
            <v>Homo sapiens</v>
          </cell>
          <cell r="F762" t="str">
            <v>Campylobacter jejuni</v>
          </cell>
          <cell r="G762" t="str">
            <v>exact</v>
          </cell>
          <cell r="H762" t="str">
            <v>CAMP0331(cmeB)_252</v>
          </cell>
          <cell r="I762" t="str">
            <v>CAMP0331(cmeB)</v>
          </cell>
          <cell r="J762">
            <v>252</v>
          </cell>
        </row>
        <row r="763">
          <cell r="A763" t="str">
            <v>SC0058</v>
          </cell>
          <cell r="B763" t="str">
            <v>SRR17926686</v>
          </cell>
          <cell r="C763">
            <v>677</v>
          </cell>
          <cell r="D763">
            <v>677</v>
          </cell>
          <cell r="E763" t="str">
            <v>Homo sapiens</v>
          </cell>
          <cell r="F763" t="str">
            <v>Campylobacter jejuni</v>
          </cell>
          <cell r="G763" t="str">
            <v>exact</v>
          </cell>
          <cell r="H763" t="str">
            <v>CAMP0331(cmeB)_39</v>
          </cell>
          <cell r="I763" t="str">
            <v>CAMP0331(cmeB)</v>
          </cell>
          <cell r="J763">
            <v>39</v>
          </cell>
        </row>
        <row r="764">
          <cell r="A764" t="str">
            <v>SC0057</v>
          </cell>
          <cell r="B764" t="str">
            <v>SRR17926687</v>
          </cell>
          <cell r="C764">
            <v>227</v>
          </cell>
          <cell r="D764">
            <v>206</v>
          </cell>
          <cell r="E764" t="str">
            <v>Homo sapiens</v>
          </cell>
          <cell r="F764" t="str">
            <v>Campylobacter jejuni</v>
          </cell>
          <cell r="G764" t="str">
            <v>exact</v>
          </cell>
          <cell r="H764" t="str">
            <v>CAMP0331(cmeB)_1</v>
          </cell>
          <cell r="I764" t="str">
            <v>CAMP0331(cmeB)</v>
          </cell>
          <cell r="J764">
            <v>1</v>
          </cell>
        </row>
        <row r="765">
          <cell r="A765" t="str">
            <v>SC0056</v>
          </cell>
          <cell r="B765" t="str">
            <v>SRR17926688</v>
          </cell>
          <cell r="C765">
            <v>508</v>
          </cell>
          <cell r="D765">
            <v>508</v>
          </cell>
          <cell r="E765" t="str">
            <v>Homo sapiens</v>
          </cell>
          <cell r="F765" t="str">
            <v>Campylobacter jejuni</v>
          </cell>
          <cell r="G765" t="str">
            <v>exact</v>
          </cell>
          <cell r="H765" t="str">
            <v>CAMP0331(cmeB)_1491</v>
          </cell>
          <cell r="I765" t="str">
            <v>CAMP0331(cmeB)</v>
          </cell>
          <cell r="J765">
            <v>1491</v>
          </cell>
        </row>
        <row r="766">
          <cell r="A766" t="str">
            <v>SC0099</v>
          </cell>
          <cell r="B766" t="str">
            <v>SRR17926690</v>
          </cell>
          <cell r="C766">
            <v>42</v>
          </cell>
          <cell r="D766">
            <v>42</v>
          </cell>
          <cell r="E766" t="str">
            <v>Homo sapiens</v>
          </cell>
          <cell r="F766" t="str">
            <v>Campylobacter jejuni</v>
          </cell>
          <cell r="G766" t="str">
            <v>exact</v>
          </cell>
          <cell r="H766" t="str">
            <v>CAMP0331(cmeB)_22</v>
          </cell>
          <cell r="I766" t="str">
            <v>CAMP0331(cmeB)</v>
          </cell>
          <cell r="J766">
            <v>22</v>
          </cell>
        </row>
        <row r="767">
          <cell r="A767" t="str">
            <v>SC0097</v>
          </cell>
          <cell r="B767" t="str">
            <v>SRR17926692</v>
          </cell>
          <cell r="C767">
            <v>190</v>
          </cell>
          <cell r="D767">
            <v>21</v>
          </cell>
          <cell r="E767" t="str">
            <v>Homo sapiens</v>
          </cell>
          <cell r="F767" t="str">
            <v>Campylobacter jejuni</v>
          </cell>
          <cell r="G767" t="str">
            <v>exact</v>
          </cell>
          <cell r="H767" t="str">
            <v>CAMP0331(cmeB)_604</v>
          </cell>
          <cell r="I767" t="str">
            <v>CAMP0331(cmeB)</v>
          </cell>
          <cell r="J767">
            <v>604</v>
          </cell>
        </row>
        <row r="768">
          <cell r="A768" t="str">
            <v>SC0096</v>
          </cell>
          <cell r="B768" t="str">
            <v>SRR17926693</v>
          </cell>
          <cell r="C768">
            <v>53</v>
          </cell>
          <cell r="D768">
            <v>21</v>
          </cell>
          <cell r="E768" t="str">
            <v>Homo sapiens</v>
          </cell>
          <cell r="F768" t="str">
            <v>Campylobacter jejuni</v>
          </cell>
          <cell r="G768" t="str">
            <v>exact</v>
          </cell>
          <cell r="H768" t="str">
            <v>CAMP0331(cmeB)_604</v>
          </cell>
          <cell r="I768" t="str">
            <v>CAMP0331(cmeB)</v>
          </cell>
          <cell r="J768">
            <v>604</v>
          </cell>
        </row>
        <row r="769">
          <cell r="A769" t="str">
            <v>SC0095</v>
          </cell>
          <cell r="B769" t="str">
            <v>SRR17926694</v>
          </cell>
          <cell r="C769">
            <v>48</v>
          </cell>
          <cell r="D769">
            <v>48</v>
          </cell>
          <cell r="E769" t="str">
            <v>Homo sapiens</v>
          </cell>
          <cell r="F769" t="str">
            <v>Campylobacter jejuni</v>
          </cell>
          <cell r="G769" t="str">
            <v>exact</v>
          </cell>
          <cell r="H769" t="str">
            <v>CAMP0331(cmeB)_94</v>
          </cell>
          <cell r="I769" t="str">
            <v>CAMP0331(cmeB)</v>
          </cell>
          <cell r="J769">
            <v>94</v>
          </cell>
        </row>
        <row r="770">
          <cell r="A770" t="str">
            <v>SC0094</v>
          </cell>
          <cell r="B770" t="str">
            <v>SRR17926695</v>
          </cell>
          <cell r="C770">
            <v>474</v>
          </cell>
          <cell r="D770">
            <v>48</v>
          </cell>
          <cell r="E770" t="str">
            <v>Homo sapiens</v>
          </cell>
          <cell r="F770" t="str">
            <v>Campylobacter jejuni</v>
          </cell>
          <cell r="G770" t="str">
            <v>exact</v>
          </cell>
          <cell r="H770" t="str">
            <v>CAMP0331(cmeB)_1</v>
          </cell>
          <cell r="I770" t="str">
            <v>CAMP0331(cmeB)</v>
          </cell>
          <cell r="J770">
            <v>1</v>
          </cell>
        </row>
        <row r="771">
          <cell r="A771" t="str">
            <v>SC0093</v>
          </cell>
          <cell r="B771" t="str">
            <v>SRR17926696</v>
          </cell>
          <cell r="C771">
            <v>508</v>
          </cell>
          <cell r="D771">
            <v>508</v>
          </cell>
          <cell r="E771" t="str">
            <v>Homo sapiens</v>
          </cell>
          <cell r="F771" t="str">
            <v>Campylobacter jejuni</v>
          </cell>
          <cell r="G771" t="str">
            <v>exact</v>
          </cell>
          <cell r="H771" t="str">
            <v>CAMP0331(cmeB)_43</v>
          </cell>
          <cell r="I771" t="str">
            <v>CAMP0331(cmeB)</v>
          </cell>
          <cell r="J771">
            <v>43</v>
          </cell>
        </row>
        <row r="772">
          <cell r="A772" t="str">
            <v>SC0092</v>
          </cell>
          <cell r="B772" t="str">
            <v>SRR17926697</v>
          </cell>
          <cell r="C772">
            <v>53</v>
          </cell>
          <cell r="D772">
            <v>21</v>
          </cell>
          <cell r="E772" t="str">
            <v>Bos taurus taurus</v>
          </cell>
          <cell r="F772" t="str">
            <v>Campylobacter jejuni</v>
          </cell>
          <cell r="G772" t="str">
            <v>exact</v>
          </cell>
          <cell r="H772" t="str">
            <v>CAMP0331(cmeB)_604</v>
          </cell>
          <cell r="I772" t="str">
            <v>CAMP0331(cmeB)</v>
          </cell>
          <cell r="J772">
            <v>604</v>
          </cell>
        </row>
        <row r="773">
          <cell r="A773" t="str">
            <v>SC0055</v>
          </cell>
          <cell r="B773" t="str">
            <v>SRR17926698</v>
          </cell>
          <cell r="C773">
            <v>50</v>
          </cell>
          <cell r="D773">
            <v>21</v>
          </cell>
          <cell r="E773" t="str">
            <v>Homo sapiens</v>
          </cell>
          <cell r="F773" t="str">
            <v>Campylobacter jejuni</v>
          </cell>
          <cell r="G773" t="str">
            <v>exact</v>
          </cell>
          <cell r="H773" t="str">
            <v>CAMP0331(cmeB)_637</v>
          </cell>
          <cell r="I773" t="str">
            <v>CAMP0331(cmeB)</v>
          </cell>
          <cell r="J773">
            <v>637</v>
          </cell>
        </row>
        <row r="774">
          <cell r="A774" t="str">
            <v>SC0091</v>
          </cell>
          <cell r="B774" t="str">
            <v>SRR17926699</v>
          </cell>
          <cell r="C774">
            <v>3072</v>
          </cell>
          <cell r="D774">
            <v>828</v>
          </cell>
          <cell r="E774" t="str">
            <v>Bos taurus taurus</v>
          </cell>
          <cell r="F774" t="str">
            <v>Campylobacter coli</v>
          </cell>
          <cell r="G774" t="str">
            <v>exact</v>
          </cell>
          <cell r="H774" t="str">
            <v>CAMP0331(cmeB)_1205</v>
          </cell>
          <cell r="I774" t="str">
            <v>CAMP0331(cmeB)</v>
          </cell>
          <cell r="J774">
            <v>1205</v>
          </cell>
        </row>
        <row r="775">
          <cell r="A775" t="str">
            <v>SC0090</v>
          </cell>
          <cell r="B775" t="str">
            <v>SRR17926700</v>
          </cell>
          <cell r="C775">
            <v>618</v>
          </cell>
          <cell r="D775">
            <v>61</v>
          </cell>
          <cell r="E775" t="str">
            <v>Bos taurus taurus</v>
          </cell>
          <cell r="F775" t="str">
            <v>Campylobacter jejuni</v>
          </cell>
          <cell r="G775" t="str">
            <v>exact</v>
          </cell>
          <cell r="H775" t="str">
            <v>CAMP0331(cmeB)_14</v>
          </cell>
          <cell r="I775" t="str">
            <v>CAMP0331(cmeB)</v>
          </cell>
          <cell r="J775">
            <v>14</v>
          </cell>
        </row>
        <row r="776">
          <cell r="A776" t="str">
            <v>SC0089</v>
          </cell>
          <cell r="B776" t="str">
            <v>SRR17926701</v>
          </cell>
          <cell r="C776">
            <v>137</v>
          </cell>
          <cell r="D776">
            <v>45</v>
          </cell>
          <cell r="E776" t="str">
            <v>Bos taurus taurus</v>
          </cell>
          <cell r="F776" t="str">
            <v>Campylobacter jejuni</v>
          </cell>
          <cell r="G776" t="str">
            <v>exact</v>
          </cell>
          <cell r="H776" t="str">
            <v>CAMP0331(cmeB)_27</v>
          </cell>
          <cell r="I776" t="str">
            <v>CAMP0331(cmeB)</v>
          </cell>
          <cell r="J776">
            <v>27</v>
          </cell>
        </row>
        <row r="777">
          <cell r="A777" t="str">
            <v>SC0088</v>
          </cell>
          <cell r="B777" t="str">
            <v>SRR17926702</v>
          </cell>
          <cell r="C777">
            <v>61</v>
          </cell>
          <cell r="D777">
            <v>61</v>
          </cell>
          <cell r="E777" t="str">
            <v>Bos taurus taurus</v>
          </cell>
          <cell r="F777" t="str">
            <v>Campylobacter jejuni</v>
          </cell>
          <cell r="G777" t="str">
            <v>exact</v>
          </cell>
          <cell r="H777" t="str">
            <v>CAMP0331(cmeB)_14</v>
          </cell>
          <cell r="I777" t="str">
            <v>CAMP0331(cmeB)</v>
          </cell>
          <cell r="J777">
            <v>14</v>
          </cell>
        </row>
        <row r="778">
          <cell r="A778" t="str">
            <v>SC0087</v>
          </cell>
          <cell r="B778" t="str">
            <v>SRR17926703</v>
          </cell>
          <cell r="C778">
            <v>3222</v>
          </cell>
          <cell r="D778">
            <v>0</v>
          </cell>
          <cell r="E778" t="str">
            <v>Bos taurus taurus</v>
          </cell>
          <cell r="F778" t="str">
            <v>Campylobacter coli</v>
          </cell>
          <cell r="G778" t="str">
            <v>exact</v>
          </cell>
          <cell r="H778" t="str">
            <v>CAMP0331(cmeB)_1205</v>
          </cell>
          <cell r="I778" t="str">
            <v>CAMP0331(cmeB)</v>
          </cell>
          <cell r="J778">
            <v>1205</v>
          </cell>
        </row>
        <row r="779">
          <cell r="A779" t="str">
            <v>SC0086</v>
          </cell>
          <cell r="B779" t="str">
            <v>SRR17926704</v>
          </cell>
          <cell r="C779">
            <v>3222</v>
          </cell>
          <cell r="D779">
            <v>0</v>
          </cell>
          <cell r="E779" t="str">
            <v>Bos taurus taurus</v>
          </cell>
          <cell r="F779" t="str">
            <v>Campylobacter coli</v>
          </cell>
          <cell r="G779" t="str">
            <v>exact</v>
          </cell>
          <cell r="H779" t="str">
            <v>CAMP0331(cmeB)_1205</v>
          </cell>
          <cell r="I779" t="str">
            <v>CAMP0331(cmeB)</v>
          </cell>
          <cell r="J779">
            <v>1205</v>
          </cell>
        </row>
        <row r="780">
          <cell r="A780" t="str">
            <v>SC0085</v>
          </cell>
          <cell r="B780" t="str">
            <v>SRR17926705</v>
          </cell>
          <cell r="C780">
            <v>53</v>
          </cell>
          <cell r="D780">
            <v>21</v>
          </cell>
          <cell r="E780" t="str">
            <v>Bos taurus taurus</v>
          </cell>
          <cell r="F780" t="str">
            <v>Campylobacter jejuni</v>
          </cell>
          <cell r="G780" t="str">
            <v>exact</v>
          </cell>
          <cell r="H780" t="str">
            <v>CAMP0331(cmeB)_604</v>
          </cell>
          <cell r="I780" t="str">
            <v>CAMP0331(cmeB)</v>
          </cell>
          <cell r="J780">
            <v>604</v>
          </cell>
        </row>
        <row r="781">
          <cell r="A781" t="str">
            <v>SC0084</v>
          </cell>
          <cell r="B781" t="str">
            <v>SRR17926706</v>
          </cell>
          <cell r="C781">
            <v>1030</v>
          </cell>
          <cell r="D781">
            <v>0</v>
          </cell>
          <cell r="E781" t="str">
            <v>Bos taurus taurus</v>
          </cell>
          <cell r="F781" t="str">
            <v>Campylobacter jejuni</v>
          </cell>
          <cell r="G781" t="str">
            <v>exact</v>
          </cell>
          <cell r="H781" t="str">
            <v>CAMP0331(cmeB)_636</v>
          </cell>
          <cell r="I781" t="str">
            <v>CAMP0331(cmeB)</v>
          </cell>
          <cell r="J781">
            <v>636</v>
          </cell>
        </row>
        <row r="782">
          <cell r="A782" t="str">
            <v>SC0082</v>
          </cell>
          <cell r="B782" t="str">
            <v>SRR17926708</v>
          </cell>
          <cell r="C782">
            <v>48</v>
          </cell>
          <cell r="D782">
            <v>48</v>
          </cell>
          <cell r="E782" t="str">
            <v>Gallus gallus</v>
          </cell>
          <cell r="F782" t="str">
            <v>Campylobacter jejuni</v>
          </cell>
          <cell r="G782" t="str">
            <v>exact</v>
          </cell>
          <cell r="H782" t="str">
            <v>CAMP0331(cmeB)_94</v>
          </cell>
          <cell r="I782" t="str">
            <v>CAMP0331(cmeB)</v>
          </cell>
          <cell r="J782">
            <v>94</v>
          </cell>
        </row>
        <row r="783">
          <cell r="A783" t="str">
            <v>SC0054</v>
          </cell>
          <cell r="B783" t="str">
            <v>SRR17926709</v>
          </cell>
          <cell r="C783">
            <v>50</v>
          </cell>
          <cell r="D783">
            <v>21</v>
          </cell>
          <cell r="E783" t="str">
            <v>Homo sapiens</v>
          </cell>
          <cell r="F783" t="str">
            <v>Campylobacter jejuni</v>
          </cell>
          <cell r="G783" t="str">
            <v>exact</v>
          </cell>
          <cell r="H783" t="str">
            <v>CAMP0331(cmeB)_637</v>
          </cell>
          <cell r="I783" t="str">
            <v>CAMP0331(cmeB)</v>
          </cell>
          <cell r="J783">
            <v>637</v>
          </cell>
        </row>
        <row r="784">
          <cell r="A784" t="str">
            <v>SC0081</v>
          </cell>
          <cell r="B784" t="str">
            <v>SRR17926710</v>
          </cell>
          <cell r="C784">
            <v>6964</v>
          </cell>
          <cell r="D784">
            <v>354</v>
          </cell>
          <cell r="E784" t="str">
            <v>Gallus gallus</v>
          </cell>
          <cell r="F784" t="str">
            <v>Campylobacter jejuni</v>
          </cell>
          <cell r="G784" t="str">
            <v>exact</v>
          </cell>
          <cell r="H784" t="str">
            <v>CAMP0331(cmeB)_1451</v>
          </cell>
          <cell r="I784" t="str">
            <v>CAMP0331(cmeB)</v>
          </cell>
          <cell r="J784">
            <v>1451</v>
          </cell>
        </row>
        <row r="785">
          <cell r="A785" t="str">
            <v>SC0080</v>
          </cell>
          <cell r="B785" t="str">
            <v>SRR17926711</v>
          </cell>
          <cell r="C785">
            <v>6964</v>
          </cell>
          <cell r="D785">
            <v>354</v>
          </cell>
          <cell r="E785" t="str">
            <v>Gallus gallus</v>
          </cell>
          <cell r="F785" t="str">
            <v>Campylobacter jejuni</v>
          </cell>
          <cell r="G785" t="str">
            <v>exact</v>
          </cell>
          <cell r="H785" t="str">
            <v>CAMP0331(cmeB)_1451</v>
          </cell>
          <cell r="I785" t="str">
            <v>CAMP0331(cmeB)</v>
          </cell>
          <cell r="J785">
            <v>1451</v>
          </cell>
        </row>
        <row r="786">
          <cell r="A786" t="str">
            <v>SC0079</v>
          </cell>
          <cell r="B786" t="str">
            <v>SRR17926712</v>
          </cell>
          <cell r="C786">
            <v>3721</v>
          </cell>
          <cell r="D786">
            <v>354</v>
          </cell>
          <cell r="E786" t="str">
            <v>Gallus gallus</v>
          </cell>
          <cell r="F786" t="str">
            <v>Campylobacter jejuni</v>
          </cell>
          <cell r="G786" t="str">
            <v>exact</v>
          </cell>
          <cell r="H786" t="str">
            <v>CAMP0331(cmeB)_27</v>
          </cell>
          <cell r="I786" t="str">
            <v>CAMP0331(cmeB)</v>
          </cell>
          <cell r="J786">
            <v>27</v>
          </cell>
        </row>
        <row r="787">
          <cell r="A787" t="str">
            <v>SC0078</v>
          </cell>
          <cell r="B787" t="str">
            <v>SRR17926713</v>
          </cell>
          <cell r="C787">
            <v>190</v>
          </cell>
          <cell r="D787">
            <v>21</v>
          </cell>
          <cell r="E787" t="str">
            <v>Gallus gallus</v>
          </cell>
          <cell r="F787" t="str">
            <v>Campylobacter jejuni</v>
          </cell>
          <cell r="G787" t="str">
            <v>exact</v>
          </cell>
          <cell r="H787" t="str">
            <v>CAMP0331(cmeB)_604</v>
          </cell>
          <cell r="I787" t="str">
            <v>CAMP0331(cmeB)</v>
          </cell>
          <cell r="J787">
            <v>604</v>
          </cell>
        </row>
        <row r="788">
          <cell r="A788" t="str">
            <v>SC0077</v>
          </cell>
          <cell r="B788" t="str">
            <v>SRR17926714</v>
          </cell>
          <cell r="C788">
            <v>53</v>
          </cell>
          <cell r="D788">
            <v>21</v>
          </cell>
          <cell r="E788" t="str">
            <v>Homo sapiens</v>
          </cell>
          <cell r="F788" t="str">
            <v>Campylobacter jejuni</v>
          </cell>
          <cell r="G788" t="str">
            <v>exact</v>
          </cell>
          <cell r="H788" t="str">
            <v>CAMP0331(cmeB)_604</v>
          </cell>
          <cell r="I788" t="str">
            <v>CAMP0331(cmeB)</v>
          </cell>
          <cell r="J788">
            <v>604</v>
          </cell>
        </row>
        <row r="789">
          <cell r="A789" t="str">
            <v>SC0076</v>
          </cell>
          <cell r="B789" t="str">
            <v>SRR17926715</v>
          </cell>
          <cell r="C789">
            <v>53</v>
          </cell>
          <cell r="D789">
            <v>21</v>
          </cell>
          <cell r="E789" t="str">
            <v>Homo sapiens</v>
          </cell>
          <cell r="F789" t="str">
            <v>Campylobacter jejuni</v>
          </cell>
          <cell r="G789" t="str">
            <v>exact</v>
          </cell>
          <cell r="H789" t="str">
            <v>CAMP0331(cmeB)_604</v>
          </cell>
          <cell r="I789" t="str">
            <v>CAMP0331(cmeB)</v>
          </cell>
          <cell r="J789">
            <v>604</v>
          </cell>
        </row>
        <row r="790">
          <cell r="A790" t="str">
            <v>SC0075</v>
          </cell>
          <cell r="B790" t="str">
            <v>SRR17926716</v>
          </cell>
          <cell r="C790">
            <v>48</v>
          </cell>
          <cell r="D790">
            <v>48</v>
          </cell>
          <cell r="E790" t="str">
            <v>Homo sapiens</v>
          </cell>
          <cell r="F790" t="str">
            <v>Campylobacter jejuni</v>
          </cell>
          <cell r="G790" t="str">
            <v>exact</v>
          </cell>
          <cell r="H790" t="str">
            <v>CAMP0331(cmeB)_94</v>
          </cell>
          <cell r="I790" t="str">
            <v>CAMP0331(cmeB)</v>
          </cell>
          <cell r="J790">
            <v>94</v>
          </cell>
        </row>
        <row r="791">
          <cell r="A791" t="str">
            <v>SC0074</v>
          </cell>
          <cell r="B791" t="str">
            <v>SRR17926717</v>
          </cell>
          <cell r="C791">
            <v>474</v>
          </cell>
          <cell r="D791">
            <v>48</v>
          </cell>
          <cell r="E791" t="str">
            <v>Homo sapiens</v>
          </cell>
          <cell r="F791" t="str">
            <v>Campylobacter jejuni</v>
          </cell>
          <cell r="G791" t="str">
            <v>exact</v>
          </cell>
          <cell r="H791" t="str">
            <v>CAMP0331(cmeB)_1</v>
          </cell>
          <cell r="I791" t="str">
            <v>CAMP0331(cmeB)</v>
          </cell>
          <cell r="J791">
            <v>1</v>
          </cell>
        </row>
        <row r="792">
          <cell r="A792" t="str">
            <v>SC0073</v>
          </cell>
          <cell r="B792" t="str">
            <v>SRR17926718</v>
          </cell>
          <cell r="C792">
            <v>6964</v>
          </cell>
          <cell r="D792">
            <v>354</v>
          </cell>
          <cell r="E792" t="str">
            <v>Homo sapiens</v>
          </cell>
          <cell r="F792" t="str">
            <v>Campylobacter jejuni</v>
          </cell>
          <cell r="G792" t="str">
            <v>exact</v>
          </cell>
          <cell r="H792" t="str">
            <v>CAMP0331(cmeB)_1451</v>
          </cell>
          <cell r="I792" t="str">
            <v>CAMP0331(cmeB)</v>
          </cell>
          <cell r="J792">
            <v>1451</v>
          </cell>
        </row>
        <row r="793">
          <cell r="A793" t="str">
            <v>SC0072</v>
          </cell>
          <cell r="B793" t="str">
            <v>SRR17926719</v>
          </cell>
          <cell r="C793">
            <v>53</v>
          </cell>
          <cell r="D793">
            <v>21</v>
          </cell>
          <cell r="E793" t="str">
            <v>Homo sapiens</v>
          </cell>
          <cell r="F793" t="str">
            <v>Campylobacter jejuni</v>
          </cell>
          <cell r="G793" t="str">
            <v>exact</v>
          </cell>
          <cell r="H793" t="str">
            <v>CAMP0331(cmeB)_604</v>
          </cell>
          <cell r="I793" t="str">
            <v>CAMP0331(cmeB)</v>
          </cell>
          <cell r="J793">
            <v>604</v>
          </cell>
        </row>
        <row r="794">
          <cell r="A794" t="str">
            <v>SC0053</v>
          </cell>
          <cell r="B794" t="str">
            <v>SRR17926720</v>
          </cell>
          <cell r="C794">
            <v>2343</v>
          </cell>
          <cell r="D794">
            <v>48</v>
          </cell>
          <cell r="E794" t="str">
            <v>Homo sapiens</v>
          </cell>
          <cell r="F794" t="str">
            <v>Campylobacter jejuni</v>
          </cell>
          <cell r="G794" t="str">
            <v>exact</v>
          </cell>
          <cell r="H794" t="str">
            <v>CAMP0331(cmeB)_45</v>
          </cell>
          <cell r="I794" t="str">
            <v>CAMP0331(cmeB)</v>
          </cell>
          <cell r="J794">
            <v>45</v>
          </cell>
        </row>
        <row r="795">
          <cell r="A795" t="str">
            <v>SC0071</v>
          </cell>
          <cell r="B795" t="str">
            <v>SRR17926721</v>
          </cell>
          <cell r="C795">
            <v>2345</v>
          </cell>
          <cell r="D795">
            <v>206</v>
          </cell>
          <cell r="E795" t="str">
            <v>Homo sapiens</v>
          </cell>
          <cell r="F795" t="str">
            <v>Campylobacter jejuni</v>
          </cell>
          <cell r="G795" t="str">
            <v>exact</v>
          </cell>
          <cell r="H795" t="str">
            <v>CAMP0331(cmeB)_158</v>
          </cell>
          <cell r="I795" t="str">
            <v>CAMP0331(cmeB)</v>
          </cell>
          <cell r="J795">
            <v>158</v>
          </cell>
        </row>
        <row r="796">
          <cell r="A796" t="str">
            <v>SC0070</v>
          </cell>
          <cell r="B796" t="str">
            <v>SRR17926722</v>
          </cell>
          <cell r="C796">
            <v>6964</v>
          </cell>
          <cell r="D796">
            <v>354</v>
          </cell>
          <cell r="E796" t="str">
            <v>Homo sapiens</v>
          </cell>
          <cell r="F796" t="str">
            <v>Campylobacter jejuni</v>
          </cell>
          <cell r="G796" t="str">
            <v>exact</v>
          </cell>
          <cell r="H796" t="str">
            <v>CAMP0331(cmeB)_1451</v>
          </cell>
          <cell r="I796" t="str">
            <v>CAMP0331(cmeB)</v>
          </cell>
          <cell r="J796">
            <v>1451</v>
          </cell>
        </row>
        <row r="797">
          <cell r="A797" t="str">
            <v>SC0069</v>
          </cell>
          <cell r="B797" t="str">
            <v>SRR17926723</v>
          </cell>
          <cell r="C797">
            <v>0</v>
          </cell>
          <cell r="D797">
            <v>0</v>
          </cell>
          <cell r="E797" t="str">
            <v>Homo sapiens</v>
          </cell>
          <cell r="F797" t="str">
            <v>Campylobacter jejuni</v>
          </cell>
          <cell r="G797" t="str">
            <v>exact</v>
          </cell>
          <cell r="H797" t="str">
            <v>CAMP0331(cmeB)_3619</v>
          </cell>
          <cell r="I797" t="str">
            <v>CAMP0331(cmeB)</v>
          </cell>
          <cell r="J797">
            <v>3619</v>
          </cell>
        </row>
        <row r="798">
          <cell r="A798" t="str">
            <v>SC0067</v>
          </cell>
          <cell r="B798" t="str">
            <v>SRR17926724</v>
          </cell>
          <cell r="C798">
            <v>474</v>
          </cell>
          <cell r="D798">
            <v>48</v>
          </cell>
          <cell r="E798" t="str">
            <v>Homo sapiens</v>
          </cell>
          <cell r="F798" t="str">
            <v>Campylobacter jejuni</v>
          </cell>
          <cell r="G798" t="str">
            <v>exact</v>
          </cell>
          <cell r="H798" t="str">
            <v>CAMP0331(cmeB)_1</v>
          </cell>
          <cell r="I798" t="str">
            <v>CAMP0331(cmeB)</v>
          </cell>
          <cell r="J798">
            <v>1</v>
          </cell>
        </row>
        <row r="799">
          <cell r="A799" t="str">
            <v>SC0066</v>
          </cell>
          <cell r="B799" t="str">
            <v>SRR17926725</v>
          </cell>
          <cell r="C799">
            <v>2345</v>
          </cell>
          <cell r="D799">
            <v>206</v>
          </cell>
          <cell r="E799" t="str">
            <v>Homo sapiens</v>
          </cell>
          <cell r="F799" t="str">
            <v>Campylobacter jejuni</v>
          </cell>
          <cell r="G799" t="str">
            <v>exact</v>
          </cell>
          <cell r="H799" t="str">
            <v>CAMP0331(cmeB)_158</v>
          </cell>
          <cell r="I799" t="str">
            <v>CAMP0331(cmeB)</v>
          </cell>
          <cell r="J799">
            <v>158</v>
          </cell>
        </row>
        <row r="800">
          <cell r="A800" t="str">
            <v>SC0065</v>
          </cell>
          <cell r="B800" t="str">
            <v>SRR17926726</v>
          </cell>
          <cell r="C800">
            <v>48</v>
          </cell>
          <cell r="D800">
            <v>48</v>
          </cell>
          <cell r="E800" t="str">
            <v>Homo sapiens</v>
          </cell>
          <cell r="F800" t="str">
            <v>Campylobacter jejuni</v>
          </cell>
          <cell r="G800" t="str">
            <v>exact</v>
          </cell>
          <cell r="H800" t="str">
            <v>CAMP0331(cmeB)_94</v>
          </cell>
          <cell r="I800" t="str">
            <v>CAMP0331(cmeB)</v>
          </cell>
          <cell r="J800">
            <v>94</v>
          </cell>
        </row>
        <row r="801">
          <cell r="A801" t="str">
            <v>SC0064</v>
          </cell>
          <cell r="B801" t="str">
            <v>SRR17926727</v>
          </cell>
          <cell r="C801">
            <v>50</v>
          </cell>
          <cell r="D801">
            <v>21</v>
          </cell>
          <cell r="E801" t="str">
            <v>Homo sapiens</v>
          </cell>
          <cell r="F801" t="str">
            <v>Campylobacter jejuni</v>
          </cell>
          <cell r="G801" t="str">
            <v>exact</v>
          </cell>
          <cell r="H801" t="str">
            <v>CAMP0331(cmeB)_1</v>
          </cell>
          <cell r="I801" t="str">
            <v>CAMP0331(cmeB)</v>
          </cell>
          <cell r="J801">
            <v>1</v>
          </cell>
        </row>
        <row r="802">
          <cell r="A802" t="str">
            <v>SC0063</v>
          </cell>
          <cell r="B802" t="str">
            <v>SRR17926728</v>
          </cell>
          <cell r="C802">
            <v>50</v>
          </cell>
          <cell r="D802">
            <v>21</v>
          </cell>
          <cell r="E802" t="str">
            <v>Homo sapiens</v>
          </cell>
          <cell r="F802" t="str">
            <v>Campylobacter jejuni</v>
          </cell>
          <cell r="G802" t="str">
            <v>exact</v>
          </cell>
          <cell r="H802" t="str">
            <v>CAMP0331(cmeB)_637</v>
          </cell>
          <cell r="I802" t="str">
            <v>CAMP0331(cmeB)</v>
          </cell>
          <cell r="J802">
            <v>637</v>
          </cell>
        </row>
        <row r="803">
          <cell r="A803" t="str">
            <v>SC0062</v>
          </cell>
          <cell r="B803" t="str">
            <v>SRR17926729</v>
          </cell>
          <cell r="C803">
            <v>6964</v>
          </cell>
          <cell r="D803">
            <v>354</v>
          </cell>
          <cell r="E803" t="str">
            <v>Homo sapiens</v>
          </cell>
          <cell r="F803" t="str">
            <v>Campylobacter jejuni</v>
          </cell>
          <cell r="G803" t="str">
            <v>exact</v>
          </cell>
          <cell r="H803" t="str">
            <v>CAMP0331(cmeB)_1451</v>
          </cell>
          <cell r="I803" t="str">
            <v>CAMP0331(cmeB)</v>
          </cell>
          <cell r="J803">
            <v>1451</v>
          </cell>
        </row>
        <row r="804">
          <cell r="A804" t="str">
            <v>SC0061</v>
          </cell>
          <cell r="B804" t="str">
            <v>SRR17926730</v>
          </cell>
          <cell r="C804">
            <v>6964</v>
          </cell>
          <cell r="D804">
            <v>354</v>
          </cell>
          <cell r="E804" t="str">
            <v>Homo sapiens</v>
          </cell>
          <cell r="F804" t="str">
            <v>Campylobacter jejuni</v>
          </cell>
          <cell r="G804" t="str">
            <v>exact</v>
          </cell>
          <cell r="H804" t="str">
            <v>CAMP0331(cmeB)_1451</v>
          </cell>
          <cell r="I804" t="str">
            <v>CAMP0331(cmeB)</v>
          </cell>
          <cell r="J804">
            <v>1451</v>
          </cell>
        </row>
        <row r="805">
          <cell r="A805" t="str">
            <v>SC0052</v>
          </cell>
          <cell r="B805" t="str">
            <v>SRR17926731</v>
          </cell>
          <cell r="C805">
            <v>42</v>
          </cell>
          <cell r="D805">
            <v>42</v>
          </cell>
          <cell r="E805" t="str">
            <v>Homo sapiens</v>
          </cell>
          <cell r="F805" t="str">
            <v>Campylobacter jejuni</v>
          </cell>
          <cell r="G805" t="str">
            <v>exact</v>
          </cell>
          <cell r="H805" t="str">
            <v>CAMP0331(cmeB)_22</v>
          </cell>
          <cell r="I805" t="str">
            <v>CAMP0331(cmeB)</v>
          </cell>
          <cell r="J805">
            <v>22</v>
          </cell>
        </row>
        <row r="806">
          <cell r="A806" t="str">
            <v>SC0051</v>
          </cell>
          <cell r="B806" t="str">
            <v>SRR17926732</v>
          </cell>
          <cell r="C806">
            <v>1581</v>
          </cell>
          <cell r="D806">
            <v>0</v>
          </cell>
          <cell r="E806" t="str">
            <v>Homo sapiens</v>
          </cell>
          <cell r="F806" t="str">
            <v>Campylobacter coli</v>
          </cell>
          <cell r="G806" t="str">
            <v>exact</v>
          </cell>
          <cell r="H806" t="str">
            <v>CAMP0331(cmeB)_690</v>
          </cell>
          <cell r="I806" t="str">
            <v>CAMP0331(cmeB)</v>
          </cell>
          <cell r="J806">
            <v>690</v>
          </cell>
        </row>
        <row r="807">
          <cell r="A807" t="str">
            <v>SC1006</v>
          </cell>
          <cell r="B807" t="str">
            <v>SRR17929506</v>
          </cell>
          <cell r="C807">
            <v>45</v>
          </cell>
          <cell r="D807">
            <v>45</v>
          </cell>
          <cell r="E807" t="str">
            <v>Homo sapiens</v>
          </cell>
          <cell r="F807" t="str">
            <v>Campylobacter jejuni</v>
          </cell>
          <cell r="G807" t="str">
            <v>exact</v>
          </cell>
          <cell r="H807" t="str">
            <v>CAMP0331(cmeB)_5</v>
          </cell>
          <cell r="I807" t="str">
            <v>CAMP0331(cmeB)</v>
          </cell>
          <cell r="J807">
            <v>5</v>
          </cell>
        </row>
        <row r="808">
          <cell r="A808" t="str">
            <v>SC1005</v>
          </cell>
          <cell r="B808" t="str">
            <v>SRR17929507</v>
          </cell>
          <cell r="C808">
            <v>45</v>
          </cell>
          <cell r="D808">
            <v>45</v>
          </cell>
          <cell r="E808" t="str">
            <v>Homo sapiens</v>
          </cell>
          <cell r="F808" t="str">
            <v>Campylobacter jejuni</v>
          </cell>
          <cell r="G808" t="str">
            <v>exact</v>
          </cell>
          <cell r="H808" t="str">
            <v>CAMP0331(cmeB)_5</v>
          </cell>
          <cell r="I808" t="str">
            <v>CAMP0331(cmeB)</v>
          </cell>
          <cell r="J808">
            <v>5</v>
          </cell>
        </row>
        <row r="809">
          <cell r="A809" t="str">
            <v>SC1003</v>
          </cell>
          <cell r="B809" t="str">
            <v>SRR17929508</v>
          </cell>
          <cell r="C809">
            <v>354</v>
          </cell>
          <cell r="D809">
            <v>354</v>
          </cell>
          <cell r="E809" t="str">
            <v>Homo sapiens</v>
          </cell>
          <cell r="F809" t="str">
            <v>Campylobacter jejuni</v>
          </cell>
          <cell r="G809" t="str">
            <v>exact</v>
          </cell>
          <cell r="H809" t="str">
            <v>CAMP0331(cmeB)_53</v>
          </cell>
          <cell r="I809" t="str">
            <v>CAMP0331(cmeB)</v>
          </cell>
          <cell r="J809">
            <v>53</v>
          </cell>
        </row>
        <row r="810">
          <cell r="A810" t="str">
            <v>SC1001</v>
          </cell>
          <cell r="B810" t="str">
            <v>SRR17929509</v>
          </cell>
          <cell r="C810">
            <v>2345</v>
          </cell>
          <cell r="D810">
            <v>206</v>
          </cell>
          <cell r="E810" t="str">
            <v>Homo sapiens</v>
          </cell>
          <cell r="F810" t="str">
            <v>Campylobacter jejuni</v>
          </cell>
          <cell r="G810" t="str">
            <v>exact</v>
          </cell>
          <cell r="H810" t="str">
            <v>CAMP0331(cmeB)_158</v>
          </cell>
          <cell r="I810" t="str">
            <v>CAMP0331(cmeB)</v>
          </cell>
          <cell r="J810">
            <v>158</v>
          </cell>
        </row>
        <row r="811">
          <cell r="A811" t="str">
            <v>SC0909</v>
          </cell>
          <cell r="B811" t="str">
            <v>SRR17929510</v>
          </cell>
          <cell r="C811">
            <v>0</v>
          </cell>
          <cell r="D811">
            <v>0</v>
          </cell>
          <cell r="E811" t="str">
            <v>Homo sapiens</v>
          </cell>
          <cell r="F811" t="str">
            <v>Campylobacter coli</v>
          </cell>
          <cell r="G811" t="str">
            <v>exact</v>
          </cell>
          <cell r="H811" t="str">
            <v>CAMP0331(cmeB)_253</v>
          </cell>
          <cell r="I811" t="str">
            <v>CAMP0331(cmeB)</v>
          </cell>
          <cell r="J811">
            <v>253</v>
          </cell>
        </row>
        <row r="812">
          <cell r="A812" t="str">
            <v>SC0999</v>
          </cell>
          <cell r="B812" t="str">
            <v>SRR17929511</v>
          </cell>
          <cell r="C812">
            <v>677</v>
          </cell>
          <cell r="D812">
            <v>677</v>
          </cell>
          <cell r="E812" t="str">
            <v>Homo sapiens</v>
          </cell>
          <cell r="F812" t="str">
            <v>Campylobacter jejuni</v>
          </cell>
          <cell r="G812" t="str">
            <v>exact</v>
          </cell>
          <cell r="H812" t="str">
            <v>CAMP0331(cmeB)_39</v>
          </cell>
          <cell r="I812" t="str">
            <v>CAMP0331(cmeB)</v>
          </cell>
          <cell r="J812">
            <v>39</v>
          </cell>
        </row>
        <row r="813">
          <cell r="A813" t="str">
            <v>SC0997</v>
          </cell>
          <cell r="B813" t="str">
            <v>SRR17929512</v>
          </cell>
          <cell r="C813">
            <v>50</v>
          </cell>
          <cell r="D813">
            <v>21</v>
          </cell>
          <cell r="E813" t="str">
            <v>Homo sapiens</v>
          </cell>
          <cell r="F813" t="str">
            <v>Campylobacter jejuni</v>
          </cell>
          <cell r="G813" t="str">
            <v>exact</v>
          </cell>
          <cell r="H813" t="str">
            <v>CAMP0331(cmeB)_604</v>
          </cell>
          <cell r="I813" t="str">
            <v>CAMP0331(cmeB)</v>
          </cell>
          <cell r="J813">
            <v>604</v>
          </cell>
        </row>
        <row r="814">
          <cell r="A814" t="str">
            <v>SC0995</v>
          </cell>
          <cell r="B814" t="str">
            <v>SRR17929513</v>
          </cell>
          <cell r="C814">
            <v>48</v>
          </cell>
          <cell r="D814">
            <v>48</v>
          </cell>
          <cell r="E814" t="str">
            <v>Homo sapiens</v>
          </cell>
          <cell r="F814" t="str">
            <v>Campylobacter jejuni</v>
          </cell>
          <cell r="G814" t="str">
            <v>exact</v>
          </cell>
          <cell r="H814" t="str">
            <v>CAMP0331(cmeB)_94</v>
          </cell>
          <cell r="I814" t="str">
            <v>CAMP0331(cmeB)</v>
          </cell>
          <cell r="J814">
            <v>94</v>
          </cell>
        </row>
        <row r="815">
          <cell r="A815" t="str">
            <v>SC0994</v>
          </cell>
          <cell r="B815" t="str">
            <v>SRR17929514</v>
          </cell>
          <cell r="C815">
            <v>53</v>
          </cell>
          <cell r="D815">
            <v>21</v>
          </cell>
          <cell r="E815" t="str">
            <v>Homo sapiens</v>
          </cell>
          <cell r="F815" t="str">
            <v>Campylobacter jejuni</v>
          </cell>
          <cell r="G815" t="str">
            <v>exact</v>
          </cell>
          <cell r="H815" t="str">
            <v>CAMP0331(cmeB)_604</v>
          </cell>
          <cell r="I815" t="str">
            <v>CAMP0331(cmeB)</v>
          </cell>
          <cell r="J815">
            <v>604</v>
          </cell>
        </row>
        <row r="816">
          <cell r="A816" t="str">
            <v>SC0993</v>
          </cell>
          <cell r="B816" t="str">
            <v>SRR17929515</v>
          </cell>
          <cell r="C816">
            <v>45</v>
          </cell>
          <cell r="D816">
            <v>45</v>
          </cell>
          <cell r="E816" t="str">
            <v>Homo sapiens</v>
          </cell>
          <cell r="F816" t="str">
            <v>Campylobacter jejuni</v>
          </cell>
          <cell r="G816" t="str">
            <v>exact</v>
          </cell>
          <cell r="H816" t="str">
            <v>CAMP0331(cmeB)_5</v>
          </cell>
          <cell r="I816" t="str">
            <v>CAMP0331(cmeB)</v>
          </cell>
          <cell r="J816">
            <v>5</v>
          </cell>
        </row>
        <row r="817">
          <cell r="A817" t="str">
            <v>SC0989</v>
          </cell>
          <cell r="B817" t="str">
            <v>SRR17929516</v>
          </cell>
          <cell r="C817">
            <v>6964</v>
          </cell>
          <cell r="D817">
            <v>354</v>
          </cell>
          <cell r="E817" t="str">
            <v>Gallus gallus</v>
          </cell>
          <cell r="F817" t="str">
            <v>Campylobacter jejuni</v>
          </cell>
          <cell r="G817" t="str">
            <v>exact</v>
          </cell>
          <cell r="H817" t="str">
            <v>CAMP0331(cmeB)_1451</v>
          </cell>
          <cell r="I817" t="str">
            <v>CAMP0331(cmeB)</v>
          </cell>
          <cell r="J817">
            <v>1451</v>
          </cell>
        </row>
        <row r="818">
          <cell r="A818" t="str">
            <v>SC0988</v>
          </cell>
          <cell r="B818" t="str">
            <v>SRR17929517</v>
          </cell>
          <cell r="C818">
            <v>6964</v>
          </cell>
          <cell r="D818">
            <v>354</v>
          </cell>
          <cell r="E818" t="str">
            <v>Gallus gallus</v>
          </cell>
          <cell r="F818" t="str">
            <v>Campylobacter jejuni</v>
          </cell>
          <cell r="G818" t="str">
            <v>exact</v>
          </cell>
          <cell r="H818" t="str">
            <v>CAMP0331(cmeB)_1451</v>
          </cell>
          <cell r="I818" t="str">
            <v>CAMP0331(cmeB)</v>
          </cell>
          <cell r="J818">
            <v>1451</v>
          </cell>
        </row>
        <row r="819">
          <cell r="A819" t="str">
            <v>SC0987</v>
          </cell>
          <cell r="B819" t="str">
            <v>SRR17929518</v>
          </cell>
          <cell r="C819">
            <v>900</v>
          </cell>
          <cell r="D819">
            <v>0</v>
          </cell>
          <cell r="E819" t="str">
            <v>Gallus gallus</v>
          </cell>
          <cell r="F819" t="str">
            <v>Campylobacter coli</v>
          </cell>
          <cell r="G819" t="str">
            <v>exact</v>
          </cell>
          <cell r="H819" t="str">
            <v>CAMP0331(cmeB)_100</v>
          </cell>
          <cell r="I819" t="str">
            <v>CAMP0331(cmeB)</v>
          </cell>
          <cell r="J819">
            <v>100</v>
          </cell>
        </row>
        <row r="820">
          <cell r="A820" t="str">
            <v>SC0986</v>
          </cell>
          <cell r="B820" t="str">
            <v>SRR17929519</v>
          </cell>
          <cell r="C820">
            <v>583</v>
          </cell>
          <cell r="D820">
            <v>45</v>
          </cell>
          <cell r="E820" t="str">
            <v>Homo sapiens</v>
          </cell>
          <cell r="F820" t="str">
            <v>Campylobacter jejuni</v>
          </cell>
          <cell r="G820" t="str">
            <v>exact</v>
          </cell>
          <cell r="H820" t="str">
            <v>CAMP0331(cmeB)_24</v>
          </cell>
          <cell r="I820" t="str">
            <v>CAMP0331(cmeB)</v>
          </cell>
          <cell r="J820">
            <v>24</v>
          </cell>
        </row>
        <row r="821">
          <cell r="A821" t="str">
            <v>SC0981</v>
          </cell>
          <cell r="B821" t="str">
            <v>SRR17929520</v>
          </cell>
          <cell r="C821">
            <v>45</v>
          </cell>
          <cell r="D821">
            <v>45</v>
          </cell>
          <cell r="E821" t="str">
            <v>Homo sapiens</v>
          </cell>
          <cell r="F821" t="str">
            <v>Campylobacter jejuni</v>
          </cell>
          <cell r="G821" t="str">
            <v>exact</v>
          </cell>
          <cell r="H821" t="str">
            <v>CAMP0331(cmeB)_5</v>
          </cell>
          <cell r="I821" t="str">
            <v>CAMP0331(cmeB)</v>
          </cell>
          <cell r="J821">
            <v>5</v>
          </cell>
        </row>
        <row r="822">
          <cell r="A822" t="str">
            <v>SC0908</v>
          </cell>
          <cell r="B822" t="str">
            <v>SRR17929521</v>
          </cell>
          <cell r="C822">
            <v>6964</v>
          </cell>
          <cell r="D822">
            <v>354</v>
          </cell>
          <cell r="E822" t="str">
            <v>Homo sapiens</v>
          </cell>
          <cell r="F822" t="str">
            <v>Campylobacter jejuni</v>
          </cell>
          <cell r="G822" t="str">
            <v>exact</v>
          </cell>
          <cell r="H822" t="str">
            <v>CAMP0331(cmeB)_1451</v>
          </cell>
          <cell r="I822" t="str">
            <v>CAMP0331(cmeB)</v>
          </cell>
          <cell r="J822">
            <v>1451</v>
          </cell>
        </row>
        <row r="823">
          <cell r="A823" t="str">
            <v>SC0980</v>
          </cell>
          <cell r="B823" t="str">
            <v>SRR17929522</v>
          </cell>
          <cell r="C823">
            <v>45</v>
          </cell>
          <cell r="D823">
            <v>45</v>
          </cell>
          <cell r="E823" t="str">
            <v>Homo sapiens</v>
          </cell>
          <cell r="F823" t="str">
            <v>Campylobacter jejuni</v>
          </cell>
          <cell r="G823" t="str">
            <v>exact</v>
          </cell>
          <cell r="H823" t="str">
            <v>CAMP0331(cmeB)_27</v>
          </cell>
          <cell r="I823" t="str">
            <v>CAMP0331(cmeB)</v>
          </cell>
          <cell r="J823">
            <v>27</v>
          </cell>
        </row>
        <row r="824">
          <cell r="A824" t="str">
            <v>SC0978</v>
          </cell>
          <cell r="B824" t="str">
            <v>SRR17929523</v>
          </cell>
          <cell r="C824">
            <v>45</v>
          </cell>
          <cell r="D824">
            <v>45</v>
          </cell>
          <cell r="E824" t="str">
            <v>Homo sapiens</v>
          </cell>
          <cell r="F824" t="str">
            <v>Campylobacter jejuni</v>
          </cell>
          <cell r="G824" t="str">
            <v>exact</v>
          </cell>
          <cell r="H824" t="str">
            <v>CAMP0331(cmeB)_5</v>
          </cell>
          <cell r="I824" t="str">
            <v>CAMP0331(cmeB)</v>
          </cell>
          <cell r="J824">
            <v>5</v>
          </cell>
        </row>
        <row r="825">
          <cell r="A825" t="str">
            <v>SC0977</v>
          </cell>
          <cell r="B825" t="str">
            <v>SRR17929524</v>
          </cell>
          <cell r="C825">
            <v>45</v>
          </cell>
          <cell r="D825">
            <v>45</v>
          </cell>
          <cell r="E825" t="str">
            <v>Homo sapiens</v>
          </cell>
          <cell r="F825" t="str">
            <v>Campylobacter jejuni</v>
          </cell>
          <cell r="G825" t="str">
            <v>exact</v>
          </cell>
          <cell r="H825" t="str">
            <v>CAMP0331(cmeB)_5</v>
          </cell>
          <cell r="I825" t="str">
            <v>CAMP0331(cmeB)</v>
          </cell>
          <cell r="J825">
            <v>5</v>
          </cell>
        </row>
        <row r="826">
          <cell r="A826" t="str">
            <v>SC0976</v>
          </cell>
          <cell r="B826" t="str">
            <v>SRR17929525</v>
          </cell>
          <cell r="C826">
            <v>53</v>
          </cell>
          <cell r="D826">
            <v>21</v>
          </cell>
          <cell r="E826" t="str">
            <v>Homo sapiens</v>
          </cell>
          <cell r="F826" t="str">
            <v>Campylobacter jejuni</v>
          </cell>
          <cell r="G826" t="str">
            <v>exact</v>
          </cell>
          <cell r="H826" t="str">
            <v>CAMP0331(cmeB)_604</v>
          </cell>
          <cell r="I826" t="str">
            <v>CAMP0331(cmeB)</v>
          </cell>
          <cell r="J826">
            <v>604</v>
          </cell>
        </row>
        <row r="827">
          <cell r="A827" t="str">
            <v>SC0975</v>
          </cell>
          <cell r="B827" t="str">
            <v>SRR17929526</v>
          </cell>
          <cell r="C827">
            <v>45</v>
          </cell>
          <cell r="D827">
            <v>45</v>
          </cell>
          <cell r="E827" t="str">
            <v>Homo sapiens</v>
          </cell>
          <cell r="F827" t="str">
            <v>Campylobacter jejuni</v>
          </cell>
          <cell r="G827" t="str">
            <v>exact</v>
          </cell>
          <cell r="H827" t="str">
            <v>CAMP0331(cmeB)_5</v>
          </cell>
          <cell r="I827" t="str">
            <v>CAMP0331(cmeB)</v>
          </cell>
          <cell r="J827">
            <v>5</v>
          </cell>
        </row>
        <row r="828">
          <cell r="A828" t="str">
            <v>SC0973</v>
          </cell>
          <cell r="B828" t="str">
            <v>SRR17929527</v>
          </cell>
          <cell r="C828">
            <v>45</v>
          </cell>
          <cell r="D828">
            <v>45</v>
          </cell>
          <cell r="E828" t="str">
            <v>Homo sapiens</v>
          </cell>
          <cell r="F828" t="str">
            <v>Campylobacter jejuni</v>
          </cell>
          <cell r="G828" t="str">
            <v>exact</v>
          </cell>
          <cell r="H828" t="str">
            <v>CAMP0331(cmeB)_5</v>
          </cell>
          <cell r="I828" t="str">
            <v>CAMP0331(cmeB)</v>
          </cell>
          <cell r="J828">
            <v>5</v>
          </cell>
        </row>
        <row r="829">
          <cell r="A829" t="str">
            <v>SC0971</v>
          </cell>
          <cell r="B829" t="str">
            <v>SRR17929528</v>
          </cell>
          <cell r="C829">
            <v>48</v>
          </cell>
          <cell r="D829">
            <v>48</v>
          </cell>
          <cell r="E829" t="str">
            <v>Homo sapiens</v>
          </cell>
          <cell r="F829" t="str">
            <v>Campylobacter jejuni</v>
          </cell>
          <cell r="G829" t="str">
            <v>exact</v>
          </cell>
          <cell r="H829" t="str">
            <v>CAMP0331(cmeB)_94</v>
          </cell>
          <cell r="I829" t="str">
            <v>CAMP0331(cmeB)</v>
          </cell>
          <cell r="J829">
            <v>94</v>
          </cell>
        </row>
        <row r="830">
          <cell r="A830" t="str">
            <v>SC0968</v>
          </cell>
          <cell r="B830" t="str">
            <v>SRR17929529</v>
          </cell>
          <cell r="C830">
            <v>45</v>
          </cell>
          <cell r="D830">
            <v>45</v>
          </cell>
          <cell r="E830" t="str">
            <v>Homo sapiens</v>
          </cell>
          <cell r="F830" t="str">
            <v>Campylobacter jejuni</v>
          </cell>
          <cell r="G830" t="str">
            <v>exact</v>
          </cell>
          <cell r="H830" t="str">
            <v>CAMP0331(cmeB)_5</v>
          </cell>
          <cell r="I830" t="str">
            <v>CAMP0331(cmeB)</v>
          </cell>
          <cell r="J830">
            <v>5</v>
          </cell>
        </row>
        <row r="831">
          <cell r="A831" t="str">
            <v>SC0966</v>
          </cell>
          <cell r="B831" t="str">
            <v>SRR17929530</v>
          </cell>
          <cell r="C831">
            <v>2535</v>
          </cell>
          <cell r="D831">
            <v>0</v>
          </cell>
          <cell r="E831" t="str">
            <v>Homo sapiens</v>
          </cell>
          <cell r="F831" t="str">
            <v>Campylobacter jejuni</v>
          </cell>
          <cell r="G831" t="str">
            <v>exact</v>
          </cell>
          <cell r="H831" t="str">
            <v>CAMP0331(cmeB)_1667</v>
          </cell>
          <cell r="I831" t="str">
            <v>CAMP0331(cmeB)</v>
          </cell>
          <cell r="J831">
            <v>1667</v>
          </cell>
        </row>
        <row r="832">
          <cell r="A832" t="str">
            <v>SC0964</v>
          </cell>
          <cell r="B832" t="str">
            <v>SRR17929531</v>
          </cell>
          <cell r="C832">
            <v>3538</v>
          </cell>
          <cell r="D832">
            <v>0</v>
          </cell>
          <cell r="E832" t="str">
            <v>Homo sapiens</v>
          </cell>
          <cell r="F832" t="str">
            <v>Campylobacter jejuni</v>
          </cell>
          <cell r="G832" t="str">
            <v>exact</v>
          </cell>
          <cell r="H832" t="str">
            <v>CAMP0331(cmeB)_14</v>
          </cell>
          <cell r="I832" t="str">
            <v>CAMP0331(cmeB)</v>
          </cell>
          <cell r="J832">
            <v>14</v>
          </cell>
        </row>
        <row r="833">
          <cell r="A833" t="str">
            <v>SC0907</v>
          </cell>
          <cell r="B833" t="str">
            <v>SRR17929532</v>
          </cell>
          <cell r="C833">
            <v>538</v>
          </cell>
          <cell r="D833">
            <v>45</v>
          </cell>
          <cell r="E833" t="str">
            <v>Homo sapiens</v>
          </cell>
          <cell r="F833" t="str">
            <v>Campylobacter jejuni</v>
          </cell>
          <cell r="G833" t="str">
            <v>exact</v>
          </cell>
          <cell r="H833" t="str">
            <v>CAMP0331(cmeB)_27</v>
          </cell>
          <cell r="I833" t="str">
            <v>CAMP0331(cmeB)</v>
          </cell>
          <cell r="J833">
            <v>27</v>
          </cell>
        </row>
        <row r="834">
          <cell r="A834" t="str">
            <v>SC0962</v>
          </cell>
          <cell r="B834" t="str">
            <v>SRR17929534</v>
          </cell>
          <cell r="C834">
            <v>2026</v>
          </cell>
          <cell r="D834">
            <v>403</v>
          </cell>
          <cell r="E834" t="str">
            <v>Bos taurus taurus</v>
          </cell>
          <cell r="F834" t="str">
            <v>Campylobacter jejuni</v>
          </cell>
          <cell r="G834" t="str">
            <v>exact</v>
          </cell>
          <cell r="H834" t="str">
            <v>CAMP0331(cmeB)_54</v>
          </cell>
          <cell r="I834" t="str">
            <v>CAMP0331(cmeB)</v>
          </cell>
          <cell r="J834">
            <v>54</v>
          </cell>
        </row>
        <row r="835">
          <cell r="A835" t="str">
            <v>SC0961</v>
          </cell>
          <cell r="B835" t="str">
            <v>SRR17929535</v>
          </cell>
          <cell r="C835">
            <v>825</v>
          </cell>
          <cell r="D835">
            <v>828</v>
          </cell>
          <cell r="E835" t="str">
            <v>Bos taurus taurus</v>
          </cell>
          <cell r="F835" t="str">
            <v>Campylobacter coli</v>
          </cell>
          <cell r="G835" t="str">
            <v>exact</v>
          </cell>
          <cell r="H835" t="str">
            <v>CAMP0331(cmeB)_253</v>
          </cell>
          <cell r="I835" t="str">
            <v>CAMP0331(cmeB)</v>
          </cell>
          <cell r="J835">
            <v>253</v>
          </cell>
        </row>
        <row r="836">
          <cell r="A836" t="str">
            <v>SC0960</v>
          </cell>
          <cell r="B836" t="str">
            <v>SRR17929536</v>
          </cell>
          <cell r="C836">
            <v>42</v>
          </cell>
          <cell r="D836">
            <v>42</v>
          </cell>
          <cell r="E836" t="str">
            <v>Bos taurus taurus</v>
          </cell>
          <cell r="F836" t="str">
            <v>Campylobacter jejuni</v>
          </cell>
          <cell r="G836" t="str">
            <v>exact</v>
          </cell>
          <cell r="H836" t="str">
            <v>CAMP0331(cmeB)_22</v>
          </cell>
          <cell r="I836" t="str">
            <v>CAMP0331(cmeB)</v>
          </cell>
          <cell r="J836">
            <v>22</v>
          </cell>
        </row>
        <row r="837">
          <cell r="A837" t="str">
            <v>SC0959</v>
          </cell>
          <cell r="B837" t="str">
            <v>SRR17929537</v>
          </cell>
          <cell r="C837">
            <v>3711</v>
          </cell>
          <cell r="D837">
            <v>257</v>
          </cell>
          <cell r="E837" t="str">
            <v>Bos taurus taurus</v>
          </cell>
          <cell r="F837" t="str">
            <v>Campylobacter jejuni</v>
          </cell>
          <cell r="G837" t="str">
            <v>exact</v>
          </cell>
          <cell r="H837" t="str">
            <v>CAMP0331(cmeB)_51</v>
          </cell>
          <cell r="I837" t="str">
            <v>CAMP0331(cmeB)</v>
          </cell>
          <cell r="J837">
            <v>51</v>
          </cell>
        </row>
        <row r="838">
          <cell r="A838" t="str">
            <v>SC0958</v>
          </cell>
          <cell r="B838" t="str">
            <v>SRR17929538</v>
          </cell>
          <cell r="C838">
            <v>50</v>
          </cell>
          <cell r="D838">
            <v>21</v>
          </cell>
          <cell r="E838" t="str">
            <v>Bos taurus taurus</v>
          </cell>
          <cell r="F838" t="str">
            <v>Campylobacter jejuni</v>
          </cell>
          <cell r="G838" t="str">
            <v>exact</v>
          </cell>
          <cell r="H838" t="str">
            <v>CAMP0331(cmeB)_1</v>
          </cell>
          <cell r="I838" t="str">
            <v>CAMP0331(cmeB)</v>
          </cell>
          <cell r="J838">
            <v>1</v>
          </cell>
        </row>
        <row r="839">
          <cell r="A839" t="str">
            <v>SC0957</v>
          </cell>
          <cell r="B839" t="str">
            <v>SRR17929539</v>
          </cell>
          <cell r="C839">
            <v>190</v>
          </cell>
          <cell r="D839">
            <v>21</v>
          </cell>
          <cell r="E839" t="str">
            <v>Bos taurus taurus</v>
          </cell>
          <cell r="F839" t="str">
            <v>Campylobacter jejuni</v>
          </cell>
          <cell r="G839" t="str">
            <v>exact</v>
          </cell>
          <cell r="H839" t="str">
            <v>CAMP0331(cmeB)_604</v>
          </cell>
          <cell r="I839" t="str">
            <v>CAMP0331(cmeB)</v>
          </cell>
          <cell r="J839">
            <v>604</v>
          </cell>
        </row>
        <row r="840">
          <cell r="A840" t="str">
            <v>SC0956</v>
          </cell>
          <cell r="B840" t="str">
            <v>SRR17929540</v>
          </cell>
          <cell r="C840">
            <v>2026</v>
          </cell>
          <cell r="D840">
            <v>403</v>
          </cell>
          <cell r="E840" t="str">
            <v>Bos taurus taurus</v>
          </cell>
          <cell r="F840" t="str">
            <v>Campylobacter jejuni</v>
          </cell>
          <cell r="G840" t="str">
            <v>exact</v>
          </cell>
          <cell r="H840" t="str">
            <v>CAMP0331(cmeB)_54</v>
          </cell>
          <cell r="I840" t="str">
            <v>CAMP0331(cmeB)</v>
          </cell>
          <cell r="J840">
            <v>54</v>
          </cell>
        </row>
        <row r="841">
          <cell r="A841" t="str">
            <v>SC0955</v>
          </cell>
          <cell r="B841" t="str">
            <v>SRR17929541</v>
          </cell>
          <cell r="C841">
            <v>42</v>
          </cell>
          <cell r="D841">
            <v>42</v>
          </cell>
          <cell r="E841" t="str">
            <v>Bos taurus taurus</v>
          </cell>
          <cell r="F841" t="str">
            <v>Campylobacter jejuni</v>
          </cell>
          <cell r="G841" t="str">
            <v>exact</v>
          </cell>
          <cell r="H841" t="str">
            <v>CAMP0331(cmeB)_22</v>
          </cell>
          <cell r="I841" t="str">
            <v>CAMP0331(cmeB)</v>
          </cell>
          <cell r="J841">
            <v>22</v>
          </cell>
        </row>
        <row r="842">
          <cell r="A842" t="str">
            <v>SC0954</v>
          </cell>
          <cell r="B842" t="str">
            <v>SRR17929542</v>
          </cell>
          <cell r="C842">
            <v>520</v>
          </cell>
          <cell r="D842">
            <v>21</v>
          </cell>
          <cell r="E842" t="str">
            <v>Bos taurus taurus</v>
          </cell>
          <cell r="F842" t="str">
            <v>Campylobacter jejuni</v>
          </cell>
          <cell r="G842" t="str">
            <v>exact</v>
          </cell>
          <cell r="H842" t="str">
            <v>CAMP0331(cmeB)_604</v>
          </cell>
          <cell r="I842" t="str">
            <v>CAMP0331(cmeB)</v>
          </cell>
          <cell r="J842">
            <v>604</v>
          </cell>
        </row>
        <row r="843">
          <cell r="A843" t="str">
            <v>SC0905</v>
          </cell>
          <cell r="B843" t="str">
            <v>SRR17929543</v>
          </cell>
          <cell r="C843">
            <v>1517</v>
          </cell>
          <cell r="D843">
            <v>354</v>
          </cell>
          <cell r="E843" t="str">
            <v>Bos taurus taurus</v>
          </cell>
          <cell r="F843" t="str">
            <v>Campylobacter jejuni</v>
          </cell>
          <cell r="G843" t="str">
            <v>exact</v>
          </cell>
          <cell r="H843" t="str">
            <v>CAMP0331(cmeB)_233</v>
          </cell>
          <cell r="I843" t="str">
            <v>CAMP0331(cmeB)</v>
          </cell>
          <cell r="J843">
            <v>233</v>
          </cell>
        </row>
        <row r="844">
          <cell r="A844" t="str">
            <v>SC0953</v>
          </cell>
          <cell r="B844" t="str">
            <v>SRR17929544</v>
          </cell>
          <cell r="C844">
            <v>61</v>
          </cell>
          <cell r="D844">
            <v>61</v>
          </cell>
          <cell r="E844" t="str">
            <v>Bos taurus taurus</v>
          </cell>
          <cell r="F844" t="str">
            <v>Campylobacter jejuni</v>
          </cell>
          <cell r="G844" t="str">
            <v>exact</v>
          </cell>
          <cell r="H844" t="str">
            <v>CAMP0331(cmeB)_14</v>
          </cell>
          <cell r="I844" t="str">
            <v>CAMP0331(cmeB)</v>
          </cell>
          <cell r="J844">
            <v>14</v>
          </cell>
        </row>
        <row r="845">
          <cell r="A845" t="str">
            <v>SC0952</v>
          </cell>
          <cell r="B845" t="str">
            <v>SRR17929545</v>
          </cell>
          <cell r="C845">
            <v>520</v>
          </cell>
          <cell r="D845">
            <v>21</v>
          </cell>
          <cell r="E845" t="str">
            <v>Bos taurus taurus</v>
          </cell>
          <cell r="F845" t="str">
            <v>Campylobacter jejuni</v>
          </cell>
          <cell r="G845" t="str">
            <v>exact</v>
          </cell>
          <cell r="H845" t="str">
            <v>CAMP0331(cmeB)_604</v>
          </cell>
          <cell r="I845" t="str">
            <v>CAMP0331(cmeB)</v>
          </cell>
          <cell r="J845">
            <v>604</v>
          </cell>
        </row>
        <row r="846">
          <cell r="A846" t="str">
            <v>SC0951</v>
          </cell>
          <cell r="B846" t="str">
            <v>SRR17929546</v>
          </cell>
          <cell r="C846">
            <v>520</v>
          </cell>
          <cell r="D846">
            <v>21</v>
          </cell>
          <cell r="E846" t="str">
            <v>Bos taurus taurus</v>
          </cell>
          <cell r="F846" t="str">
            <v>Campylobacter jejuni</v>
          </cell>
          <cell r="G846" t="str">
            <v>exact</v>
          </cell>
          <cell r="H846" t="str">
            <v>CAMP0331(cmeB)_604</v>
          </cell>
          <cell r="I846" t="str">
            <v>CAMP0331(cmeB)</v>
          </cell>
          <cell r="J846">
            <v>604</v>
          </cell>
        </row>
        <row r="847">
          <cell r="A847" t="str">
            <v>SC0947</v>
          </cell>
          <cell r="B847" t="str">
            <v>SRR17929550</v>
          </cell>
          <cell r="C847">
            <v>5734</v>
          </cell>
          <cell r="D847">
            <v>828</v>
          </cell>
          <cell r="E847" t="str">
            <v>Gallus gallus</v>
          </cell>
          <cell r="F847" t="str">
            <v>Campylobacter coli</v>
          </cell>
          <cell r="G847" t="str">
            <v>exact</v>
          </cell>
          <cell r="H847" t="str">
            <v>CAMP0331(cmeB)_28</v>
          </cell>
          <cell r="I847" t="str">
            <v>CAMP0331(cmeB)</v>
          </cell>
          <cell r="J847">
            <v>28</v>
          </cell>
        </row>
        <row r="848">
          <cell r="A848" t="str">
            <v>SC0946</v>
          </cell>
          <cell r="B848" t="str">
            <v>SRR17929551</v>
          </cell>
          <cell r="C848">
            <v>45</v>
          </cell>
          <cell r="D848">
            <v>45</v>
          </cell>
          <cell r="E848" t="str">
            <v>Gallus gallus</v>
          </cell>
          <cell r="F848" t="str">
            <v>Campylobacter jejuni</v>
          </cell>
          <cell r="G848" t="str">
            <v>exact</v>
          </cell>
          <cell r="H848" t="str">
            <v>CAMP0331(cmeB)_27</v>
          </cell>
          <cell r="I848" t="str">
            <v>CAMP0331(cmeB)</v>
          </cell>
          <cell r="J848">
            <v>27</v>
          </cell>
        </row>
        <row r="849">
          <cell r="A849" t="str">
            <v>SC0945</v>
          </cell>
          <cell r="B849" t="str">
            <v>SRR17929552</v>
          </cell>
          <cell r="C849">
            <v>0</v>
          </cell>
          <cell r="D849">
            <v>0</v>
          </cell>
          <cell r="E849" t="str">
            <v>Gallus gallus</v>
          </cell>
          <cell r="F849" t="str">
            <v>Campylobacter jejuni</v>
          </cell>
          <cell r="G849" t="str">
            <v>exact</v>
          </cell>
          <cell r="H849" t="str">
            <v>CAMP0331(cmeB)_604</v>
          </cell>
          <cell r="I849" t="str">
            <v>CAMP0331(cmeB)</v>
          </cell>
          <cell r="J849">
            <v>604</v>
          </cell>
        </row>
        <row r="850">
          <cell r="A850" t="str">
            <v>SC0944</v>
          </cell>
          <cell r="B850" t="str">
            <v>SRR17929553</v>
          </cell>
          <cell r="C850">
            <v>2345</v>
          </cell>
          <cell r="D850">
            <v>206</v>
          </cell>
          <cell r="E850" t="str">
            <v>Gallus gallus</v>
          </cell>
          <cell r="F850" t="str">
            <v>Campylobacter jejuni</v>
          </cell>
          <cell r="G850" t="str">
            <v>exact</v>
          </cell>
          <cell r="H850" t="str">
            <v>CAMP0331(cmeB)_158</v>
          </cell>
          <cell r="I850" t="str">
            <v>CAMP0331(cmeB)</v>
          </cell>
          <cell r="J850">
            <v>158</v>
          </cell>
        </row>
        <row r="851">
          <cell r="A851" t="str">
            <v>SC0904</v>
          </cell>
          <cell r="B851" t="str">
            <v>SRR17929554</v>
          </cell>
          <cell r="C851">
            <v>50</v>
          </cell>
          <cell r="D851">
            <v>21</v>
          </cell>
          <cell r="E851" t="str">
            <v>Bos taurus taurus</v>
          </cell>
          <cell r="F851" t="str">
            <v>Campylobacter jejuni</v>
          </cell>
          <cell r="G851" t="str">
            <v>exact</v>
          </cell>
          <cell r="H851" t="str">
            <v>CAMP0331(cmeB)_1</v>
          </cell>
          <cell r="I851" t="str">
            <v>CAMP0331(cmeB)</v>
          </cell>
          <cell r="J851">
            <v>1</v>
          </cell>
        </row>
        <row r="852">
          <cell r="A852" t="str">
            <v>SC0943</v>
          </cell>
          <cell r="B852" t="str">
            <v>SRR17929555</v>
          </cell>
          <cell r="C852">
            <v>535</v>
          </cell>
          <cell r="D852">
            <v>460</v>
          </cell>
          <cell r="E852" t="str">
            <v>Gallus gallus</v>
          </cell>
          <cell r="F852" t="str">
            <v>Campylobacter jejuni</v>
          </cell>
          <cell r="G852" t="str">
            <v>exact</v>
          </cell>
          <cell r="H852" t="str">
            <v>CAMP0331(cmeB)_53</v>
          </cell>
          <cell r="I852" t="str">
            <v>CAMP0331(cmeB)</v>
          </cell>
          <cell r="J852">
            <v>53</v>
          </cell>
        </row>
        <row r="853">
          <cell r="A853" t="str">
            <v>SC0942</v>
          </cell>
          <cell r="B853" t="str">
            <v>SRR17929556</v>
          </cell>
          <cell r="C853">
            <v>4337</v>
          </cell>
          <cell r="D853">
            <v>21</v>
          </cell>
          <cell r="E853" t="str">
            <v>Gallus gallus</v>
          </cell>
          <cell r="F853" t="str">
            <v>Campylobacter jejuni</v>
          </cell>
          <cell r="G853" t="str">
            <v>exact</v>
          </cell>
          <cell r="H853" t="str">
            <v>CAMP0331(cmeB)_604</v>
          </cell>
          <cell r="I853" t="str">
            <v>CAMP0331(cmeB)</v>
          </cell>
          <cell r="J853">
            <v>604</v>
          </cell>
        </row>
        <row r="854">
          <cell r="A854" t="str">
            <v>SC0941</v>
          </cell>
          <cell r="B854" t="str">
            <v>SRR17929557</v>
          </cell>
          <cell r="C854">
            <v>900</v>
          </cell>
          <cell r="D854">
            <v>0</v>
          </cell>
          <cell r="E854" t="str">
            <v>Gallus gallus</v>
          </cell>
          <cell r="F854" t="str">
            <v>Campylobacter coli</v>
          </cell>
          <cell r="G854" t="str">
            <v>exact</v>
          </cell>
          <cell r="H854" t="str">
            <v>CAMP0331(cmeB)_100</v>
          </cell>
          <cell r="I854" t="str">
            <v>CAMP0331(cmeB)</v>
          </cell>
          <cell r="J854">
            <v>100</v>
          </cell>
        </row>
        <row r="855">
          <cell r="A855" t="str">
            <v>SC0939</v>
          </cell>
          <cell r="B855" t="str">
            <v>SRR17929558</v>
          </cell>
          <cell r="C855">
            <v>2345</v>
          </cell>
          <cell r="D855">
            <v>206</v>
          </cell>
          <cell r="E855" t="str">
            <v>Homo sapiens</v>
          </cell>
          <cell r="F855" t="str">
            <v>Campylobacter jejuni</v>
          </cell>
          <cell r="G855" t="str">
            <v>exact</v>
          </cell>
          <cell r="H855" t="str">
            <v>CAMP0331(cmeB)_158</v>
          </cell>
          <cell r="I855" t="str">
            <v>CAMP0331(cmeB)</v>
          </cell>
          <cell r="J855">
            <v>158</v>
          </cell>
        </row>
        <row r="856">
          <cell r="A856" t="str">
            <v>SC0938</v>
          </cell>
          <cell r="B856" t="str">
            <v>SRR17929559</v>
          </cell>
          <cell r="C856">
            <v>227</v>
          </cell>
          <cell r="D856">
            <v>206</v>
          </cell>
          <cell r="E856" t="str">
            <v>Homo sapiens</v>
          </cell>
          <cell r="F856" t="str">
            <v>Campylobacter jejuni</v>
          </cell>
          <cell r="G856" t="str">
            <v>exact</v>
          </cell>
          <cell r="H856" t="str">
            <v>CAMP0331(cmeB)_1</v>
          </cell>
          <cell r="I856" t="str">
            <v>CAMP0331(cmeB)</v>
          </cell>
          <cell r="J856">
            <v>1</v>
          </cell>
        </row>
        <row r="857">
          <cell r="A857" t="str">
            <v>SC0937</v>
          </cell>
          <cell r="B857" t="str">
            <v>SRR17929560</v>
          </cell>
          <cell r="C857">
            <v>227</v>
          </cell>
          <cell r="D857">
            <v>206</v>
          </cell>
          <cell r="E857" t="str">
            <v>Homo sapiens</v>
          </cell>
          <cell r="F857" t="str">
            <v>Campylobacter jejuni</v>
          </cell>
          <cell r="G857" t="str">
            <v>exact</v>
          </cell>
          <cell r="H857" t="str">
            <v>CAMP0331(cmeB)_1</v>
          </cell>
          <cell r="I857" t="str">
            <v>CAMP0331(cmeB)</v>
          </cell>
          <cell r="J857">
            <v>1</v>
          </cell>
        </row>
        <row r="858">
          <cell r="A858" t="str">
            <v>SC0936</v>
          </cell>
          <cell r="B858" t="str">
            <v>SRR17929561</v>
          </cell>
          <cell r="C858">
            <v>5655</v>
          </cell>
          <cell r="D858">
            <v>21</v>
          </cell>
          <cell r="E858" t="str">
            <v>Homo sapiens</v>
          </cell>
          <cell r="F858" t="str">
            <v>Campylobacter jejuni</v>
          </cell>
          <cell r="G858" t="str">
            <v>exact</v>
          </cell>
          <cell r="H858" t="str">
            <v>CAMP0331(cmeB)_604</v>
          </cell>
          <cell r="I858" t="str">
            <v>CAMP0331(cmeB)</v>
          </cell>
          <cell r="J858">
            <v>604</v>
          </cell>
        </row>
        <row r="859">
          <cell r="A859" t="str">
            <v>SC0934</v>
          </cell>
          <cell r="B859" t="str">
            <v>SRR17929562</v>
          </cell>
          <cell r="C859">
            <v>53</v>
          </cell>
          <cell r="D859">
            <v>21</v>
          </cell>
          <cell r="E859" t="str">
            <v>Homo sapiens</v>
          </cell>
          <cell r="F859" t="str">
            <v>Campylobacter jejuni</v>
          </cell>
          <cell r="G859" t="str">
            <v>exact</v>
          </cell>
          <cell r="H859" t="str">
            <v>CAMP0331(cmeB)_604</v>
          </cell>
          <cell r="I859" t="str">
            <v>CAMP0331(cmeB)</v>
          </cell>
          <cell r="J859">
            <v>604</v>
          </cell>
        </row>
        <row r="860">
          <cell r="A860" t="str">
            <v>SC0933</v>
          </cell>
          <cell r="B860" t="str">
            <v>SRR17929563</v>
          </cell>
          <cell r="C860">
            <v>50</v>
          </cell>
          <cell r="D860">
            <v>21</v>
          </cell>
          <cell r="E860" t="str">
            <v>Homo sapiens</v>
          </cell>
          <cell r="F860" t="str">
            <v>Campylobacter jejuni</v>
          </cell>
          <cell r="G860" t="str">
            <v>exact</v>
          </cell>
          <cell r="H860" t="str">
            <v>CAMP0331(cmeB)_1</v>
          </cell>
          <cell r="I860" t="str">
            <v>CAMP0331(cmeB)</v>
          </cell>
          <cell r="J860">
            <v>1</v>
          </cell>
        </row>
        <row r="861">
          <cell r="A861" t="str">
            <v>SC0932</v>
          </cell>
          <cell r="B861" t="str">
            <v>SRR17929564</v>
          </cell>
          <cell r="C861">
            <v>583</v>
          </cell>
          <cell r="D861">
            <v>45</v>
          </cell>
          <cell r="E861" t="str">
            <v>Homo sapiens</v>
          </cell>
          <cell r="F861" t="str">
            <v>Campylobacter jejuni</v>
          </cell>
          <cell r="G861" t="str">
            <v>exact</v>
          </cell>
          <cell r="H861" t="str">
            <v>CAMP0331(cmeB)_24</v>
          </cell>
          <cell r="I861" t="str">
            <v>CAMP0331(cmeB)</v>
          </cell>
          <cell r="J861">
            <v>24</v>
          </cell>
        </row>
        <row r="862">
          <cell r="A862" t="str">
            <v>SC0903</v>
          </cell>
          <cell r="B862" t="str">
            <v>SRR17929565</v>
          </cell>
          <cell r="C862">
            <v>3717</v>
          </cell>
          <cell r="D862">
            <v>21</v>
          </cell>
          <cell r="E862" t="str">
            <v>Bos taurus taurus</v>
          </cell>
          <cell r="F862" t="str">
            <v>Campylobacter jejuni</v>
          </cell>
          <cell r="G862" t="str">
            <v>exact</v>
          </cell>
          <cell r="H862" t="str">
            <v>CAMP0331(cmeB)_604</v>
          </cell>
          <cell r="I862" t="str">
            <v>CAMP0331(cmeB)</v>
          </cell>
          <cell r="J862">
            <v>604</v>
          </cell>
        </row>
        <row r="863">
          <cell r="A863" t="str">
            <v>SC0930</v>
          </cell>
          <cell r="B863" t="str">
            <v>SRR17929566</v>
          </cell>
          <cell r="C863">
            <v>508</v>
          </cell>
          <cell r="D863">
            <v>508</v>
          </cell>
          <cell r="E863" t="str">
            <v>Homo sapiens</v>
          </cell>
          <cell r="F863" t="str">
            <v>Campylobacter jejuni</v>
          </cell>
          <cell r="G863" t="str">
            <v>exact</v>
          </cell>
          <cell r="H863" t="str">
            <v>CAMP0331(cmeB)_43</v>
          </cell>
          <cell r="I863" t="str">
            <v>CAMP0331(cmeB)</v>
          </cell>
          <cell r="J863">
            <v>43</v>
          </cell>
        </row>
        <row r="864">
          <cell r="A864" t="str">
            <v>SC0929</v>
          </cell>
          <cell r="B864" t="str">
            <v>SRR17929567</v>
          </cell>
          <cell r="C864">
            <v>677</v>
          </cell>
          <cell r="D864">
            <v>677</v>
          </cell>
          <cell r="E864" t="str">
            <v>Homo sapiens</v>
          </cell>
          <cell r="F864" t="str">
            <v>Campylobacter jejuni</v>
          </cell>
          <cell r="G864" t="str">
            <v>exact</v>
          </cell>
          <cell r="H864" t="str">
            <v>CAMP0331(cmeB)_39</v>
          </cell>
          <cell r="I864" t="str">
            <v>CAMP0331(cmeB)</v>
          </cell>
          <cell r="J864">
            <v>39</v>
          </cell>
        </row>
        <row r="865">
          <cell r="A865" t="str">
            <v>SC0928</v>
          </cell>
          <cell r="B865" t="str">
            <v>SRR17929568</v>
          </cell>
          <cell r="C865">
            <v>508</v>
          </cell>
          <cell r="D865">
            <v>508</v>
          </cell>
          <cell r="E865" t="str">
            <v>Homo sapiens</v>
          </cell>
          <cell r="F865" t="str">
            <v>Campylobacter jejuni</v>
          </cell>
          <cell r="G865" t="str">
            <v>exact</v>
          </cell>
          <cell r="H865" t="str">
            <v>CAMP0331(cmeB)_43</v>
          </cell>
          <cell r="I865" t="str">
            <v>CAMP0331(cmeB)</v>
          </cell>
          <cell r="J865">
            <v>43</v>
          </cell>
        </row>
        <row r="866">
          <cell r="A866" t="str">
            <v>SC0927</v>
          </cell>
          <cell r="B866" t="str">
            <v>SRR17929569</v>
          </cell>
          <cell r="C866">
            <v>227</v>
          </cell>
          <cell r="D866">
            <v>206</v>
          </cell>
          <cell r="E866" t="str">
            <v>Homo sapiens</v>
          </cell>
          <cell r="F866" t="str">
            <v>Campylobacter jejuni</v>
          </cell>
          <cell r="G866" t="str">
            <v>exact</v>
          </cell>
          <cell r="H866" t="str">
            <v>CAMP0331(cmeB)_1</v>
          </cell>
          <cell r="I866" t="str">
            <v>CAMP0331(cmeB)</v>
          </cell>
          <cell r="J866">
            <v>1</v>
          </cell>
        </row>
        <row r="867">
          <cell r="A867" t="str">
            <v>SC1041</v>
          </cell>
          <cell r="B867" t="str">
            <v>SRR17929570</v>
          </cell>
          <cell r="C867">
            <v>677</v>
          </cell>
          <cell r="D867">
            <v>677</v>
          </cell>
          <cell r="E867" t="str">
            <v>Homo sapiens</v>
          </cell>
          <cell r="F867" t="str">
            <v>Campylobacter jejuni</v>
          </cell>
          <cell r="G867" t="str">
            <v>exact</v>
          </cell>
          <cell r="H867" t="str">
            <v>CAMP0331(cmeB)_39</v>
          </cell>
          <cell r="I867" t="str">
            <v>CAMP0331(cmeB)</v>
          </cell>
          <cell r="J867">
            <v>39</v>
          </cell>
        </row>
        <row r="868">
          <cell r="A868" t="str">
            <v>SC1039</v>
          </cell>
          <cell r="B868" t="str">
            <v>SRR17929571</v>
          </cell>
          <cell r="C868">
            <v>4337</v>
          </cell>
          <cell r="D868">
            <v>21</v>
          </cell>
          <cell r="E868" t="str">
            <v>Homo sapiens</v>
          </cell>
          <cell r="F868" t="str">
            <v>Campylobacter jejuni</v>
          </cell>
          <cell r="G868" t="str">
            <v>exact</v>
          </cell>
          <cell r="H868" t="str">
            <v>CAMP0331(cmeB)_604</v>
          </cell>
          <cell r="I868" t="str">
            <v>CAMP0331(cmeB)</v>
          </cell>
          <cell r="J868">
            <v>604</v>
          </cell>
        </row>
        <row r="869">
          <cell r="A869" t="str">
            <v>SC1038</v>
          </cell>
          <cell r="B869" t="str">
            <v>SRR17929572</v>
          </cell>
          <cell r="C869">
            <v>45</v>
          </cell>
          <cell r="D869">
            <v>45</v>
          </cell>
          <cell r="E869" t="str">
            <v>Homo sapiens</v>
          </cell>
          <cell r="F869" t="str">
            <v>Campylobacter jejuni</v>
          </cell>
          <cell r="G869" t="str">
            <v>exact</v>
          </cell>
          <cell r="H869" t="str">
            <v>CAMP0331(cmeB)_5</v>
          </cell>
          <cell r="I869" t="str">
            <v>CAMP0331(cmeB)</v>
          </cell>
          <cell r="J869">
            <v>5</v>
          </cell>
        </row>
        <row r="870">
          <cell r="A870" t="str">
            <v>SC1037</v>
          </cell>
          <cell r="B870" t="str">
            <v>SRR17929573</v>
          </cell>
          <cell r="C870">
            <v>45</v>
          </cell>
          <cell r="D870">
            <v>45</v>
          </cell>
          <cell r="E870" t="str">
            <v>Homo sapiens</v>
          </cell>
          <cell r="F870" t="str">
            <v>Campylobacter jejuni</v>
          </cell>
          <cell r="G870" t="str">
            <v>exact</v>
          </cell>
          <cell r="H870" t="str">
            <v>CAMP0331(cmeB)_5</v>
          </cell>
          <cell r="I870" t="str">
            <v>CAMP0331(cmeB)</v>
          </cell>
          <cell r="J870">
            <v>5</v>
          </cell>
        </row>
        <row r="871">
          <cell r="A871" t="str">
            <v>SC1036</v>
          </cell>
          <cell r="B871" t="str">
            <v>SRR17929574</v>
          </cell>
          <cell r="C871">
            <v>4337</v>
          </cell>
          <cell r="D871">
            <v>21</v>
          </cell>
          <cell r="E871" t="str">
            <v>Homo sapiens</v>
          </cell>
          <cell r="F871" t="str">
            <v>Campylobacter jejuni</v>
          </cell>
          <cell r="G871" t="str">
            <v>exact</v>
          </cell>
          <cell r="H871" t="str">
            <v>CAMP0331(cmeB)_604</v>
          </cell>
          <cell r="I871" t="str">
            <v>CAMP0331(cmeB)</v>
          </cell>
          <cell r="J871">
            <v>604</v>
          </cell>
        </row>
        <row r="872">
          <cell r="A872" t="str">
            <v>SC1035</v>
          </cell>
          <cell r="B872" t="str">
            <v>SRR17929575</v>
          </cell>
          <cell r="C872">
            <v>48</v>
          </cell>
          <cell r="D872">
            <v>48</v>
          </cell>
          <cell r="E872" t="str">
            <v>Homo sapiens</v>
          </cell>
          <cell r="F872" t="str">
            <v>Campylobacter jejuni</v>
          </cell>
          <cell r="G872" t="str">
            <v>exact</v>
          </cell>
          <cell r="H872" t="str">
            <v>CAMP0331(cmeB)_94</v>
          </cell>
          <cell r="I872" t="str">
            <v>CAMP0331(cmeB)</v>
          </cell>
          <cell r="J872">
            <v>94</v>
          </cell>
        </row>
        <row r="873">
          <cell r="A873" t="str">
            <v>SC1034</v>
          </cell>
          <cell r="B873" t="str">
            <v>SRR17929576</v>
          </cell>
          <cell r="C873">
            <v>8658</v>
          </cell>
          <cell r="D873">
            <v>464</v>
          </cell>
          <cell r="E873" t="str">
            <v>Homo sapiens</v>
          </cell>
          <cell r="F873" t="str">
            <v>Campylobacter jejuni</v>
          </cell>
          <cell r="G873" t="str">
            <v>exact</v>
          </cell>
          <cell r="H873" t="str">
            <v>CAMP0331(cmeB)_1718</v>
          </cell>
          <cell r="I873" t="str">
            <v>CAMP0331(cmeB)</v>
          </cell>
          <cell r="J873">
            <v>1718</v>
          </cell>
        </row>
        <row r="874">
          <cell r="A874" t="str">
            <v>SC1033</v>
          </cell>
          <cell r="B874" t="str">
            <v>SRR17929577</v>
          </cell>
          <cell r="C874">
            <v>4337</v>
          </cell>
          <cell r="D874">
            <v>21</v>
          </cell>
          <cell r="E874" t="str">
            <v>Homo sapiens</v>
          </cell>
          <cell r="F874" t="str">
            <v>Campylobacter jejuni</v>
          </cell>
          <cell r="G874" t="str">
            <v>exact</v>
          </cell>
          <cell r="H874" t="str">
            <v>CAMP0331(cmeB)_604</v>
          </cell>
          <cell r="I874" t="str">
            <v>CAMP0331(cmeB)</v>
          </cell>
          <cell r="J874">
            <v>604</v>
          </cell>
        </row>
        <row r="875">
          <cell r="A875" t="str">
            <v>SC1032</v>
          </cell>
          <cell r="B875" t="str">
            <v>SRR17929578</v>
          </cell>
          <cell r="C875">
            <v>25</v>
          </cell>
          <cell r="D875">
            <v>45</v>
          </cell>
          <cell r="E875" t="str">
            <v>Homo sapiens</v>
          </cell>
          <cell r="F875" t="str">
            <v>Campylobacter jejuni</v>
          </cell>
          <cell r="G875" t="str">
            <v>exact</v>
          </cell>
          <cell r="H875" t="str">
            <v>CAMP0331(cmeB)_5</v>
          </cell>
          <cell r="I875" t="str">
            <v>CAMP0331(cmeB)</v>
          </cell>
          <cell r="J875">
            <v>5</v>
          </cell>
        </row>
        <row r="876">
          <cell r="A876" t="str">
            <v>SC1031</v>
          </cell>
          <cell r="B876" t="str">
            <v>SRR17929579</v>
          </cell>
          <cell r="C876">
            <v>227</v>
          </cell>
          <cell r="D876">
            <v>206</v>
          </cell>
          <cell r="E876" t="str">
            <v>Homo sapiens</v>
          </cell>
          <cell r="F876" t="str">
            <v>Campylobacter jejuni</v>
          </cell>
          <cell r="G876" t="str">
            <v>exact</v>
          </cell>
          <cell r="H876" t="str">
            <v>CAMP0331(cmeB)_1</v>
          </cell>
          <cell r="I876" t="str">
            <v>CAMP0331(cmeB)</v>
          </cell>
          <cell r="J876">
            <v>1</v>
          </cell>
        </row>
        <row r="877">
          <cell r="A877" t="str">
            <v>SC0911</v>
          </cell>
          <cell r="B877" t="str">
            <v>SRR17929580</v>
          </cell>
          <cell r="C877">
            <v>48</v>
          </cell>
          <cell r="D877">
            <v>48</v>
          </cell>
          <cell r="E877" t="str">
            <v>Homo sapiens</v>
          </cell>
          <cell r="F877" t="str">
            <v>Campylobacter jejuni</v>
          </cell>
          <cell r="G877" t="str">
            <v>exact</v>
          </cell>
          <cell r="H877" t="str">
            <v>CAMP0331(cmeB)_94</v>
          </cell>
          <cell r="I877" t="str">
            <v>CAMP0331(cmeB)</v>
          </cell>
          <cell r="J877">
            <v>94</v>
          </cell>
        </row>
        <row r="878">
          <cell r="A878" t="str">
            <v>SC1030</v>
          </cell>
          <cell r="B878" t="str">
            <v>SRR17929581</v>
          </cell>
          <cell r="C878">
            <v>0</v>
          </cell>
          <cell r="D878">
            <v>0</v>
          </cell>
          <cell r="E878" t="str">
            <v>Homo sapiens</v>
          </cell>
          <cell r="F878" t="str">
            <v>Campylobacter jejuni</v>
          </cell>
          <cell r="G878" t="str">
            <v>exact</v>
          </cell>
          <cell r="H878" t="str">
            <v>CAMP0331(cmeB)_604</v>
          </cell>
          <cell r="I878" t="str">
            <v>CAMP0331(cmeB)</v>
          </cell>
          <cell r="J878">
            <v>604</v>
          </cell>
        </row>
        <row r="879">
          <cell r="A879" t="str">
            <v>SC1029</v>
          </cell>
          <cell r="B879" t="str">
            <v>SRR17929582</v>
          </cell>
          <cell r="C879">
            <v>0</v>
          </cell>
          <cell r="D879">
            <v>0</v>
          </cell>
          <cell r="E879" t="str">
            <v>Homo sapiens</v>
          </cell>
          <cell r="F879" t="str">
            <v>Campylobacter jejuni</v>
          </cell>
          <cell r="G879" t="str">
            <v>exact</v>
          </cell>
          <cell r="H879" t="str">
            <v>CAMP0331(cmeB)_1</v>
          </cell>
          <cell r="I879" t="str">
            <v>CAMP0331(cmeB)</v>
          </cell>
          <cell r="J879">
            <v>1</v>
          </cell>
        </row>
        <row r="880">
          <cell r="A880" t="str">
            <v>SC1028</v>
          </cell>
          <cell r="B880" t="str">
            <v>SRR17929583</v>
          </cell>
          <cell r="C880">
            <v>4337</v>
          </cell>
          <cell r="D880">
            <v>21</v>
          </cell>
          <cell r="E880" t="str">
            <v>Homo sapiens</v>
          </cell>
          <cell r="F880" t="str">
            <v>Campylobacter jejuni</v>
          </cell>
          <cell r="G880" t="str">
            <v>exact</v>
          </cell>
          <cell r="H880" t="str">
            <v>CAMP0331(cmeB)_604</v>
          </cell>
          <cell r="I880" t="str">
            <v>CAMP0331(cmeB)</v>
          </cell>
          <cell r="J880">
            <v>604</v>
          </cell>
        </row>
        <row r="881">
          <cell r="A881" t="str">
            <v>SC1026</v>
          </cell>
          <cell r="B881" t="str">
            <v>SRR17929584</v>
          </cell>
          <cell r="C881">
            <v>583</v>
          </cell>
          <cell r="D881">
            <v>45</v>
          </cell>
          <cell r="E881" t="str">
            <v>Homo sapiens</v>
          </cell>
          <cell r="F881" t="str">
            <v>Campylobacter jejuni</v>
          </cell>
          <cell r="G881" t="str">
            <v>exact</v>
          </cell>
          <cell r="H881" t="str">
            <v>CAMP0331(cmeB)_24</v>
          </cell>
          <cell r="I881" t="str">
            <v>CAMP0331(cmeB)</v>
          </cell>
          <cell r="J881">
            <v>24</v>
          </cell>
        </row>
        <row r="882">
          <cell r="A882" t="str">
            <v>SC1022</v>
          </cell>
          <cell r="B882" t="str">
            <v>SRR17929585</v>
          </cell>
          <cell r="C882">
            <v>699</v>
          </cell>
          <cell r="D882">
            <v>692</v>
          </cell>
          <cell r="E882" t="str">
            <v>Homo sapiens</v>
          </cell>
          <cell r="F882" t="str">
            <v>Campylobacter jejuni</v>
          </cell>
          <cell r="G882" t="str">
            <v>exact</v>
          </cell>
          <cell r="H882" t="str">
            <v>CAMP0331(cmeB)_68</v>
          </cell>
          <cell r="I882" t="str">
            <v>CAMP0331(cmeB)</v>
          </cell>
          <cell r="J882">
            <v>68</v>
          </cell>
        </row>
        <row r="883">
          <cell r="A883" t="str">
            <v>SC1021</v>
          </cell>
          <cell r="B883" t="str">
            <v>SRR17929586</v>
          </cell>
          <cell r="C883">
            <v>583</v>
          </cell>
          <cell r="D883">
            <v>45</v>
          </cell>
          <cell r="E883" t="str">
            <v>Homo sapiens</v>
          </cell>
          <cell r="F883" t="str">
            <v>Campylobacter jejuni</v>
          </cell>
          <cell r="G883" t="str">
            <v>exact</v>
          </cell>
          <cell r="H883" t="str">
            <v>CAMP0331(cmeB)_24</v>
          </cell>
          <cell r="I883" t="str">
            <v>CAMP0331(cmeB)</v>
          </cell>
          <cell r="J883">
            <v>24</v>
          </cell>
        </row>
        <row r="884">
          <cell r="A884" t="str">
            <v>SC1019</v>
          </cell>
          <cell r="B884" t="str">
            <v>SRR17929587</v>
          </cell>
          <cell r="C884">
            <v>677</v>
          </cell>
          <cell r="D884">
            <v>677</v>
          </cell>
          <cell r="E884" t="str">
            <v>Homo sapiens</v>
          </cell>
          <cell r="F884" t="str">
            <v>Campylobacter jejuni</v>
          </cell>
          <cell r="G884" t="str">
            <v>exact</v>
          </cell>
          <cell r="H884" t="str">
            <v>CAMP0331(cmeB)_39</v>
          </cell>
          <cell r="I884" t="str">
            <v>CAMP0331(cmeB)</v>
          </cell>
          <cell r="J884">
            <v>39</v>
          </cell>
        </row>
        <row r="885">
          <cell r="A885" t="str">
            <v>SC1017</v>
          </cell>
          <cell r="B885" t="str">
            <v>SRR17929588</v>
          </cell>
          <cell r="C885">
            <v>61</v>
          </cell>
          <cell r="D885">
            <v>61</v>
          </cell>
          <cell r="E885" t="str">
            <v>Homo sapiens</v>
          </cell>
          <cell r="F885" t="str">
            <v>Campylobacter jejuni</v>
          </cell>
          <cell r="G885" t="str">
            <v>exact</v>
          </cell>
          <cell r="H885" t="str">
            <v>CAMP0331(cmeB)_14</v>
          </cell>
          <cell r="I885" t="str">
            <v>CAMP0331(cmeB)</v>
          </cell>
          <cell r="J885">
            <v>14</v>
          </cell>
        </row>
        <row r="886">
          <cell r="A886" t="str">
            <v>SC1016</v>
          </cell>
          <cell r="B886" t="str">
            <v>SRR17929589</v>
          </cell>
          <cell r="C886">
            <v>0</v>
          </cell>
          <cell r="D886">
            <v>0</v>
          </cell>
          <cell r="E886" t="str">
            <v>Homo sapiens</v>
          </cell>
          <cell r="F886" t="str">
            <v>Campylobacter jejuni</v>
          </cell>
          <cell r="G886" t="str">
            <v>exact</v>
          </cell>
          <cell r="H886" t="str">
            <v>CAMP0331(cmeB)_64</v>
          </cell>
          <cell r="I886" t="str">
            <v>CAMP0331(cmeB)</v>
          </cell>
          <cell r="J886">
            <v>64</v>
          </cell>
        </row>
        <row r="887">
          <cell r="A887" t="str">
            <v>SC1015</v>
          </cell>
          <cell r="B887" t="str">
            <v>SRR17929590</v>
          </cell>
          <cell r="C887">
            <v>45</v>
          </cell>
          <cell r="D887">
            <v>45</v>
          </cell>
          <cell r="E887" t="str">
            <v>Homo sapiens</v>
          </cell>
          <cell r="F887" t="str">
            <v>Campylobacter jejuni</v>
          </cell>
          <cell r="G887" t="str">
            <v>exact</v>
          </cell>
          <cell r="H887" t="str">
            <v>CAMP0331(cmeB)_5</v>
          </cell>
          <cell r="I887" t="str">
            <v>CAMP0331(cmeB)</v>
          </cell>
          <cell r="J887">
            <v>5</v>
          </cell>
        </row>
        <row r="888">
          <cell r="A888" t="str">
            <v>SC0910</v>
          </cell>
          <cell r="B888" t="str">
            <v>SRR17929591</v>
          </cell>
          <cell r="C888">
            <v>45</v>
          </cell>
          <cell r="D888">
            <v>45</v>
          </cell>
          <cell r="E888" t="str">
            <v>Homo sapiens</v>
          </cell>
          <cell r="F888" t="str">
            <v>Campylobacter jejuni</v>
          </cell>
          <cell r="G888" t="str">
            <v>exact</v>
          </cell>
          <cell r="H888" t="str">
            <v>CAMP0331(cmeB)_260</v>
          </cell>
          <cell r="I888" t="str">
            <v>CAMP0331(cmeB)</v>
          </cell>
          <cell r="J888">
            <v>260</v>
          </cell>
        </row>
        <row r="889">
          <cell r="A889" t="str">
            <v>SC1013</v>
          </cell>
          <cell r="B889" t="str">
            <v>SRR17929592</v>
          </cell>
          <cell r="C889">
            <v>422</v>
          </cell>
          <cell r="D889">
            <v>21</v>
          </cell>
          <cell r="E889" t="str">
            <v>Gallus gallus</v>
          </cell>
          <cell r="F889" t="str">
            <v>Campylobacter jejuni</v>
          </cell>
          <cell r="G889" t="str">
            <v>exact</v>
          </cell>
          <cell r="H889" t="str">
            <v>CAMP0331(cmeB)_604</v>
          </cell>
          <cell r="I889" t="str">
            <v>CAMP0331(cmeB)</v>
          </cell>
          <cell r="J889">
            <v>604</v>
          </cell>
        </row>
        <row r="890">
          <cell r="A890" t="str">
            <v>SC1012</v>
          </cell>
          <cell r="B890" t="str">
            <v>SRR17929593</v>
          </cell>
          <cell r="C890">
            <v>53</v>
          </cell>
          <cell r="D890">
            <v>21</v>
          </cell>
          <cell r="E890" t="str">
            <v>Gallus gallus</v>
          </cell>
          <cell r="F890" t="str">
            <v>Campylobacter jejuni</v>
          </cell>
          <cell r="G890" t="str">
            <v>exact</v>
          </cell>
          <cell r="H890" t="str">
            <v>CAMP0331(cmeB)_604</v>
          </cell>
          <cell r="I890" t="str">
            <v>CAMP0331(cmeB)</v>
          </cell>
          <cell r="J890">
            <v>604</v>
          </cell>
        </row>
        <row r="891">
          <cell r="A891" t="str">
            <v>SC1011</v>
          </cell>
          <cell r="B891" t="str">
            <v>SRR17929594</v>
          </cell>
          <cell r="C891">
            <v>2345</v>
          </cell>
          <cell r="D891">
            <v>206</v>
          </cell>
          <cell r="E891" t="str">
            <v>Gallus gallus</v>
          </cell>
          <cell r="F891" t="str">
            <v>Campylobacter jejuni</v>
          </cell>
          <cell r="G891" t="str">
            <v>exact</v>
          </cell>
          <cell r="H891" t="str">
            <v>CAMP0331(cmeB)_158</v>
          </cell>
          <cell r="I891" t="str">
            <v>CAMP0331(cmeB)</v>
          </cell>
          <cell r="J891">
            <v>158</v>
          </cell>
        </row>
        <row r="892">
          <cell r="A892" t="str">
            <v>SC1010</v>
          </cell>
          <cell r="B892" t="str">
            <v>SRR17929595</v>
          </cell>
          <cell r="C892">
            <v>0</v>
          </cell>
          <cell r="D892">
            <v>0</v>
          </cell>
          <cell r="E892" t="str">
            <v>Homo sapiens</v>
          </cell>
          <cell r="F892" t="str">
            <v>Campylobacter coli</v>
          </cell>
          <cell r="G892" t="str">
            <v>exact</v>
          </cell>
          <cell r="H892" t="str">
            <v>CAMP0331(cmeB)_253</v>
          </cell>
          <cell r="I892" t="str">
            <v>CAMP0331(cmeB)</v>
          </cell>
          <cell r="J892">
            <v>253</v>
          </cell>
        </row>
        <row r="893">
          <cell r="A893" t="str">
            <v>SC1009</v>
          </cell>
          <cell r="B893" t="str">
            <v>SRR17929596</v>
          </cell>
          <cell r="C893">
            <v>474</v>
          </cell>
          <cell r="D893">
            <v>48</v>
          </cell>
          <cell r="E893" t="str">
            <v>Homo sapiens</v>
          </cell>
          <cell r="F893" t="str">
            <v>Campylobacter jejuni</v>
          </cell>
          <cell r="G893" t="str">
            <v>exact</v>
          </cell>
          <cell r="H893" t="str">
            <v>CAMP0331(cmeB)_1</v>
          </cell>
          <cell r="I893" t="str">
            <v>CAMP0331(cmeB)</v>
          </cell>
          <cell r="J893">
            <v>1</v>
          </cell>
        </row>
        <row r="894">
          <cell r="A894" t="str">
            <v>SC1007</v>
          </cell>
          <cell r="B894" t="str">
            <v>SRR17929597</v>
          </cell>
          <cell r="C894">
            <v>583</v>
          </cell>
          <cell r="D894">
            <v>45</v>
          </cell>
          <cell r="E894" t="str">
            <v>Homo sapiens</v>
          </cell>
          <cell r="F894" t="str">
            <v>Campylobacter jejuni</v>
          </cell>
          <cell r="G894" t="str">
            <v>exact</v>
          </cell>
          <cell r="H894" t="str">
            <v>CAMP0331(cmeB)_24</v>
          </cell>
          <cell r="I894" t="str">
            <v>CAMP0331(cmeB)</v>
          </cell>
          <cell r="J894">
            <v>24</v>
          </cell>
        </row>
        <row r="895">
          <cell r="A895" t="str">
            <v>SC0926</v>
          </cell>
          <cell r="B895" t="str">
            <v>SRR17929598</v>
          </cell>
          <cell r="C895">
            <v>45</v>
          </cell>
          <cell r="D895">
            <v>45</v>
          </cell>
          <cell r="E895" t="str">
            <v>Homo sapiens</v>
          </cell>
          <cell r="F895" t="str">
            <v>Campylobacter jejuni</v>
          </cell>
          <cell r="G895" t="str">
            <v>exact</v>
          </cell>
          <cell r="H895" t="str">
            <v>CAMP0331(cmeB)_5</v>
          </cell>
          <cell r="I895" t="str">
            <v>CAMP0331(cmeB)</v>
          </cell>
          <cell r="J895">
            <v>5</v>
          </cell>
        </row>
        <row r="896">
          <cell r="A896" t="str">
            <v>SC0925</v>
          </cell>
          <cell r="B896" t="str">
            <v>SRR17929599</v>
          </cell>
          <cell r="C896">
            <v>422</v>
          </cell>
          <cell r="D896">
            <v>21</v>
          </cell>
          <cell r="E896" t="str">
            <v>Homo sapiens</v>
          </cell>
          <cell r="F896" t="str">
            <v>Campylobacter jejuni</v>
          </cell>
          <cell r="G896" t="str">
            <v>exact</v>
          </cell>
          <cell r="H896" t="str">
            <v>CAMP0331(cmeB)_604</v>
          </cell>
          <cell r="I896" t="str">
            <v>CAMP0331(cmeB)</v>
          </cell>
          <cell r="J896">
            <v>604</v>
          </cell>
        </row>
        <row r="897">
          <cell r="A897" t="str">
            <v>SC0923</v>
          </cell>
          <cell r="B897" t="str">
            <v>SRR17929600</v>
          </cell>
          <cell r="C897">
            <v>4337</v>
          </cell>
          <cell r="D897">
            <v>21</v>
          </cell>
          <cell r="E897" t="str">
            <v>Homo sapiens</v>
          </cell>
          <cell r="F897" t="str">
            <v>Campylobacter jejuni</v>
          </cell>
          <cell r="G897" t="str">
            <v>exact</v>
          </cell>
          <cell r="H897" t="str">
            <v>CAMP0331(cmeB)_604</v>
          </cell>
          <cell r="I897" t="str">
            <v>CAMP0331(cmeB)</v>
          </cell>
          <cell r="J897">
            <v>604</v>
          </cell>
        </row>
        <row r="898">
          <cell r="A898" t="str">
            <v>SC1089</v>
          </cell>
          <cell r="B898" t="str">
            <v>SRR17929601</v>
          </cell>
          <cell r="C898">
            <v>53</v>
          </cell>
          <cell r="D898">
            <v>21</v>
          </cell>
          <cell r="E898" t="str">
            <v>Homo sapiens</v>
          </cell>
          <cell r="F898" t="str">
            <v>Campylobacter jejuni</v>
          </cell>
          <cell r="G898" t="str">
            <v>exact</v>
          </cell>
          <cell r="H898" t="str">
            <v>CAMP0331(cmeB)_604</v>
          </cell>
          <cell r="I898" t="str">
            <v>CAMP0331(cmeB)</v>
          </cell>
          <cell r="J898">
            <v>604</v>
          </cell>
        </row>
        <row r="899">
          <cell r="A899" t="str">
            <v>SC1088</v>
          </cell>
          <cell r="B899" t="str">
            <v>SRR17929602</v>
          </cell>
          <cell r="C899">
            <v>45</v>
          </cell>
          <cell r="D899">
            <v>45</v>
          </cell>
          <cell r="E899" t="str">
            <v>Homo sapiens</v>
          </cell>
          <cell r="F899" t="str">
            <v>Campylobacter jejuni</v>
          </cell>
          <cell r="G899" t="str">
            <v>exact</v>
          </cell>
          <cell r="H899" t="str">
            <v>CAMP0331(cmeB)_5</v>
          </cell>
          <cell r="I899" t="str">
            <v>CAMP0331(cmeB)</v>
          </cell>
          <cell r="J899">
            <v>5</v>
          </cell>
        </row>
        <row r="900">
          <cell r="A900" t="str">
            <v>SC1087</v>
          </cell>
          <cell r="B900" t="str">
            <v>SRR17929603</v>
          </cell>
          <cell r="C900">
            <v>45</v>
          </cell>
          <cell r="D900">
            <v>45</v>
          </cell>
          <cell r="E900" t="str">
            <v>Homo sapiens</v>
          </cell>
          <cell r="F900" t="str">
            <v>Campylobacter jejuni</v>
          </cell>
          <cell r="G900" t="str">
            <v>exact</v>
          </cell>
          <cell r="H900" t="str">
            <v>CAMP0331(cmeB)_3616</v>
          </cell>
          <cell r="I900" t="str">
            <v>CAMP0331(cmeB)</v>
          </cell>
          <cell r="J900">
            <v>3616</v>
          </cell>
        </row>
        <row r="901">
          <cell r="A901" t="str">
            <v>SC1086</v>
          </cell>
          <cell r="B901" t="str">
            <v>SRR17929604</v>
          </cell>
          <cell r="C901">
            <v>2345</v>
          </cell>
          <cell r="D901">
            <v>206</v>
          </cell>
          <cell r="E901" t="str">
            <v>Homo sapiens</v>
          </cell>
          <cell r="F901" t="str">
            <v>Campylobacter jejuni</v>
          </cell>
          <cell r="G901" t="str">
            <v>exact</v>
          </cell>
          <cell r="H901" t="str">
            <v>CAMP0331(cmeB)_158</v>
          </cell>
          <cell r="I901" t="str">
            <v>CAMP0331(cmeB)</v>
          </cell>
          <cell r="J901">
            <v>158</v>
          </cell>
        </row>
        <row r="902">
          <cell r="A902" t="str">
            <v>SC1082</v>
          </cell>
          <cell r="B902" t="str">
            <v>SRR17929605</v>
          </cell>
          <cell r="C902">
            <v>583</v>
          </cell>
          <cell r="D902">
            <v>45</v>
          </cell>
          <cell r="E902" t="str">
            <v>Homo sapiens</v>
          </cell>
          <cell r="F902" t="str">
            <v>Campylobacter jejuni</v>
          </cell>
          <cell r="G902" t="str">
            <v>exact</v>
          </cell>
          <cell r="H902" t="str">
            <v>CAMP0331(cmeB)_24</v>
          </cell>
          <cell r="I902" t="str">
            <v>CAMP0331(cmeB)</v>
          </cell>
          <cell r="J902">
            <v>24</v>
          </cell>
        </row>
        <row r="903">
          <cell r="A903" t="str">
            <v>SC1081</v>
          </cell>
          <cell r="B903" t="str">
            <v>SRR17929606</v>
          </cell>
          <cell r="C903">
            <v>45</v>
          </cell>
          <cell r="D903">
            <v>45</v>
          </cell>
          <cell r="E903" t="str">
            <v>Homo sapiens</v>
          </cell>
          <cell r="F903" t="str">
            <v>Campylobacter jejuni</v>
          </cell>
          <cell r="G903" t="str">
            <v>exact</v>
          </cell>
          <cell r="H903" t="str">
            <v>CAMP0331(cmeB)_5</v>
          </cell>
          <cell r="I903" t="str">
            <v>CAMP0331(cmeB)</v>
          </cell>
          <cell r="J903">
            <v>5</v>
          </cell>
        </row>
        <row r="904">
          <cell r="A904" t="str">
            <v>SC1079</v>
          </cell>
          <cell r="B904" t="str">
            <v>SRR17929607</v>
          </cell>
          <cell r="C904">
            <v>45</v>
          </cell>
          <cell r="D904">
            <v>45</v>
          </cell>
          <cell r="E904" t="str">
            <v>Homo sapiens</v>
          </cell>
          <cell r="F904" t="str">
            <v>Campylobacter jejuni</v>
          </cell>
          <cell r="G904" t="str">
            <v>exact</v>
          </cell>
          <cell r="H904" t="str">
            <v>CAMP0331(cmeB)_5</v>
          </cell>
          <cell r="I904" t="str">
            <v>CAMP0331(cmeB)</v>
          </cell>
          <cell r="J904">
            <v>5</v>
          </cell>
        </row>
        <row r="905">
          <cell r="A905" t="str">
            <v>SC1076</v>
          </cell>
          <cell r="B905" t="str">
            <v>SRR17929608</v>
          </cell>
          <cell r="C905">
            <v>677</v>
          </cell>
          <cell r="D905">
            <v>677</v>
          </cell>
          <cell r="E905" t="str">
            <v>Homo sapiens</v>
          </cell>
          <cell r="F905" t="str">
            <v>Campylobacter jejuni</v>
          </cell>
          <cell r="G905" t="str">
            <v>exact</v>
          </cell>
          <cell r="H905" t="str">
            <v>CAMP0331(cmeB)_39</v>
          </cell>
          <cell r="I905" t="str">
            <v>CAMP0331(cmeB)</v>
          </cell>
          <cell r="J905">
            <v>39</v>
          </cell>
        </row>
        <row r="906">
          <cell r="A906" t="str">
            <v>SC0920</v>
          </cell>
          <cell r="B906" t="str">
            <v>SRR17929609</v>
          </cell>
          <cell r="C906">
            <v>4337</v>
          </cell>
          <cell r="D906">
            <v>21</v>
          </cell>
          <cell r="E906" t="str">
            <v>Homo sapiens</v>
          </cell>
          <cell r="F906" t="str">
            <v>Campylobacter jejuni</v>
          </cell>
          <cell r="G906" t="str">
            <v>exact</v>
          </cell>
          <cell r="H906" t="str">
            <v>CAMP0331(cmeB)_604</v>
          </cell>
          <cell r="I906" t="str">
            <v>CAMP0331(cmeB)</v>
          </cell>
          <cell r="J906">
            <v>604</v>
          </cell>
        </row>
        <row r="907">
          <cell r="A907" t="str">
            <v>SC1072</v>
          </cell>
          <cell r="B907" t="str">
            <v>SRR17929611</v>
          </cell>
          <cell r="C907">
            <v>677</v>
          </cell>
          <cell r="D907">
            <v>677</v>
          </cell>
          <cell r="E907" t="str">
            <v>Homo sapiens</v>
          </cell>
          <cell r="F907" t="str">
            <v>Campylobacter jejuni</v>
          </cell>
          <cell r="G907" t="str">
            <v>exact</v>
          </cell>
          <cell r="H907" t="str">
            <v>CAMP0331(cmeB)_39</v>
          </cell>
          <cell r="I907" t="str">
            <v>CAMP0331(cmeB)</v>
          </cell>
          <cell r="J907">
            <v>39</v>
          </cell>
        </row>
        <row r="908">
          <cell r="A908" t="str">
            <v>SC1071</v>
          </cell>
          <cell r="B908" t="str">
            <v>SRR17929612</v>
          </cell>
          <cell r="C908">
            <v>45</v>
          </cell>
          <cell r="D908">
            <v>45</v>
          </cell>
          <cell r="E908" t="str">
            <v>Homo sapiens</v>
          </cell>
          <cell r="F908" t="str">
            <v>Campylobacter jejuni</v>
          </cell>
          <cell r="G908" t="str">
            <v>exact</v>
          </cell>
          <cell r="H908" t="str">
            <v>CAMP0331(cmeB)_5</v>
          </cell>
          <cell r="I908" t="str">
            <v>CAMP0331(cmeB)</v>
          </cell>
          <cell r="J908">
            <v>5</v>
          </cell>
        </row>
        <row r="909">
          <cell r="A909" t="str">
            <v>SC1069</v>
          </cell>
          <cell r="B909" t="str">
            <v>SRR17929613</v>
          </cell>
          <cell r="C909">
            <v>45</v>
          </cell>
          <cell r="D909">
            <v>45</v>
          </cell>
          <cell r="E909" t="str">
            <v>Homo sapiens</v>
          </cell>
          <cell r="F909" t="str">
            <v>Campylobacter jejuni</v>
          </cell>
          <cell r="G909" t="str">
            <v>exact</v>
          </cell>
          <cell r="H909" t="str">
            <v>CAMP0331(cmeB)_5</v>
          </cell>
          <cell r="I909" t="str">
            <v>CAMP0331(cmeB)</v>
          </cell>
          <cell r="J909">
            <v>5</v>
          </cell>
        </row>
        <row r="910">
          <cell r="A910" t="str">
            <v>SC1067</v>
          </cell>
          <cell r="B910" t="str">
            <v>SRR17929614</v>
          </cell>
          <cell r="C910">
            <v>6964</v>
          </cell>
          <cell r="D910">
            <v>354</v>
          </cell>
          <cell r="E910" t="str">
            <v>Homo sapiens</v>
          </cell>
          <cell r="F910" t="str">
            <v>Campylobacter jejuni</v>
          </cell>
          <cell r="G910" t="str">
            <v>exact</v>
          </cell>
          <cell r="H910" t="str">
            <v>CAMP0331(cmeB)_1451</v>
          </cell>
          <cell r="I910" t="str">
            <v>CAMP0331(cmeB)</v>
          </cell>
          <cell r="J910">
            <v>1451</v>
          </cell>
        </row>
        <row r="911">
          <cell r="A911" t="str">
            <v>SC1066</v>
          </cell>
          <cell r="B911" t="str">
            <v>SRR17929615</v>
          </cell>
          <cell r="C911">
            <v>25</v>
          </cell>
          <cell r="D911">
            <v>45</v>
          </cell>
          <cell r="E911" t="str">
            <v>Homo sapiens</v>
          </cell>
          <cell r="F911" t="str">
            <v>Campylobacter jejuni</v>
          </cell>
          <cell r="G911" t="str">
            <v>exact</v>
          </cell>
          <cell r="H911" t="str">
            <v>CAMP0331(cmeB)_5</v>
          </cell>
          <cell r="I911" t="str">
            <v>CAMP0331(cmeB)</v>
          </cell>
          <cell r="J911">
            <v>5</v>
          </cell>
        </row>
        <row r="912">
          <cell r="A912" t="str">
            <v>SC1065</v>
          </cell>
          <cell r="B912" t="str">
            <v>SRR17929616</v>
          </cell>
          <cell r="C912">
            <v>829</v>
          </cell>
          <cell r="D912">
            <v>828</v>
          </cell>
          <cell r="E912" t="str">
            <v>Ovis aries</v>
          </cell>
          <cell r="F912" t="str">
            <v>Campylobacter coli</v>
          </cell>
          <cell r="G912" t="str">
            <v>exact</v>
          </cell>
          <cell r="H912" t="str">
            <v>CAMP0331(cmeB)_28</v>
          </cell>
          <cell r="I912" t="str">
            <v>CAMP0331(cmeB)</v>
          </cell>
          <cell r="J912">
            <v>28</v>
          </cell>
        </row>
        <row r="913">
          <cell r="A913" t="str">
            <v>SC1064</v>
          </cell>
          <cell r="B913" t="str">
            <v>SRR17929617</v>
          </cell>
          <cell r="C913">
            <v>0</v>
          </cell>
          <cell r="D913">
            <v>0</v>
          </cell>
          <cell r="E913" t="str">
            <v>Ovis aries</v>
          </cell>
          <cell r="F913" t="str">
            <v>Campylobacter jejuni</v>
          </cell>
          <cell r="G913" t="str">
            <v>exact</v>
          </cell>
          <cell r="H913" t="str">
            <v>CAMP0331(cmeB)_14</v>
          </cell>
          <cell r="I913" t="str">
            <v>CAMP0331(cmeB)</v>
          </cell>
          <cell r="J913">
            <v>14</v>
          </cell>
        </row>
        <row r="914">
          <cell r="A914" t="str">
            <v>SC1063</v>
          </cell>
          <cell r="B914" t="str">
            <v>SRR17929618</v>
          </cell>
          <cell r="C914">
            <v>45</v>
          </cell>
          <cell r="D914">
            <v>45</v>
          </cell>
          <cell r="E914" t="str">
            <v>Ovis aries</v>
          </cell>
          <cell r="F914" t="str">
            <v>Campylobacter jejuni</v>
          </cell>
          <cell r="G914" t="str">
            <v>exact</v>
          </cell>
          <cell r="H914" t="str">
            <v>CAMP0331(cmeB)_5</v>
          </cell>
          <cell r="I914" t="str">
            <v>CAMP0331(cmeB)</v>
          </cell>
          <cell r="J914">
            <v>5</v>
          </cell>
        </row>
        <row r="915">
          <cell r="A915" t="str">
            <v>SC1062</v>
          </cell>
          <cell r="B915" t="str">
            <v>SRR17929619</v>
          </cell>
          <cell r="C915">
            <v>0</v>
          </cell>
          <cell r="D915">
            <v>0</v>
          </cell>
          <cell r="E915" t="str">
            <v>Ovis aries</v>
          </cell>
          <cell r="F915" t="str">
            <v>Campylobacter jejuni</v>
          </cell>
          <cell r="G915" t="str">
            <v>exact</v>
          </cell>
          <cell r="H915" t="str">
            <v>CAMP0331(cmeB)_14</v>
          </cell>
          <cell r="I915" t="str">
            <v>CAMP0331(cmeB)</v>
          </cell>
          <cell r="J915">
            <v>14</v>
          </cell>
        </row>
        <row r="916">
          <cell r="A916" t="str">
            <v>SC0918</v>
          </cell>
          <cell r="B916" t="str">
            <v>SRR17929620</v>
          </cell>
          <cell r="C916">
            <v>583</v>
          </cell>
          <cell r="D916">
            <v>45</v>
          </cell>
          <cell r="E916" t="str">
            <v>Homo sapiens</v>
          </cell>
          <cell r="F916" t="str">
            <v>Campylobacter jejuni</v>
          </cell>
          <cell r="G916" t="str">
            <v>exact</v>
          </cell>
          <cell r="H916" t="str">
            <v>CAMP0331(cmeB)_24</v>
          </cell>
          <cell r="I916" t="str">
            <v>CAMP0331(cmeB)</v>
          </cell>
          <cell r="J916">
            <v>24</v>
          </cell>
        </row>
        <row r="917">
          <cell r="A917" t="str">
            <v>SC1061</v>
          </cell>
          <cell r="B917" t="str">
            <v>SRR17929621</v>
          </cell>
          <cell r="C917">
            <v>3072</v>
          </cell>
          <cell r="D917">
            <v>828</v>
          </cell>
          <cell r="E917" t="str">
            <v>Ovis aries</v>
          </cell>
          <cell r="F917" t="str">
            <v>Campylobacter coli</v>
          </cell>
          <cell r="G917" t="str">
            <v>exact</v>
          </cell>
          <cell r="H917" t="str">
            <v>CAMP0331(cmeB)_1205</v>
          </cell>
          <cell r="I917" t="str">
            <v>CAMP0331(cmeB)</v>
          </cell>
          <cell r="J917">
            <v>1205</v>
          </cell>
        </row>
        <row r="918">
          <cell r="A918" t="str">
            <v>SC1060</v>
          </cell>
          <cell r="B918" t="str">
            <v>SRR17929622</v>
          </cell>
          <cell r="C918">
            <v>45</v>
          </cell>
          <cell r="D918">
            <v>45</v>
          </cell>
          <cell r="E918" t="str">
            <v>Ovis aries</v>
          </cell>
          <cell r="F918" t="str">
            <v>Campylobacter jejuni</v>
          </cell>
          <cell r="G918" t="str">
            <v>exact</v>
          </cell>
          <cell r="H918" t="str">
            <v>CAMP0331(cmeB)_5</v>
          </cell>
          <cell r="I918" t="str">
            <v>CAMP0331(cmeB)</v>
          </cell>
          <cell r="J918">
            <v>5</v>
          </cell>
        </row>
        <row r="919">
          <cell r="A919" t="str">
            <v>SC1058</v>
          </cell>
          <cell r="B919" t="str">
            <v>SRR17929623</v>
          </cell>
          <cell r="C919">
            <v>48</v>
          </cell>
          <cell r="D919">
            <v>48</v>
          </cell>
          <cell r="E919" t="str">
            <v>Homo sapiens</v>
          </cell>
          <cell r="F919" t="str">
            <v>Campylobacter jejuni</v>
          </cell>
          <cell r="G919" t="str">
            <v>exact</v>
          </cell>
          <cell r="H919" t="str">
            <v>CAMP0331(cmeB)_94</v>
          </cell>
          <cell r="I919" t="str">
            <v>CAMP0331(cmeB)</v>
          </cell>
          <cell r="J919">
            <v>94</v>
          </cell>
        </row>
        <row r="920">
          <cell r="A920" t="str">
            <v>SC1057</v>
          </cell>
          <cell r="B920" t="str">
            <v>SRR17929624</v>
          </cell>
          <cell r="C920">
            <v>4337</v>
          </cell>
          <cell r="D920">
            <v>21</v>
          </cell>
          <cell r="E920" t="str">
            <v>Homo sapiens</v>
          </cell>
          <cell r="F920" t="str">
            <v>Campylobacter jejuni</v>
          </cell>
          <cell r="G920" t="str">
            <v>exact</v>
          </cell>
          <cell r="H920" t="str">
            <v>CAMP0331(cmeB)_604</v>
          </cell>
          <cell r="I920" t="str">
            <v>CAMP0331(cmeB)</v>
          </cell>
          <cell r="J920">
            <v>604</v>
          </cell>
        </row>
        <row r="921">
          <cell r="A921" t="str">
            <v>SC1056</v>
          </cell>
          <cell r="B921" t="str">
            <v>SRR17929625</v>
          </cell>
          <cell r="C921">
            <v>25</v>
          </cell>
          <cell r="D921">
            <v>45</v>
          </cell>
          <cell r="E921" t="str">
            <v>Homo sapiens</v>
          </cell>
          <cell r="F921" t="str">
            <v>Campylobacter jejuni</v>
          </cell>
          <cell r="G921" t="str">
            <v>exact</v>
          </cell>
          <cell r="H921" t="str">
            <v>CAMP0331(cmeB)_5</v>
          </cell>
          <cell r="I921" t="str">
            <v>CAMP0331(cmeB)</v>
          </cell>
          <cell r="J921">
            <v>5</v>
          </cell>
        </row>
        <row r="922">
          <cell r="A922" t="str">
            <v>SC1047</v>
          </cell>
          <cell r="B922" t="str">
            <v>SRR17929626</v>
          </cell>
          <cell r="C922">
            <v>0</v>
          </cell>
          <cell r="D922">
            <v>0</v>
          </cell>
          <cell r="E922" t="str">
            <v>Homo sapiens</v>
          </cell>
          <cell r="F922" t="str">
            <v>Campylobacter jejuni</v>
          </cell>
          <cell r="G922" t="str">
            <v>exact</v>
          </cell>
          <cell r="H922" t="str">
            <v>CAMP0331(cmeB)_54</v>
          </cell>
          <cell r="I922" t="str">
            <v>CAMP0331(cmeB)</v>
          </cell>
          <cell r="J922">
            <v>54</v>
          </cell>
        </row>
        <row r="923">
          <cell r="A923" t="str">
            <v>SC1046</v>
          </cell>
          <cell r="B923" t="str">
            <v>SRR17929627</v>
          </cell>
          <cell r="C923">
            <v>583</v>
          </cell>
          <cell r="D923">
            <v>45</v>
          </cell>
          <cell r="E923" t="str">
            <v>Homo sapiens</v>
          </cell>
          <cell r="F923" t="str">
            <v>Campylobacter jejuni</v>
          </cell>
          <cell r="G923" t="str">
            <v>exact</v>
          </cell>
          <cell r="H923" t="str">
            <v>CAMP0331(cmeB)_24</v>
          </cell>
          <cell r="I923" t="str">
            <v>CAMP0331(cmeB)</v>
          </cell>
          <cell r="J923">
            <v>24</v>
          </cell>
        </row>
        <row r="924">
          <cell r="A924" t="str">
            <v>SC1044</v>
          </cell>
          <cell r="B924" t="str">
            <v>SRR17929628</v>
          </cell>
          <cell r="C924">
            <v>474</v>
          </cell>
          <cell r="D924">
            <v>48</v>
          </cell>
          <cell r="E924" t="str">
            <v>Homo sapiens</v>
          </cell>
          <cell r="F924" t="str">
            <v>Campylobacter jejuni</v>
          </cell>
          <cell r="G924" t="str">
            <v>exact</v>
          </cell>
          <cell r="H924" t="str">
            <v>CAMP0331(cmeB)_1</v>
          </cell>
          <cell r="I924" t="str">
            <v>CAMP0331(cmeB)</v>
          </cell>
          <cell r="J924">
            <v>1</v>
          </cell>
        </row>
        <row r="925">
          <cell r="A925" t="str">
            <v>SC1043</v>
          </cell>
          <cell r="B925" t="str">
            <v>SRR17929629</v>
          </cell>
          <cell r="C925">
            <v>190</v>
          </cell>
          <cell r="D925">
            <v>21</v>
          </cell>
          <cell r="E925" t="str">
            <v>Homo sapiens</v>
          </cell>
          <cell r="F925" t="str">
            <v>Campylobacter jejuni</v>
          </cell>
          <cell r="G925" t="str">
            <v>exact</v>
          </cell>
          <cell r="H925" t="str">
            <v>CAMP0331(cmeB)_604</v>
          </cell>
          <cell r="I925" t="str">
            <v>CAMP0331(cmeB)</v>
          </cell>
          <cell r="J925">
            <v>604</v>
          </cell>
        </row>
        <row r="926">
          <cell r="A926" t="str">
            <v>SC1042</v>
          </cell>
          <cell r="B926" t="str">
            <v>SRR17929630</v>
          </cell>
          <cell r="C926">
            <v>48</v>
          </cell>
          <cell r="D926">
            <v>48</v>
          </cell>
          <cell r="E926" t="str">
            <v>Homo sapiens</v>
          </cell>
          <cell r="F926" t="str">
            <v>Campylobacter jejuni</v>
          </cell>
          <cell r="G926" t="str">
            <v>exact</v>
          </cell>
          <cell r="H926" t="str">
            <v>CAMP0331(cmeB)_94</v>
          </cell>
          <cell r="I926" t="str">
            <v>CAMP0331(cmeB)</v>
          </cell>
          <cell r="J926">
            <v>94</v>
          </cell>
        </row>
        <row r="927">
          <cell r="A927" t="str">
            <v>SC0914</v>
          </cell>
          <cell r="B927" t="str">
            <v>SRR17929631</v>
          </cell>
          <cell r="C927">
            <v>61</v>
          </cell>
          <cell r="D927">
            <v>61</v>
          </cell>
          <cell r="E927" t="str">
            <v>Homo sapiens</v>
          </cell>
          <cell r="F927" t="str">
            <v>Campylobacter jejuni</v>
          </cell>
          <cell r="G927" t="str">
            <v>exact</v>
          </cell>
          <cell r="H927" t="str">
            <v>CAMP0331(cmeB)_14</v>
          </cell>
          <cell r="I927" t="str">
            <v>CAMP0331(cmeB)</v>
          </cell>
          <cell r="J927">
            <v>14</v>
          </cell>
        </row>
        <row r="928">
          <cell r="A928" t="str">
            <v>SC0902</v>
          </cell>
          <cell r="B928" t="str">
            <v>SRR17929632</v>
          </cell>
          <cell r="C928">
            <v>53</v>
          </cell>
          <cell r="D928">
            <v>21</v>
          </cell>
          <cell r="E928" t="str">
            <v>Bos taurus taurus</v>
          </cell>
          <cell r="F928" t="str">
            <v>Campylobacter jejuni</v>
          </cell>
          <cell r="G928" t="str">
            <v>exact</v>
          </cell>
          <cell r="H928" t="str">
            <v>CAMP0331(cmeB)_604</v>
          </cell>
          <cell r="I928" t="str">
            <v>CAMP0331(cmeB)</v>
          </cell>
          <cell r="J928">
            <v>604</v>
          </cell>
        </row>
        <row r="929">
          <cell r="A929" t="str">
            <v>SC0901</v>
          </cell>
          <cell r="B929" t="str">
            <v>SRR17929633</v>
          </cell>
          <cell r="C929">
            <v>0</v>
          </cell>
          <cell r="D929">
            <v>0</v>
          </cell>
          <cell r="E929" t="str">
            <v>Bos taurus taurus</v>
          </cell>
          <cell r="F929" t="str">
            <v>Campylobacter coli</v>
          </cell>
          <cell r="G929" t="str">
            <v>exact</v>
          </cell>
          <cell r="H929" t="str">
            <v>CAMP0331(cmeB)_1205</v>
          </cell>
          <cell r="I929" t="str">
            <v>CAMP0331(cmeB)</v>
          </cell>
          <cell r="J929">
            <v>1205</v>
          </cell>
        </row>
        <row r="930">
          <cell r="A930" t="str">
            <v>SC1227</v>
          </cell>
          <cell r="B930" t="str">
            <v>SRR17964868</v>
          </cell>
          <cell r="C930">
            <v>45</v>
          </cell>
          <cell r="D930">
            <v>45</v>
          </cell>
          <cell r="E930" t="str">
            <v>Homo sapiens</v>
          </cell>
          <cell r="F930" t="str">
            <v>Campylobacter jejuni</v>
          </cell>
          <cell r="G930" t="str">
            <v>exact</v>
          </cell>
          <cell r="H930" t="str">
            <v>CAMP0331(cmeB)_5</v>
          </cell>
          <cell r="I930" t="str">
            <v>CAMP0331(cmeB)</v>
          </cell>
          <cell r="J930">
            <v>5</v>
          </cell>
        </row>
        <row r="931">
          <cell r="A931" t="str">
            <v>SC1226</v>
          </cell>
          <cell r="B931" t="str">
            <v>SRR17964869</v>
          </cell>
          <cell r="C931">
            <v>45</v>
          </cell>
          <cell r="D931">
            <v>45</v>
          </cell>
          <cell r="E931" t="str">
            <v>Homo sapiens</v>
          </cell>
          <cell r="F931" t="str">
            <v>Campylobacter jejuni</v>
          </cell>
          <cell r="G931" t="str">
            <v>exact</v>
          </cell>
          <cell r="H931" t="str">
            <v>CAMP0331(cmeB)_5</v>
          </cell>
          <cell r="I931" t="str">
            <v>CAMP0331(cmeB)</v>
          </cell>
          <cell r="J931">
            <v>5</v>
          </cell>
        </row>
        <row r="932">
          <cell r="A932" t="str">
            <v>SC1225</v>
          </cell>
          <cell r="B932" t="str">
            <v>SRR17964870</v>
          </cell>
          <cell r="C932">
            <v>538</v>
          </cell>
          <cell r="D932">
            <v>45</v>
          </cell>
          <cell r="E932" t="str">
            <v>Homo sapiens</v>
          </cell>
          <cell r="F932" t="str">
            <v>Campylobacter jejuni</v>
          </cell>
          <cell r="G932" t="str">
            <v>exact</v>
          </cell>
          <cell r="H932" t="str">
            <v>CAMP0331(cmeB)_27</v>
          </cell>
          <cell r="I932" t="str">
            <v>CAMP0331(cmeB)</v>
          </cell>
          <cell r="J932">
            <v>27</v>
          </cell>
        </row>
        <row r="933">
          <cell r="A933" t="str">
            <v>SC1223</v>
          </cell>
          <cell r="B933" t="str">
            <v>SRR17964871</v>
          </cell>
          <cell r="C933">
            <v>677</v>
          </cell>
          <cell r="D933">
            <v>677</v>
          </cell>
          <cell r="E933" t="str">
            <v>Homo sapiens</v>
          </cell>
          <cell r="F933" t="str">
            <v>Campylobacter jejuni</v>
          </cell>
          <cell r="G933" t="str">
            <v>exact</v>
          </cell>
          <cell r="H933" t="str">
            <v>CAMP0331(cmeB)_39</v>
          </cell>
          <cell r="I933" t="str">
            <v>CAMP0331(cmeB)</v>
          </cell>
          <cell r="J933">
            <v>39</v>
          </cell>
        </row>
        <row r="934">
          <cell r="A934" t="str">
            <v>SC1222</v>
          </cell>
          <cell r="B934" t="str">
            <v>SRR17964872</v>
          </cell>
          <cell r="C934">
            <v>583</v>
          </cell>
          <cell r="D934">
            <v>45</v>
          </cell>
          <cell r="E934" t="str">
            <v>Homo sapiens</v>
          </cell>
          <cell r="F934" t="str">
            <v>Campylobacter jejuni</v>
          </cell>
          <cell r="G934" t="str">
            <v>exact</v>
          </cell>
          <cell r="H934" t="str">
            <v>CAMP0331(cmeB)_24</v>
          </cell>
          <cell r="I934" t="str">
            <v>CAMP0331(cmeB)</v>
          </cell>
          <cell r="J934">
            <v>24</v>
          </cell>
        </row>
        <row r="935">
          <cell r="A935" t="str">
            <v>SC1219</v>
          </cell>
          <cell r="B935" t="str">
            <v>SRR17964873</v>
          </cell>
          <cell r="C935">
            <v>508</v>
          </cell>
          <cell r="D935">
            <v>508</v>
          </cell>
          <cell r="E935" t="str">
            <v>Homo sapiens</v>
          </cell>
          <cell r="F935" t="str">
            <v>Campylobacter jejuni</v>
          </cell>
          <cell r="G935" t="str">
            <v>exact</v>
          </cell>
          <cell r="H935" t="str">
            <v>CAMP0331(cmeB)_43</v>
          </cell>
          <cell r="I935" t="str">
            <v>CAMP0331(cmeB)</v>
          </cell>
          <cell r="J935">
            <v>43</v>
          </cell>
        </row>
        <row r="936">
          <cell r="A936" t="str">
            <v>SC1218</v>
          </cell>
          <cell r="B936" t="str">
            <v>SRR17964874</v>
          </cell>
          <cell r="C936">
            <v>45</v>
          </cell>
          <cell r="D936">
            <v>45</v>
          </cell>
          <cell r="E936" t="str">
            <v>Homo sapiens</v>
          </cell>
          <cell r="F936" t="str">
            <v>Campylobacter jejuni</v>
          </cell>
          <cell r="G936" t="str">
            <v>exact</v>
          </cell>
          <cell r="H936" t="str">
            <v>CAMP0331(cmeB)_5</v>
          </cell>
          <cell r="I936" t="str">
            <v>CAMP0331(cmeB)</v>
          </cell>
          <cell r="J936">
            <v>5</v>
          </cell>
        </row>
        <row r="937">
          <cell r="A937" t="str">
            <v>SC1215</v>
          </cell>
          <cell r="B937" t="str">
            <v>SRR17964875</v>
          </cell>
          <cell r="C937">
            <v>45</v>
          </cell>
          <cell r="D937">
            <v>45</v>
          </cell>
          <cell r="E937" t="str">
            <v>Homo sapiens</v>
          </cell>
          <cell r="F937" t="str">
            <v>Campylobacter jejuni</v>
          </cell>
          <cell r="G937" t="str">
            <v>exact</v>
          </cell>
          <cell r="H937" t="str">
            <v>CAMP0331(cmeB)_5</v>
          </cell>
          <cell r="I937" t="str">
            <v>CAMP0331(cmeB)</v>
          </cell>
          <cell r="J937">
            <v>5</v>
          </cell>
        </row>
        <row r="938">
          <cell r="A938" t="str">
            <v>SC1213</v>
          </cell>
          <cell r="B938" t="str">
            <v>SRR17964876</v>
          </cell>
          <cell r="C938">
            <v>45</v>
          </cell>
          <cell r="D938">
            <v>45</v>
          </cell>
          <cell r="E938" t="str">
            <v>Homo sapiens</v>
          </cell>
          <cell r="F938" t="str">
            <v>Campylobacter jejuni</v>
          </cell>
          <cell r="G938" t="str">
            <v>exact</v>
          </cell>
          <cell r="H938" t="str">
            <v>CAMP0331(cmeB)_5</v>
          </cell>
          <cell r="I938" t="str">
            <v>CAMP0331(cmeB)</v>
          </cell>
          <cell r="J938">
            <v>5</v>
          </cell>
        </row>
        <row r="939">
          <cell r="A939" t="str">
            <v>SC1212</v>
          </cell>
          <cell r="B939" t="str">
            <v>SRR17964877</v>
          </cell>
          <cell r="C939">
            <v>45</v>
          </cell>
          <cell r="D939">
            <v>45</v>
          </cell>
          <cell r="E939" t="str">
            <v>Ovis aries</v>
          </cell>
          <cell r="F939" t="str">
            <v>Campylobacter jejuni</v>
          </cell>
          <cell r="G939" t="str">
            <v>exact</v>
          </cell>
          <cell r="H939" t="str">
            <v>CAMP0331(cmeB)_3633</v>
          </cell>
          <cell r="I939" t="str">
            <v>CAMP0331(cmeB)</v>
          </cell>
          <cell r="J939">
            <v>3633</v>
          </cell>
        </row>
        <row r="940">
          <cell r="A940" t="str">
            <v>SC1100</v>
          </cell>
          <cell r="B940" t="str">
            <v>SRR17964878</v>
          </cell>
          <cell r="C940">
            <v>677</v>
          </cell>
          <cell r="D940">
            <v>677</v>
          </cell>
          <cell r="E940" t="str">
            <v>Gallus gallus</v>
          </cell>
          <cell r="F940" t="str">
            <v>Campylobacter jejuni</v>
          </cell>
          <cell r="G940" t="str">
            <v>exact</v>
          </cell>
          <cell r="H940" t="str">
            <v>CAMP0331(cmeB)_39</v>
          </cell>
          <cell r="I940" t="str">
            <v>CAMP0331(cmeB)</v>
          </cell>
          <cell r="J940">
            <v>39</v>
          </cell>
        </row>
        <row r="941">
          <cell r="A941" t="str">
            <v>SC1211</v>
          </cell>
          <cell r="B941" t="str">
            <v>SRR17964879</v>
          </cell>
          <cell r="C941">
            <v>53</v>
          </cell>
          <cell r="D941">
            <v>21</v>
          </cell>
          <cell r="E941" t="str">
            <v>Ovis aries</v>
          </cell>
          <cell r="F941" t="str">
            <v>Campylobacter jejuni</v>
          </cell>
          <cell r="G941" t="str">
            <v>exact</v>
          </cell>
          <cell r="H941" t="str">
            <v>CAMP0331(cmeB)_604</v>
          </cell>
          <cell r="I941" t="str">
            <v>CAMP0331(cmeB)</v>
          </cell>
          <cell r="J941">
            <v>604</v>
          </cell>
        </row>
        <row r="942">
          <cell r="A942" t="str">
            <v>SC1210</v>
          </cell>
          <cell r="B942" t="str">
            <v>SRR17964880</v>
          </cell>
          <cell r="C942">
            <v>53</v>
          </cell>
          <cell r="D942">
            <v>21</v>
          </cell>
          <cell r="E942" t="str">
            <v>Ovis aries</v>
          </cell>
          <cell r="F942" t="str">
            <v>Campylobacter jejuni</v>
          </cell>
          <cell r="G942" t="str">
            <v>exact</v>
          </cell>
          <cell r="H942" t="str">
            <v>CAMP0331(cmeB)_604</v>
          </cell>
          <cell r="I942" t="str">
            <v>CAMP0331(cmeB)</v>
          </cell>
          <cell r="J942">
            <v>604</v>
          </cell>
        </row>
        <row r="943">
          <cell r="A943" t="str">
            <v>SC1209</v>
          </cell>
          <cell r="B943" t="str">
            <v>SRR17964881</v>
          </cell>
          <cell r="C943">
            <v>53</v>
          </cell>
          <cell r="D943">
            <v>21</v>
          </cell>
          <cell r="E943" t="str">
            <v>Ovis aries</v>
          </cell>
          <cell r="F943" t="str">
            <v>Campylobacter jejuni</v>
          </cell>
          <cell r="G943" t="str">
            <v>exact</v>
          </cell>
          <cell r="H943" t="str">
            <v>CAMP0331(cmeB)_604</v>
          </cell>
          <cell r="I943" t="str">
            <v>CAMP0331(cmeB)</v>
          </cell>
          <cell r="J943">
            <v>604</v>
          </cell>
        </row>
        <row r="944">
          <cell r="A944" t="str">
            <v>SC1206</v>
          </cell>
          <cell r="B944" t="str">
            <v>SRR17964884</v>
          </cell>
          <cell r="C944">
            <v>53</v>
          </cell>
          <cell r="D944">
            <v>21</v>
          </cell>
          <cell r="E944" t="str">
            <v>Bos taurus taurus</v>
          </cell>
          <cell r="F944" t="str">
            <v>Campylobacter jejuni</v>
          </cell>
          <cell r="G944" t="str">
            <v>exact</v>
          </cell>
          <cell r="H944" t="str">
            <v>CAMP0331(cmeB)_604</v>
          </cell>
          <cell r="I944" t="str">
            <v>CAMP0331(cmeB)</v>
          </cell>
          <cell r="J944">
            <v>604</v>
          </cell>
        </row>
        <row r="945">
          <cell r="A945" t="str">
            <v>SC1205</v>
          </cell>
          <cell r="B945" t="str">
            <v>SRR17964885</v>
          </cell>
          <cell r="C945">
            <v>61</v>
          </cell>
          <cell r="D945">
            <v>61</v>
          </cell>
          <cell r="E945" t="str">
            <v>Bos taurus taurus</v>
          </cell>
          <cell r="F945" t="str">
            <v>Campylobacter jejuni</v>
          </cell>
          <cell r="G945" t="str">
            <v>exact</v>
          </cell>
          <cell r="H945" t="str">
            <v>CAMP0331(cmeB)_14</v>
          </cell>
          <cell r="I945" t="str">
            <v>CAMP0331(cmeB)</v>
          </cell>
          <cell r="J945">
            <v>14</v>
          </cell>
        </row>
        <row r="946">
          <cell r="A946" t="str">
            <v>SC1204</v>
          </cell>
          <cell r="B946" t="str">
            <v>SRR17964886</v>
          </cell>
          <cell r="C946">
            <v>42</v>
          </cell>
          <cell r="D946">
            <v>42</v>
          </cell>
          <cell r="E946" t="str">
            <v>Bos taurus taurus</v>
          </cell>
          <cell r="F946" t="str">
            <v>Campylobacter jejuni</v>
          </cell>
          <cell r="G946" t="str">
            <v>exact</v>
          </cell>
          <cell r="H946" t="str">
            <v>CAMP0331(cmeB)_22</v>
          </cell>
          <cell r="I946" t="str">
            <v>CAMP0331(cmeB)</v>
          </cell>
          <cell r="J946">
            <v>22</v>
          </cell>
        </row>
        <row r="947">
          <cell r="A947" t="str">
            <v>SC1203</v>
          </cell>
          <cell r="B947" t="str">
            <v>SRR17964887</v>
          </cell>
          <cell r="C947">
            <v>3072</v>
          </cell>
          <cell r="D947">
            <v>828</v>
          </cell>
          <cell r="E947" t="str">
            <v>Bos taurus taurus</v>
          </cell>
          <cell r="F947" t="str">
            <v>Campylobacter coli</v>
          </cell>
          <cell r="G947" t="str">
            <v>exact</v>
          </cell>
          <cell r="H947" t="str">
            <v>CAMP0331(cmeB)_1205</v>
          </cell>
          <cell r="I947" t="str">
            <v>CAMP0331(cmeB)</v>
          </cell>
          <cell r="J947">
            <v>1205</v>
          </cell>
        </row>
        <row r="948">
          <cell r="A948" t="str">
            <v>SC1202</v>
          </cell>
          <cell r="B948" t="str">
            <v>SRR17964888</v>
          </cell>
          <cell r="C948">
            <v>3072</v>
          </cell>
          <cell r="D948">
            <v>828</v>
          </cell>
          <cell r="E948" t="str">
            <v>Bos taurus taurus</v>
          </cell>
          <cell r="F948" t="str">
            <v>Campylobacter coli</v>
          </cell>
          <cell r="G948" t="str">
            <v>exact</v>
          </cell>
          <cell r="H948" t="str">
            <v>CAMP0331(cmeB)_1205</v>
          </cell>
          <cell r="I948" t="str">
            <v>CAMP0331(cmeB)</v>
          </cell>
          <cell r="J948">
            <v>1205</v>
          </cell>
        </row>
        <row r="949">
          <cell r="A949" t="str">
            <v>SC1099</v>
          </cell>
          <cell r="B949" t="str">
            <v>SRR17964889</v>
          </cell>
          <cell r="C949">
            <v>45</v>
          </cell>
          <cell r="D949">
            <v>45</v>
          </cell>
          <cell r="E949" t="str">
            <v>Homo sapiens</v>
          </cell>
          <cell r="F949" t="str">
            <v>Campylobacter jejuni</v>
          </cell>
          <cell r="G949" t="str">
            <v>exact</v>
          </cell>
          <cell r="H949" t="str">
            <v>CAMP0331(cmeB)_5</v>
          </cell>
          <cell r="I949" t="str">
            <v>CAMP0331(cmeB)</v>
          </cell>
          <cell r="J949">
            <v>5</v>
          </cell>
        </row>
        <row r="950">
          <cell r="A950" t="str">
            <v>SC1201</v>
          </cell>
          <cell r="B950" t="str">
            <v>SRR17964890</v>
          </cell>
          <cell r="C950">
            <v>3072</v>
          </cell>
          <cell r="D950">
            <v>828</v>
          </cell>
          <cell r="E950" t="str">
            <v>Bos taurus taurus</v>
          </cell>
          <cell r="F950" t="str">
            <v>Campylobacter coli</v>
          </cell>
          <cell r="G950" t="str">
            <v>exact</v>
          </cell>
          <cell r="H950" t="str">
            <v>CAMP0331(cmeB)_1205</v>
          </cell>
          <cell r="I950" t="str">
            <v>CAMP0331(cmeB)</v>
          </cell>
          <cell r="J950">
            <v>1205</v>
          </cell>
        </row>
        <row r="951">
          <cell r="A951" t="str">
            <v>SC1200</v>
          </cell>
          <cell r="B951" t="str">
            <v>SRR17964891</v>
          </cell>
          <cell r="C951">
            <v>53</v>
          </cell>
          <cell r="D951">
            <v>21</v>
          </cell>
          <cell r="E951" t="str">
            <v>Homo sapiens</v>
          </cell>
          <cell r="F951" t="str">
            <v>Campylobacter jejuni</v>
          </cell>
          <cell r="G951" t="str">
            <v>exact</v>
          </cell>
          <cell r="H951" t="str">
            <v>CAMP0331(cmeB)_604</v>
          </cell>
          <cell r="I951" t="str">
            <v>CAMP0331(cmeB)</v>
          </cell>
          <cell r="J951">
            <v>604</v>
          </cell>
        </row>
        <row r="952">
          <cell r="A952" t="str">
            <v>SC1197</v>
          </cell>
          <cell r="B952" t="str">
            <v>SRR17964892</v>
          </cell>
          <cell r="C952">
            <v>677</v>
          </cell>
          <cell r="D952">
            <v>677</v>
          </cell>
          <cell r="E952" t="str">
            <v>Homo sapiens</v>
          </cell>
          <cell r="F952" t="str">
            <v>Campylobacter jejuni</v>
          </cell>
          <cell r="G952" t="str">
            <v>exact</v>
          </cell>
          <cell r="H952" t="str">
            <v>CAMP0331(cmeB)_39</v>
          </cell>
          <cell r="I952" t="str">
            <v>CAMP0331(cmeB)</v>
          </cell>
          <cell r="J952">
            <v>39</v>
          </cell>
        </row>
        <row r="953">
          <cell r="A953" t="str">
            <v>SC1196</v>
          </cell>
          <cell r="B953" t="str">
            <v>SRR17964893</v>
          </cell>
          <cell r="C953">
            <v>677</v>
          </cell>
          <cell r="D953">
            <v>677</v>
          </cell>
          <cell r="E953" t="str">
            <v>Homo sapiens</v>
          </cell>
          <cell r="F953" t="str">
            <v>Campylobacter jejuni</v>
          </cell>
          <cell r="G953" t="str">
            <v>exact</v>
          </cell>
          <cell r="H953" t="str">
            <v>CAMP0331(cmeB)_39</v>
          </cell>
          <cell r="I953" t="str">
            <v>CAMP0331(cmeB)</v>
          </cell>
          <cell r="J953">
            <v>39</v>
          </cell>
        </row>
        <row r="954">
          <cell r="A954" t="str">
            <v>SC1194</v>
          </cell>
          <cell r="B954" t="str">
            <v>SRR17964894</v>
          </cell>
          <cell r="C954">
            <v>2345</v>
          </cell>
          <cell r="D954">
            <v>206</v>
          </cell>
          <cell r="E954" t="str">
            <v>Homo sapiens</v>
          </cell>
          <cell r="F954" t="str">
            <v>Campylobacter jejuni</v>
          </cell>
          <cell r="G954" t="str">
            <v>exact</v>
          </cell>
          <cell r="H954" t="str">
            <v>CAMP0331(cmeB)_158</v>
          </cell>
          <cell r="I954" t="str">
            <v>CAMP0331(cmeB)</v>
          </cell>
          <cell r="J954">
            <v>158</v>
          </cell>
        </row>
        <row r="955">
          <cell r="A955" t="str">
            <v>SC1191</v>
          </cell>
          <cell r="B955" t="str">
            <v>SRR17964896</v>
          </cell>
          <cell r="C955">
            <v>51</v>
          </cell>
          <cell r="D955">
            <v>443</v>
          </cell>
          <cell r="E955" t="str">
            <v>Homo sapiens</v>
          </cell>
          <cell r="F955" t="str">
            <v>Campylobacter jejuni</v>
          </cell>
          <cell r="G955" t="str">
            <v>exact</v>
          </cell>
          <cell r="H955" t="str">
            <v>CAMP0331(cmeB)_127</v>
          </cell>
          <cell r="I955" t="str">
            <v>CAMP0331(cmeB)</v>
          </cell>
          <cell r="J955">
            <v>127</v>
          </cell>
        </row>
        <row r="956">
          <cell r="A956" t="str">
            <v>SC1190</v>
          </cell>
          <cell r="B956" t="str">
            <v>SRR17964897</v>
          </cell>
          <cell r="C956">
            <v>45</v>
          </cell>
          <cell r="D956">
            <v>45</v>
          </cell>
          <cell r="E956" t="str">
            <v>Homo sapiens</v>
          </cell>
          <cell r="F956" t="str">
            <v>Campylobacter jejuni</v>
          </cell>
          <cell r="G956" t="str">
            <v>exact</v>
          </cell>
          <cell r="H956" t="str">
            <v>CAMP0331(cmeB)_27</v>
          </cell>
          <cell r="I956" t="str">
            <v>CAMP0331(cmeB)</v>
          </cell>
          <cell r="J956">
            <v>27</v>
          </cell>
        </row>
        <row r="957">
          <cell r="A957" t="str">
            <v>SC1189</v>
          </cell>
          <cell r="B957" t="str">
            <v>SRR17964898</v>
          </cell>
          <cell r="C957">
            <v>677</v>
          </cell>
          <cell r="D957">
            <v>677</v>
          </cell>
          <cell r="E957" t="str">
            <v>Homo sapiens</v>
          </cell>
          <cell r="F957" t="str">
            <v>Campylobacter jejuni</v>
          </cell>
          <cell r="G957" t="str">
            <v>exact</v>
          </cell>
          <cell r="H957" t="str">
            <v>CAMP0331(cmeB)_39</v>
          </cell>
          <cell r="I957" t="str">
            <v>CAMP0331(cmeB)</v>
          </cell>
          <cell r="J957">
            <v>39</v>
          </cell>
        </row>
        <row r="958">
          <cell r="A958" t="str">
            <v>SC1188</v>
          </cell>
          <cell r="B958" t="str">
            <v>SRR17964899</v>
          </cell>
          <cell r="C958">
            <v>53</v>
          </cell>
          <cell r="D958">
            <v>21</v>
          </cell>
          <cell r="E958" t="str">
            <v>Homo sapiens</v>
          </cell>
          <cell r="F958" t="str">
            <v>Campylobacter jejuni</v>
          </cell>
          <cell r="G958" t="str">
            <v>exact</v>
          </cell>
          <cell r="H958" t="str">
            <v>CAMP0331(cmeB)_604</v>
          </cell>
          <cell r="I958" t="str">
            <v>CAMP0331(cmeB)</v>
          </cell>
          <cell r="J958">
            <v>604</v>
          </cell>
        </row>
        <row r="959">
          <cell r="A959" t="str">
            <v>SC1098</v>
          </cell>
          <cell r="B959" t="str">
            <v>SRR17964900</v>
          </cell>
          <cell r="C959">
            <v>53</v>
          </cell>
          <cell r="D959">
            <v>21</v>
          </cell>
          <cell r="E959" t="str">
            <v>Homo sapiens</v>
          </cell>
          <cell r="F959" t="str">
            <v>Campylobacter jejuni</v>
          </cell>
          <cell r="G959" t="str">
            <v>exact</v>
          </cell>
          <cell r="H959" t="str">
            <v>CAMP0331(cmeB)_604</v>
          </cell>
          <cell r="I959" t="str">
            <v>CAMP0331(cmeB)</v>
          </cell>
          <cell r="J959">
            <v>604</v>
          </cell>
        </row>
        <row r="960">
          <cell r="A960" t="str">
            <v>SC1185</v>
          </cell>
          <cell r="B960" t="str">
            <v>SRR17964901</v>
          </cell>
          <cell r="C960">
            <v>45</v>
          </cell>
          <cell r="D960">
            <v>45</v>
          </cell>
          <cell r="E960" t="str">
            <v>Homo sapiens</v>
          </cell>
          <cell r="F960" t="str">
            <v>Campylobacter jejuni</v>
          </cell>
          <cell r="G960" t="str">
            <v>exact</v>
          </cell>
          <cell r="H960" t="str">
            <v>CAMP0331(cmeB)_5</v>
          </cell>
          <cell r="I960" t="str">
            <v>CAMP0331(cmeB)</v>
          </cell>
          <cell r="J960">
            <v>5</v>
          </cell>
        </row>
        <row r="961">
          <cell r="A961" t="str">
            <v>SC1183</v>
          </cell>
          <cell r="B961" t="str">
            <v>SRR17964902</v>
          </cell>
          <cell r="C961">
            <v>22</v>
          </cell>
          <cell r="D961">
            <v>22</v>
          </cell>
          <cell r="E961" t="str">
            <v>Homo sapiens</v>
          </cell>
          <cell r="F961" t="str">
            <v>Campylobacter jejuni</v>
          </cell>
          <cell r="G961" t="str">
            <v>exact</v>
          </cell>
          <cell r="H961" t="str">
            <v>CAMP0331(cmeB)_47</v>
          </cell>
          <cell r="I961" t="str">
            <v>CAMP0331(cmeB)</v>
          </cell>
          <cell r="J961">
            <v>47</v>
          </cell>
        </row>
        <row r="962">
          <cell r="A962" t="str">
            <v>SC1182</v>
          </cell>
          <cell r="B962" t="str">
            <v>SRR17964903</v>
          </cell>
          <cell r="C962">
            <v>53</v>
          </cell>
          <cell r="D962">
            <v>21</v>
          </cell>
          <cell r="E962" t="str">
            <v>Gallus gallus</v>
          </cell>
          <cell r="F962" t="str">
            <v>Campylobacter jejuni</v>
          </cell>
          <cell r="G962" t="str">
            <v>exact</v>
          </cell>
          <cell r="H962" t="str">
            <v>CAMP0331(cmeB)_604</v>
          </cell>
          <cell r="I962" t="str">
            <v>CAMP0331(cmeB)</v>
          </cell>
          <cell r="J962">
            <v>604</v>
          </cell>
        </row>
        <row r="963">
          <cell r="A963" t="str">
            <v>SC1181</v>
          </cell>
          <cell r="B963" t="str">
            <v>SRR17964904</v>
          </cell>
          <cell r="C963">
            <v>50</v>
          </cell>
          <cell r="D963">
            <v>21</v>
          </cell>
          <cell r="E963" t="str">
            <v>Gallus gallus</v>
          </cell>
          <cell r="F963" t="str">
            <v>Campylobacter jejuni</v>
          </cell>
          <cell r="G963" t="str">
            <v>exact</v>
          </cell>
          <cell r="H963" t="str">
            <v>CAMP0331(cmeB)_1</v>
          </cell>
          <cell r="I963" t="str">
            <v>CAMP0331(cmeB)</v>
          </cell>
          <cell r="J963">
            <v>1</v>
          </cell>
        </row>
        <row r="964">
          <cell r="A964" t="str">
            <v>SC1180</v>
          </cell>
          <cell r="B964" t="str">
            <v>SRR17964905</v>
          </cell>
          <cell r="C964">
            <v>45</v>
          </cell>
          <cell r="D964">
            <v>45</v>
          </cell>
          <cell r="E964" t="str">
            <v>Homo sapiens</v>
          </cell>
          <cell r="F964" t="str">
            <v>Campylobacter jejuni</v>
          </cell>
          <cell r="G964" t="str">
            <v>exact</v>
          </cell>
          <cell r="H964" t="str">
            <v>CAMP0331(cmeB)_3616</v>
          </cell>
          <cell r="I964" t="str">
            <v>CAMP0331(cmeB)</v>
          </cell>
          <cell r="J964">
            <v>3616</v>
          </cell>
        </row>
        <row r="965">
          <cell r="A965" t="str">
            <v>SC1176</v>
          </cell>
          <cell r="B965" t="str">
            <v>SRR17964906</v>
          </cell>
          <cell r="C965">
            <v>583</v>
          </cell>
          <cell r="D965">
            <v>45</v>
          </cell>
          <cell r="E965" t="str">
            <v>Homo sapiens</v>
          </cell>
          <cell r="F965" t="str">
            <v>Campylobacter jejuni</v>
          </cell>
          <cell r="G965" t="str">
            <v>exact</v>
          </cell>
          <cell r="H965" t="str">
            <v>CAMP0331(cmeB)_24</v>
          </cell>
          <cell r="I965" t="str">
            <v>CAMP0331(cmeB)</v>
          </cell>
          <cell r="J965">
            <v>24</v>
          </cell>
        </row>
        <row r="966">
          <cell r="A966" t="str">
            <v>SC1134</v>
          </cell>
          <cell r="B966" t="str">
            <v>SRR17964907</v>
          </cell>
          <cell r="C966">
            <v>42</v>
          </cell>
          <cell r="D966">
            <v>42</v>
          </cell>
          <cell r="E966" t="str">
            <v>Bos taurus taurus</v>
          </cell>
          <cell r="F966" t="str">
            <v>Campylobacter jejuni</v>
          </cell>
          <cell r="G966" t="str">
            <v>exact</v>
          </cell>
          <cell r="H966" t="str">
            <v>CAMP0331(cmeB)_22</v>
          </cell>
          <cell r="I966" t="str">
            <v>CAMP0331(cmeB)</v>
          </cell>
          <cell r="J966">
            <v>22</v>
          </cell>
        </row>
        <row r="967">
          <cell r="A967" t="str">
            <v>SC1133</v>
          </cell>
          <cell r="B967" t="str">
            <v>SRR17964908</v>
          </cell>
          <cell r="C967">
            <v>53</v>
          </cell>
          <cell r="D967">
            <v>21</v>
          </cell>
          <cell r="E967" t="str">
            <v>Bos taurus taurus</v>
          </cell>
          <cell r="F967" t="str">
            <v>Campylobacter jejuni</v>
          </cell>
          <cell r="G967" t="str">
            <v>exact</v>
          </cell>
          <cell r="H967" t="str">
            <v>CAMP0331(cmeB)_604</v>
          </cell>
          <cell r="I967" t="str">
            <v>CAMP0331(cmeB)</v>
          </cell>
          <cell r="J967">
            <v>604</v>
          </cell>
        </row>
        <row r="968">
          <cell r="A968" t="str">
            <v>SC1132</v>
          </cell>
          <cell r="B968" t="str">
            <v>SRR17964909</v>
          </cell>
          <cell r="C968">
            <v>53</v>
          </cell>
          <cell r="D968">
            <v>21</v>
          </cell>
          <cell r="E968" t="str">
            <v>Bos taurus taurus</v>
          </cell>
          <cell r="F968" t="str">
            <v>Campylobacter jejuni</v>
          </cell>
          <cell r="G968" t="str">
            <v>exact</v>
          </cell>
          <cell r="H968" t="str">
            <v>CAMP0331(cmeB)_604</v>
          </cell>
          <cell r="I968" t="str">
            <v>CAMP0331(cmeB)</v>
          </cell>
          <cell r="J968">
            <v>604</v>
          </cell>
        </row>
        <row r="969">
          <cell r="A969" t="str">
            <v>SC1131</v>
          </cell>
          <cell r="B969" t="str">
            <v>SRR17964910</v>
          </cell>
          <cell r="C969">
            <v>21</v>
          </cell>
          <cell r="D969">
            <v>21</v>
          </cell>
          <cell r="E969" t="str">
            <v>Bos taurus taurus</v>
          </cell>
          <cell r="F969" t="str">
            <v>Campylobacter jejuni</v>
          </cell>
          <cell r="G969" t="str">
            <v>exact</v>
          </cell>
          <cell r="H969" t="str">
            <v>CAMP0331(cmeB)_604</v>
          </cell>
          <cell r="I969" t="str">
            <v>CAMP0331(cmeB)</v>
          </cell>
          <cell r="J969">
            <v>604</v>
          </cell>
        </row>
        <row r="970">
          <cell r="A970" t="str">
            <v>SC1129</v>
          </cell>
          <cell r="B970" t="str">
            <v>SRR17964911</v>
          </cell>
          <cell r="C970">
            <v>177</v>
          </cell>
          <cell r="D970">
            <v>177</v>
          </cell>
          <cell r="E970" t="str">
            <v>Homo sapiens</v>
          </cell>
          <cell r="F970" t="str">
            <v>Campylobacter jejuni</v>
          </cell>
          <cell r="G970" t="str">
            <v>exact</v>
          </cell>
          <cell r="H970" t="str">
            <v>CAMP0331(cmeB)_60</v>
          </cell>
          <cell r="I970" t="str">
            <v>CAMP0331(cmeB)</v>
          </cell>
          <cell r="J970">
            <v>60</v>
          </cell>
        </row>
        <row r="971">
          <cell r="A971" t="str">
            <v>SC1094</v>
          </cell>
          <cell r="B971" t="str">
            <v>SRR17964912</v>
          </cell>
          <cell r="C971">
            <v>45</v>
          </cell>
          <cell r="D971">
            <v>45</v>
          </cell>
          <cell r="E971" t="str">
            <v>Homo sapiens</v>
          </cell>
          <cell r="F971" t="str">
            <v>Campylobacter jejuni</v>
          </cell>
          <cell r="G971" t="str">
            <v>exact</v>
          </cell>
          <cell r="H971" t="str">
            <v>CAMP0331(cmeB)_3616</v>
          </cell>
          <cell r="I971" t="str">
            <v>CAMP0331(cmeB)</v>
          </cell>
          <cell r="J971">
            <v>3616</v>
          </cell>
        </row>
        <row r="972">
          <cell r="A972" t="str">
            <v>SC1128</v>
          </cell>
          <cell r="B972" t="str">
            <v>SRR17964913</v>
          </cell>
          <cell r="C972">
            <v>45</v>
          </cell>
          <cell r="D972">
            <v>45</v>
          </cell>
          <cell r="E972" t="str">
            <v>Homo sapiens</v>
          </cell>
          <cell r="F972" t="str">
            <v>Campylobacter jejuni</v>
          </cell>
          <cell r="G972" t="str">
            <v>exact</v>
          </cell>
          <cell r="H972" t="str">
            <v>CAMP0331(cmeB)_5</v>
          </cell>
          <cell r="I972" t="str">
            <v>CAMP0331(cmeB)</v>
          </cell>
          <cell r="J972">
            <v>5</v>
          </cell>
        </row>
        <row r="973">
          <cell r="A973" t="str">
            <v>SC1127</v>
          </cell>
          <cell r="B973" t="str">
            <v>SRR17964914</v>
          </cell>
          <cell r="C973">
            <v>0</v>
          </cell>
          <cell r="D973">
            <v>0</v>
          </cell>
          <cell r="E973" t="str">
            <v>Homo sapiens</v>
          </cell>
          <cell r="F973" t="str">
            <v>Campylobacter jejuni</v>
          </cell>
          <cell r="G973" t="str">
            <v>exact</v>
          </cell>
          <cell r="H973" t="str">
            <v>CAMP0331(cmeB)_1208</v>
          </cell>
          <cell r="I973" t="str">
            <v>CAMP0331(cmeB)</v>
          </cell>
          <cell r="J973">
            <v>1208</v>
          </cell>
        </row>
        <row r="974">
          <cell r="A974" t="str">
            <v>SC1126</v>
          </cell>
          <cell r="B974" t="str">
            <v>SRR17964915</v>
          </cell>
          <cell r="C974">
            <v>677</v>
          </cell>
          <cell r="D974">
            <v>677</v>
          </cell>
          <cell r="E974" t="str">
            <v>Homo sapiens</v>
          </cell>
          <cell r="F974" t="str">
            <v>Campylobacter jejuni</v>
          </cell>
          <cell r="G974" t="str">
            <v>exact</v>
          </cell>
          <cell r="H974" t="str">
            <v>CAMP0331(cmeB)_39</v>
          </cell>
          <cell r="I974" t="str">
            <v>CAMP0331(cmeB)</v>
          </cell>
          <cell r="J974">
            <v>39</v>
          </cell>
        </row>
        <row r="975">
          <cell r="A975" t="str">
            <v>SC1125</v>
          </cell>
          <cell r="B975" t="str">
            <v>SRR17964916</v>
          </cell>
          <cell r="C975">
            <v>583</v>
          </cell>
          <cell r="D975">
            <v>45</v>
          </cell>
          <cell r="E975" t="str">
            <v>Homo sapiens</v>
          </cell>
          <cell r="F975" t="str">
            <v>Campylobacter jejuni</v>
          </cell>
          <cell r="G975" t="str">
            <v>exact</v>
          </cell>
          <cell r="H975" t="str">
            <v>CAMP0331(cmeB)_24</v>
          </cell>
          <cell r="I975" t="str">
            <v>CAMP0331(cmeB)</v>
          </cell>
          <cell r="J975">
            <v>24</v>
          </cell>
        </row>
        <row r="976">
          <cell r="A976" t="str">
            <v>SC1123</v>
          </cell>
          <cell r="B976" t="str">
            <v>SRR17964917</v>
          </cell>
          <cell r="C976">
            <v>583</v>
          </cell>
          <cell r="D976">
            <v>45</v>
          </cell>
          <cell r="E976" t="str">
            <v>Homo sapiens</v>
          </cell>
          <cell r="F976" t="str">
            <v>Campylobacter jejuni</v>
          </cell>
          <cell r="G976" t="str">
            <v>exact</v>
          </cell>
          <cell r="H976" t="str">
            <v>CAMP0331(cmeB)_24</v>
          </cell>
          <cell r="I976" t="str">
            <v>CAMP0331(cmeB)</v>
          </cell>
          <cell r="J976">
            <v>24</v>
          </cell>
        </row>
        <row r="977">
          <cell r="A977" t="str">
            <v>SC1122</v>
          </cell>
          <cell r="B977" t="str">
            <v>SRR17964918</v>
          </cell>
          <cell r="C977">
            <v>137</v>
          </cell>
          <cell r="D977">
            <v>45</v>
          </cell>
          <cell r="E977" t="str">
            <v>Homo sapiens</v>
          </cell>
          <cell r="F977" t="str">
            <v>Campylobacter jejuni</v>
          </cell>
          <cell r="G977" t="str">
            <v>exact</v>
          </cell>
          <cell r="H977" t="str">
            <v>CAMP0331(cmeB)_27</v>
          </cell>
          <cell r="I977" t="str">
            <v>CAMP0331(cmeB)</v>
          </cell>
          <cell r="J977">
            <v>27</v>
          </cell>
        </row>
        <row r="978">
          <cell r="A978" t="str">
            <v>SC1121</v>
          </cell>
          <cell r="B978" t="str">
            <v>SRR17964919</v>
          </cell>
          <cell r="C978">
            <v>257</v>
          </cell>
          <cell r="D978">
            <v>257</v>
          </cell>
          <cell r="E978" t="str">
            <v>Homo sapiens</v>
          </cell>
          <cell r="F978" t="str">
            <v>Campylobacter jejuni</v>
          </cell>
          <cell r="G978" t="str">
            <v>exact</v>
          </cell>
          <cell r="H978" t="str">
            <v>CAMP0331(cmeB)_51</v>
          </cell>
          <cell r="I978" t="str">
            <v>CAMP0331(cmeB)</v>
          </cell>
          <cell r="J978">
            <v>51</v>
          </cell>
        </row>
        <row r="979">
          <cell r="A979" t="str">
            <v>SC1414</v>
          </cell>
          <cell r="B979" t="str">
            <v>SRR17964920</v>
          </cell>
          <cell r="C979">
            <v>2026</v>
          </cell>
          <cell r="D979">
            <v>403</v>
          </cell>
          <cell r="E979" t="str">
            <v>Bos taurus taurus</v>
          </cell>
          <cell r="F979" t="str">
            <v>Campylobacter jejuni</v>
          </cell>
          <cell r="G979" t="str">
            <v>exact</v>
          </cell>
          <cell r="H979" t="str">
            <v>CAMP0331(cmeB)_54</v>
          </cell>
          <cell r="I979" t="str">
            <v>CAMP0331(cmeB)</v>
          </cell>
          <cell r="J979">
            <v>54</v>
          </cell>
        </row>
        <row r="980">
          <cell r="A980" t="str">
            <v>SC1413</v>
          </cell>
          <cell r="B980" t="str">
            <v>SRR17964921</v>
          </cell>
          <cell r="C980">
            <v>2026</v>
          </cell>
          <cell r="D980">
            <v>403</v>
          </cell>
          <cell r="E980" t="str">
            <v>Bos taurus taurus</v>
          </cell>
          <cell r="F980" t="str">
            <v>Campylobacter jejuni</v>
          </cell>
          <cell r="G980" t="str">
            <v>exact</v>
          </cell>
          <cell r="H980" t="str">
            <v>CAMP0331(cmeB)_54</v>
          </cell>
          <cell r="I980" t="str">
            <v>CAMP0331(cmeB)</v>
          </cell>
          <cell r="J980">
            <v>54</v>
          </cell>
        </row>
        <row r="981">
          <cell r="A981" t="str">
            <v>SC1412</v>
          </cell>
          <cell r="B981" t="str">
            <v>SRR17964922</v>
          </cell>
          <cell r="C981">
            <v>61</v>
          </cell>
          <cell r="D981">
            <v>61</v>
          </cell>
          <cell r="E981" t="str">
            <v>Bos taurus taurus</v>
          </cell>
          <cell r="F981" t="str">
            <v>Campylobacter jejuni</v>
          </cell>
          <cell r="G981" t="str">
            <v>exact</v>
          </cell>
          <cell r="H981" t="str">
            <v>CAMP0331(cmeB)_14</v>
          </cell>
          <cell r="I981" t="str">
            <v>CAMP0331(cmeB)</v>
          </cell>
          <cell r="J981">
            <v>14</v>
          </cell>
        </row>
        <row r="982">
          <cell r="A982" t="str">
            <v>SC1411</v>
          </cell>
          <cell r="B982" t="str">
            <v>SRR17964923</v>
          </cell>
          <cell r="C982">
            <v>2026</v>
          </cell>
          <cell r="D982">
            <v>403</v>
          </cell>
          <cell r="E982" t="str">
            <v>Bos taurus taurus</v>
          </cell>
          <cell r="F982" t="str">
            <v>Campylobacter jejuni</v>
          </cell>
          <cell r="G982" t="str">
            <v>exact</v>
          </cell>
          <cell r="H982" t="str">
            <v>CAMP0331(cmeB)_54</v>
          </cell>
          <cell r="I982" t="str">
            <v>CAMP0331(cmeB)</v>
          </cell>
          <cell r="J982">
            <v>54</v>
          </cell>
        </row>
        <row r="983">
          <cell r="A983" t="str">
            <v>SC1407</v>
          </cell>
          <cell r="B983" t="str">
            <v>SRR17964924</v>
          </cell>
          <cell r="C983">
            <v>2345</v>
          </cell>
          <cell r="D983">
            <v>206</v>
          </cell>
          <cell r="E983" t="str">
            <v>Homo sapiens</v>
          </cell>
          <cell r="F983" t="str">
            <v>Campylobacter jejuni</v>
          </cell>
          <cell r="G983" t="str">
            <v>exact</v>
          </cell>
          <cell r="H983" t="str">
            <v>CAMP0331(cmeB)_158</v>
          </cell>
          <cell r="I983" t="str">
            <v>CAMP0331(cmeB)</v>
          </cell>
          <cell r="J983">
            <v>158</v>
          </cell>
        </row>
        <row r="984">
          <cell r="A984" t="str">
            <v>SC1406</v>
          </cell>
          <cell r="B984" t="str">
            <v>SRR17964925</v>
          </cell>
          <cell r="C984">
            <v>190</v>
          </cell>
          <cell r="D984">
            <v>21</v>
          </cell>
          <cell r="E984" t="str">
            <v>Homo sapiens</v>
          </cell>
          <cell r="F984" t="str">
            <v>Campylobacter jejuni</v>
          </cell>
          <cell r="G984" t="str">
            <v>exact</v>
          </cell>
          <cell r="H984" t="str">
            <v>CAMP0331(cmeB)_604</v>
          </cell>
          <cell r="I984" t="str">
            <v>CAMP0331(cmeB)</v>
          </cell>
          <cell r="J984">
            <v>604</v>
          </cell>
        </row>
        <row r="985">
          <cell r="A985" t="str">
            <v>SC1405</v>
          </cell>
          <cell r="B985" t="str">
            <v>SRR17964926</v>
          </cell>
          <cell r="C985">
            <v>53</v>
          </cell>
          <cell r="D985">
            <v>21</v>
          </cell>
          <cell r="E985" t="str">
            <v>Homo sapiens</v>
          </cell>
          <cell r="F985" t="str">
            <v>Campylobacter jejuni</v>
          </cell>
          <cell r="G985" t="str">
            <v>exact</v>
          </cell>
          <cell r="H985" t="str">
            <v>CAMP0331(cmeB)_604</v>
          </cell>
          <cell r="I985" t="str">
            <v>CAMP0331(cmeB)</v>
          </cell>
          <cell r="J985">
            <v>604</v>
          </cell>
        </row>
        <row r="986">
          <cell r="A986" t="str">
            <v>SC1119</v>
          </cell>
          <cell r="B986" t="str">
            <v>SRR17964927</v>
          </cell>
          <cell r="C986">
            <v>2345</v>
          </cell>
          <cell r="D986">
            <v>206</v>
          </cell>
          <cell r="E986" t="str">
            <v>Homo sapiens</v>
          </cell>
          <cell r="F986" t="str">
            <v>Campylobacter jejuni</v>
          </cell>
          <cell r="G986" t="str">
            <v>exact</v>
          </cell>
          <cell r="H986" t="str">
            <v>CAMP0331(cmeB)_158</v>
          </cell>
          <cell r="I986" t="str">
            <v>CAMP0331(cmeB)</v>
          </cell>
          <cell r="J986">
            <v>158</v>
          </cell>
        </row>
        <row r="987">
          <cell r="A987" t="str">
            <v>SC1403</v>
          </cell>
          <cell r="B987" t="str">
            <v>SRR17964928</v>
          </cell>
          <cell r="C987">
            <v>0</v>
          </cell>
          <cell r="D987">
            <v>0</v>
          </cell>
          <cell r="E987" t="str">
            <v>Homo sapiens</v>
          </cell>
          <cell r="F987" t="str">
            <v>Campylobacter jejuni</v>
          </cell>
          <cell r="G987" t="str">
            <v>exact</v>
          </cell>
          <cell r="H987" t="str">
            <v>CAMP0331(cmeB)_64</v>
          </cell>
          <cell r="I987" t="str">
            <v>CAMP0331(cmeB)</v>
          </cell>
          <cell r="J987">
            <v>64</v>
          </cell>
        </row>
        <row r="988">
          <cell r="A988" t="str">
            <v>SC1401</v>
          </cell>
          <cell r="B988" t="str">
            <v>SRR17964929</v>
          </cell>
          <cell r="C988">
            <v>61</v>
          </cell>
          <cell r="D988">
            <v>61</v>
          </cell>
          <cell r="E988" t="str">
            <v>Homo sapiens</v>
          </cell>
          <cell r="F988" t="str">
            <v>Campylobacter jejuni</v>
          </cell>
          <cell r="G988" t="str">
            <v>exact</v>
          </cell>
          <cell r="H988" t="str">
            <v>CAMP0331(cmeB)_14</v>
          </cell>
          <cell r="I988" t="str">
            <v>CAMP0331(cmeB)</v>
          </cell>
          <cell r="J988">
            <v>14</v>
          </cell>
        </row>
        <row r="989">
          <cell r="A989" t="str">
            <v>SC1400</v>
          </cell>
          <cell r="B989" t="str">
            <v>SRR17964930</v>
          </cell>
          <cell r="C989">
            <v>45</v>
          </cell>
          <cell r="D989">
            <v>45</v>
          </cell>
          <cell r="E989" t="str">
            <v>Homo sapiens</v>
          </cell>
          <cell r="F989" t="str">
            <v>Campylobacter jejuni</v>
          </cell>
          <cell r="G989" t="str">
            <v>exact</v>
          </cell>
          <cell r="H989" t="str">
            <v>CAMP0331(cmeB)_5</v>
          </cell>
          <cell r="I989" t="str">
            <v>CAMP0331(cmeB)</v>
          </cell>
          <cell r="J989">
            <v>5</v>
          </cell>
        </row>
        <row r="990">
          <cell r="A990" t="str">
            <v>SC1399</v>
          </cell>
          <cell r="B990" t="str">
            <v>SRR17964931</v>
          </cell>
          <cell r="C990">
            <v>45</v>
          </cell>
          <cell r="D990">
            <v>45</v>
          </cell>
          <cell r="E990" t="str">
            <v>Homo sapiens</v>
          </cell>
          <cell r="F990" t="str">
            <v>Campylobacter jejuni</v>
          </cell>
          <cell r="G990" t="str">
            <v>exact</v>
          </cell>
          <cell r="H990" t="str">
            <v>CAMP0331(cmeB)_5</v>
          </cell>
          <cell r="I990" t="str">
            <v>CAMP0331(cmeB)</v>
          </cell>
          <cell r="J990">
            <v>5</v>
          </cell>
        </row>
        <row r="991">
          <cell r="A991" t="str">
            <v>SC1397</v>
          </cell>
          <cell r="B991" t="str">
            <v>SRR17964932</v>
          </cell>
          <cell r="C991">
            <v>583</v>
          </cell>
          <cell r="D991">
            <v>45</v>
          </cell>
          <cell r="E991" t="str">
            <v>Homo sapiens</v>
          </cell>
          <cell r="F991" t="str">
            <v>Campylobacter jejuni</v>
          </cell>
          <cell r="G991" t="str">
            <v>exact</v>
          </cell>
          <cell r="H991" t="str">
            <v>CAMP0331(cmeB)_24</v>
          </cell>
          <cell r="I991" t="str">
            <v>CAMP0331(cmeB)</v>
          </cell>
          <cell r="J991">
            <v>24</v>
          </cell>
        </row>
        <row r="992">
          <cell r="A992" t="str">
            <v>SC1396</v>
          </cell>
          <cell r="B992" t="str">
            <v>SRR17964933</v>
          </cell>
          <cell r="C992">
            <v>21</v>
          </cell>
          <cell r="D992">
            <v>21</v>
          </cell>
          <cell r="E992" t="str">
            <v>Homo sapiens</v>
          </cell>
          <cell r="F992" t="str">
            <v>Campylobacter jejuni</v>
          </cell>
          <cell r="G992" t="str">
            <v>exact</v>
          </cell>
          <cell r="H992" t="str">
            <v>CAMP0331(cmeB)_604</v>
          </cell>
          <cell r="I992" t="str">
            <v>CAMP0331(cmeB)</v>
          </cell>
          <cell r="J992">
            <v>604</v>
          </cell>
        </row>
        <row r="993">
          <cell r="A993" t="str">
            <v>SC1394</v>
          </cell>
          <cell r="B993" t="str">
            <v>SRR17964934</v>
          </cell>
          <cell r="C993">
            <v>45</v>
          </cell>
          <cell r="D993">
            <v>45</v>
          </cell>
          <cell r="E993" t="str">
            <v>Homo sapiens</v>
          </cell>
          <cell r="F993" t="str">
            <v>Campylobacter jejuni</v>
          </cell>
          <cell r="G993" t="str">
            <v>exact</v>
          </cell>
          <cell r="H993" t="str">
            <v>CAMP0331(cmeB)_5</v>
          </cell>
          <cell r="I993" t="str">
            <v>CAMP0331(cmeB)</v>
          </cell>
          <cell r="J993">
            <v>5</v>
          </cell>
        </row>
        <row r="994">
          <cell r="A994" t="str">
            <v>SC1393</v>
          </cell>
          <cell r="B994" t="str">
            <v>SRR17964935</v>
          </cell>
          <cell r="C994">
            <v>45</v>
          </cell>
          <cell r="D994">
            <v>45</v>
          </cell>
          <cell r="E994" t="str">
            <v>Homo sapiens</v>
          </cell>
          <cell r="F994" t="str">
            <v>Campylobacter jejuni</v>
          </cell>
          <cell r="G994" t="str">
            <v>exact</v>
          </cell>
          <cell r="H994" t="str">
            <v>CAMP0331(cmeB)_5</v>
          </cell>
          <cell r="I994" t="str">
            <v>CAMP0331(cmeB)</v>
          </cell>
          <cell r="J994">
            <v>5</v>
          </cell>
        </row>
        <row r="995">
          <cell r="A995" t="str">
            <v>SC1391</v>
          </cell>
          <cell r="B995" t="str">
            <v>SRR17964936</v>
          </cell>
          <cell r="C995">
            <v>45</v>
          </cell>
          <cell r="D995">
            <v>45</v>
          </cell>
          <cell r="E995" t="str">
            <v>Homo sapiens</v>
          </cell>
          <cell r="F995" t="str">
            <v>Campylobacter jejuni</v>
          </cell>
          <cell r="G995" t="str">
            <v>exact</v>
          </cell>
          <cell r="H995" t="str">
            <v>CAMP0331(cmeB)_5</v>
          </cell>
          <cell r="I995" t="str">
            <v>CAMP0331(cmeB)</v>
          </cell>
          <cell r="J995">
            <v>5</v>
          </cell>
        </row>
        <row r="996">
          <cell r="A996" t="str">
            <v>SC1390</v>
          </cell>
          <cell r="B996" t="str">
            <v>SRR17964937</v>
          </cell>
          <cell r="C996">
            <v>53</v>
          </cell>
          <cell r="D996">
            <v>21</v>
          </cell>
          <cell r="E996" t="str">
            <v>Homo sapiens</v>
          </cell>
          <cell r="F996" t="str">
            <v>Campylobacter jejuni</v>
          </cell>
          <cell r="G996" t="str">
            <v>exact</v>
          </cell>
          <cell r="H996" t="str">
            <v>CAMP0331(cmeB)_604</v>
          </cell>
          <cell r="I996" t="str">
            <v>CAMP0331(cmeB)</v>
          </cell>
          <cell r="J996">
            <v>604</v>
          </cell>
        </row>
        <row r="997">
          <cell r="A997" t="str">
            <v>SC1118</v>
          </cell>
          <cell r="B997" t="str">
            <v>SRR17964938</v>
          </cell>
          <cell r="C997">
            <v>45</v>
          </cell>
          <cell r="D997">
            <v>45</v>
          </cell>
          <cell r="E997" t="str">
            <v>Homo sapiens</v>
          </cell>
          <cell r="F997" t="str">
            <v>Campylobacter jejuni</v>
          </cell>
          <cell r="G997" t="str">
            <v>exact</v>
          </cell>
          <cell r="H997" t="str">
            <v>CAMP0331(cmeB)_3616</v>
          </cell>
          <cell r="I997" t="str">
            <v>CAMP0331(cmeB)</v>
          </cell>
          <cell r="J997">
            <v>3616</v>
          </cell>
        </row>
        <row r="998">
          <cell r="A998" t="str">
            <v>SC1389</v>
          </cell>
          <cell r="B998" t="str">
            <v>SRR17964939</v>
          </cell>
          <cell r="C998">
            <v>45</v>
          </cell>
          <cell r="D998">
            <v>45</v>
          </cell>
          <cell r="E998" t="str">
            <v>Homo sapiens</v>
          </cell>
          <cell r="F998" t="str">
            <v>Campylobacter jejuni</v>
          </cell>
          <cell r="G998" t="str">
            <v>exact</v>
          </cell>
          <cell r="H998" t="str">
            <v>CAMP0331(cmeB)_5</v>
          </cell>
          <cell r="I998" t="str">
            <v>CAMP0331(cmeB)</v>
          </cell>
          <cell r="J998">
            <v>5</v>
          </cell>
        </row>
        <row r="999">
          <cell r="A999" t="str">
            <v>SC1386</v>
          </cell>
          <cell r="B999" t="str">
            <v>SRR17964940</v>
          </cell>
          <cell r="C999">
            <v>190</v>
          </cell>
          <cell r="D999">
            <v>21</v>
          </cell>
          <cell r="E999" t="str">
            <v>Homo sapiens</v>
          </cell>
          <cell r="F999" t="str">
            <v>Campylobacter jejuni</v>
          </cell>
          <cell r="G999" t="str">
            <v>exact</v>
          </cell>
          <cell r="H999" t="str">
            <v>CAMP0331(cmeB)_604</v>
          </cell>
          <cell r="I999" t="str">
            <v>CAMP0331(cmeB)</v>
          </cell>
          <cell r="J999">
            <v>604</v>
          </cell>
        </row>
        <row r="1000">
          <cell r="A1000" t="str">
            <v>SC1385</v>
          </cell>
          <cell r="B1000" t="str">
            <v>SRR17964941</v>
          </cell>
          <cell r="C1000">
            <v>486</v>
          </cell>
          <cell r="D1000">
            <v>21</v>
          </cell>
          <cell r="E1000" t="str">
            <v>Homo sapiens</v>
          </cell>
          <cell r="F1000" t="str">
            <v>Campylobacter jejuni</v>
          </cell>
          <cell r="G1000" t="str">
            <v>exact</v>
          </cell>
          <cell r="H1000" t="str">
            <v>CAMP0331(cmeB)_1</v>
          </cell>
          <cell r="I1000" t="str">
            <v>CAMP0331(cmeB)</v>
          </cell>
          <cell r="J1000">
            <v>1</v>
          </cell>
        </row>
        <row r="1001">
          <cell r="A1001" t="str">
            <v>SC1384</v>
          </cell>
          <cell r="B1001" t="str">
            <v>SRR17964942</v>
          </cell>
          <cell r="C1001">
            <v>6139</v>
          </cell>
          <cell r="D1001">
            <v>42</v>
          </cell>
          <cell r="E1001" t="str">
            <v>Homo sapiens</v>
          </cell>
          <cell r="F1001" t="str">
            <v>Campylobacter jejuni</v>
          </cell>
          <cell r="G1001" t="str">
            <v>exact</v>
          </cell>
          <cell r="H1001" t="str">
            <v>CAMP0331(cmeB)_3623</v>
          </cell>
          <cell r="I1001" t="str">
            <v>CAMP0331(cmeB)</v>
          </cell>
          <cell r="J1001">
            <v>3623</v>
          </cell>
        </row>
        <row r="1002">
          <cell r="A1002" t="str">
            <v>SC1383</v>
          </cell>
          <cell r="B1002" t="str">
            <v>SRR17964943</v>
          </cell>
          <cell r="C1002">
            <v>677</v>
          </cell>
          <cell r="D1002">
            <v>677</v>
          </cell>
          <cell r="E1002" t="str">
            <v>Homo sapiens</v>
          </cell>
          <cell r="F1002" t="str">
            <v>Campylobacter jejuni</v>
          </cell>
          <cell r="G1002" t="str">
            <v>exact</v>
          </cell>
          <cell r="H1002" t="str">
            <v>CAMP0331(cmeB)_39</v>
          </cell>
          <cell r="I1002" t="str">
            <v>CAMP0331(cmeB)</v>
          </cell>
          <cell r="J1002">
            <v>39</v>
          </cell>
        </row>
        <row r="1003">
          <cell r="A1003" t="str">
            <v>SC1381</v>
          </cell>
          <cell r="B1003" t="str">
            <v>SRR17964944</v>
          </cell>
          <cell r="C1003">
            <v>50</v>
          </cell>
          <cell r="D1003">
            <v>21</v>
          </cell>
          <cell r="E1003" t="str">
            <v>Gallus gallus</v>
          </cell>
          <cell r="F1003" t="str">
            <v>Campylobacter jejuni</v>
          </cell>
          <cell r="G1003" t="str">
            <v>exact</v>
          </cell>
          <cell r="H1003" t="str">
            <v>CAMP0331(cmeB)_1</v>
          </cell>
          <cell r="I1003" t="str">
            <v>CAMP0331(cmeB)</v>
          </cell>
          <cell r="J1003">
            <v>1</v>
          </cell>
        </row>
        <row r="1004">
          <cell r="A1004" t="str">
            <v>SC1378</v>
          </cell>
          <cell r="B1004" t="str">
            <v>SRR17964946</v>
          </cell>
          <cell r="C1004">
            <v>422</v>
          </cell>
          <cell r="D1004">
            <v>21</v>
          </cell>
          <cell r="E1004" t="str">
            <v>Homo sapiens</v>
          </cell>
          <cell r="F1004" t="str">
            <v>Campylobacter jejuni</v>
          </cell>
          <cell r="G1004" t="str">
            <v>exact</v>
          </cell>
          <cell r="H1004" t="str">
            <v>CAMP0331(cmeB)_604</v>
          </cell>
          <cell r="I1004" t="str">
            <v>CAMP0331(cmeB)</v>
          </cell>
          <cell r="J1004">
            <v>604</v>
          </cell>
        </row>
        <row r="1005">
          <cell r="A1005" t="str">
            <v>SC1374</v>
          </cell>
          <cell r="B1005" t="str">
            <v>SRR17964948</v>
          </cell>
          <cell r="C1005">
            <v>61</v>
          </cell>
          <cell r="D1005">
            <v>61</v>
          </cell>
          <cell r="E1005" t="str">
            <v>Ovis aries</v>
          </cell>
          <cell r="F1005" t="str">
            <v>Campylobacter jejuni</v>
          </cell>
          <cell r="G1005" t="str">
            <v>exact</v>
          </cell>
          <cell r="H1005" t="str">
            <v>CAMP0331(cmeB)_14</v>
          </cell>
          <cell r="I1005" t="str">
            <v>CAMP0331(cmeB)</v>
          </cell>
          <cell r="J1005">
            <v>14</v>
          </cell>
        </row>
        <row r="1006">
          <cell r="A1006" t="str">
            <v>SC1117</v>
          </cell>
          <cell r="B1006" t="str">
            <v>SRR17964949</v>
          </cell>
          <cell r="C1006">
            <v>583</v>
          </cell>
          <cell r="D1006">
            <v>45</v>
          </cell>
          <cell r="E1006" t="str">
            <v>Homo sapiens</v>
          </cell>
          <cell r="F1006" t="str">
            <v>Campylobacter jejuni</v>
          </cell>
          <cell r="G1006" t="str">
            <v>exact</v>
          </cell>
          <cell r="H1006" t="str">
            <v>CAMP0331(cmeB)_24</v>
          </cell>
          <cell r="I1006" t="str">
            <v>CAMP0331(cmeB)</v>
          </cell>
          <cell r="J1006">
            <v>24</v>
          </cell>
        </row>
        <row r="1007">
          <cell r="A1007" t="str">
            <v>SC1092</v>
          </cell>
          <cell r="B1007" t="str">
            <v>SRR17964950</v>
          </cell>
          <cell r="C1007">
            <v>2345</v>
          </cell>
          <cell r="D1007">
            <v>206</v>
          </cell>
          <cell r="E1007" t="str">
            <v>Homo sapiens</v>
          </cell>
          <cell r="F1007" t="str">
            <v>Campylobacter jejuni</v>
          </cell>
          <cell r="G1007" t="str">
            <v>exact</v>
          </cell>
          <cell r="H1007" t="str">
            <v>CAMP0331(cmeB)_158</v>
          </cell>
          <cell r="I1007" t="str">
            <v>CAMP0331(cmeB)</v>
          </cell>
          <cell r="J1007">
            <v>158</v>
          </cell>
        </row>
        <row r="1008">
          <cell r="A1008" t="str">
            <v>SC1372</v>
          </cell>
          <cell r="B1008" t="str">
            <v>SRR17964952</v>
          </cell>
          <cell r="C1008">
            <v>61</v>
          </cell>
          <cell r="D1008">
            <v>61</v>
          </cell>
          <cell r="E1008" t="str">
            <v>Ovis aries</v>
          </cell>
          <cell r="F1008" t="str">
            <v>Campylobacter jejuni</v>
          </cell>
          <cell r="G1008" t="str">
            <v>exact</v>
          </cell>
          <cell r="H1008" t="str">
            <v>CAMP0331(cmeB)_14</v>
          </cell>
          <cell r="I1008" t="str">
            <v>CAMP0331(cmeB)</v>
          </cell>
          <cell r="J1008">
            <v>14</v>
          </cell>
        </row>
        <row r="1009">
          <cell r="A1009" t="str">
            <v>SC1370</v>
          </cell>
          <cell r="B1009" t="str">
            <v>SRR17964954</v>
          </cell>
          <cell r="C1009">
            <v>2392</v>
          </cell>
          <cell r="D1009">
            <v>52</v>
          </cell>
          <cell r="E1009" t="str">
            <v>Ovis aries</v>
          </cell>
          <cell r="F1009" t="str">
            <v>Campylobacter jejuni</v>
          </cell>
          <cell r="G1009" t="str">
            <v>exact</v>
          </cell>
          <cell r="H1009" t="str">
            <v>CAMP0331(cmeB)_4945</v>
          </cell>
          <cell r="I1009" t="str">
            <v>CAMP0331(cmeB)</v>
          </cell>
          <cell r="J1009">
            <v>4945</v>
          </cell>
        </row>
        <row r="1010">
          <cell r="A1010" t="str">
            <v>SC1369</v>
          </cell>
          <cell r="B1010" t="str">
            <v>SRR17964955</v>
          </cell>
          <cell r="C1010">
            <v>45</v>
          </cell>
          <cell r="D1010">
            <v>45</v>
          </cell>
          <cell r="E1010" t="str">
            <v>Ovis aries</v>
          </cell>
          <cell r="F1010" t="str">
            <v>Campylobacter jejuni</v>
          </cell>
          <cell r="G1010" t="str">
            <v>exact</v>
          </cell>
          <cell r="H1010" t="str">
            <v>CAMP0331(cmeB)_5</v>
          </cell>
          <cell r="I1010" t="str">
            <v>CAMP0331(cmeB)</v>
          </cell>
          <cell r="J1010">
            <v>5</v>
          </cell>
        </row>
        <row r="1011">
          <cell r="A1011" t="str">
            <v>SC1366</v>
          </cell>
          <cell r="B1011" t="str">
            <v>SRR17964956</v>
          </cell>
          <cell r="C1011">
            <v>583</v>
          </cell>
          <cell r="D1011">
            <v>45</v>
          </cell>
          <cell r="E1011" t="str">
            <v>Homo sapiens</v>
          </cell>
          <cell r="F1011" t="str">
            <v>Campylobacter jejuni</v>
          </cell>
          <cell r="G1011" t="str">
            <v>exact</v>
          </cell>
          <cell r="H1011" t="str">
            <v>CAMP0331(cmeB)_24</v>
          </cell>
          <cell r="I1011" t="str">
            <v>CAMP0331(cmeB)</v>
          </cell>
          <cell r="J1011">
            <v>24</v>
          </cell>
        </row>
        <row r="1012">
          <cell r="A1012" t="str">
            <v>SC1365</v>
          </cell>
          <cell r="B1012" t="str">
            <v>SRR17964957</v>
          </cell>
          <cell r="C1012">
            <v>45</v>
          </cell>
          <cell r="D1012">
            <v>45</v>
          </cell>
          <cell r="E1012" t="str">
            <v>Homo sapiens</v>
          </cell>
          <cell r="F1012" t="str">
            <v>Campylobacter jejuni</v>
          </cell>
          <cell r="G1012" t="str">
            <v>exact</v>
          </cell>
          <cell r="H1012" t="str">
            <v>CAMP0331(cmeB)_5</v>
          </cell>
          <cell r="I1012" t="str">
            <v>CAMP0331(cmeB)</v>
          </cell>
          <cell r="J1012">
            <v>5</v>
          </cell>
        </row>
        <row r="1013">
          <cell r="A1013" t="str">
            <v>SC1364</v>
          </cell>
          <cell r="B1013" t="str">
            <v>SRR17964958</v>
          </cell>
          <cell r="C1013">
            <v>583</v>
          </cell>
          <cell r="D1013">
            <v>45</v>
          </cell>
          <cell r="E1013" t="str">
            <v>Homo sapiens</v>
          </cell>
          <cell r="F1013" t="str">
            <v>Campylobacter jejuni</v>
          </cell>
          <cell r="G1013" t="str">
            <v>exact</v>
          </cell>
          <cell r="H1013" t="str">
            <v>CAMP0331(cmeB)_24</v>
          </cell>
          <cell r="I1013" t="str">
            <v>CAMP0331(cmeB)</v>
          </cell>
          <cell r="J1013">
            <v>24</v>
          </cell>
        </row>
        <row r="1014">
          <cell r="A1014" t="str">
            <v>SC1363</v>
          </cell>
          <cell r="B1014" t="str">
            <v>SRR17964959</v>
          </cell>
          <cell r="C1014">
            <v>45</v>
          </cell>
          <cell r="D1014">
            <v>45</v>
          </cell>
          <cell r="E1014" t="str">
            <v>Homo sapiens</v>
          </cell>
          <cell r="F1014" t="str">
            <v>Campylobacter jejuni</v>
          </cell>
          <cell r="G1014" t="str">
            <v>exact</v>
          </cell>
          <cell r="H1014" t="str">
            <v>CAMP0331(cmeB)_5</v>
          </cell>
          <cell r="I1014" t="str">
            <v>CAMP0331(cmeB)</v>
          </cell>
          <cell r="J1014">
            <v>5</v>
          </cell>
        </row>
        <row r="1015">
          <cell r="A1015" t="str">
            <v>SC1361</v>
          </cell>
          <cell r="B1015" t="str">
            <v>SRR17964960</v>
          </cell>
          <cell r="C1015">
            <v>583</v>
          </cell>
          <cell r="D1015">
            <v>45</v>
          </cell>
          <cell r="E1015" t="str">
            <v>Homo sapiens</v>
          </cell>
          <cell r="F1015" t="str">
            <v>Campylobacter jejuni</v>
          </cell>
          <cell r="G1015" t="str">
            <v>exact</v>
          </cell>
          <cell r="H1015" t="str">
            <v>CAMP0331(cmeB)_24</v>
          </cell>
          <cell r="I1015" t="str">
            <v>CAMP0331(cmeB)</v>
          </cell>
          <cell r="J1015">
            <v>24</v>
          </cell>
        </row>
        <row r="1016">
          <cell r="A1016" t="str">
            <v>SC1115</v>
          </cell>
          <cell r="B1016" t="str">
            <v>SRR17964961</v>
          </cell>
          <cell r="C1016">
            <v>45</v>
          </cell>
          <cell r="D1016">
            <v>45</v>
          </cell>
          <cell r="E1016" t="str">
            <v>Homo sapiens</v>
          </cell>
          <cell r="F1016" t="str">
            <v>Campylobacter jejuni</v>
          </cell>
          <cell r="G1016" t="str">
            <v>exact</v>
          </cell>
          <cell r="H1016" t="str">
            <v>CAMP0331(cmeB)_5</v>
          </cell>
          <cell r="I1016" t="str">
            <v>CAMP0331(cmeB)</v>
          </cell>
          <cell r="J1016">
            <v>5</v>
          </cell>
        </row>
        <row r="1017">
          <cell r="A1017" t="str">
            <v>SC1357</v>
          </cell>
          <cell r="B1017" t="str">
            <v>SRR17964962</v>
          </cell>
          <cell r="C1017">
            <v>6964</v>
          </cell>
          <cell r="D1017">
            <v>354</v>
          </cell>
          <cell r="E1017" t="str">
            <v>Homo sapiens</v>
          </cell>
          <cell r="F1017" t="str">
            <v>Campylobacter jejuni</v>
          </cell>
          <cell r="G1017" t="str">
            <v>exact</v>
          </cell>
          <cell r="H1017" t="str">
            <v>CAMP0331(cmeB)_1451</v>
          </cell>
          <cell r="I1017" t="str">
            <v>CAMP0331(cmeB)</v>
          </cell>
          <cell r="J1017">
            <v>1451</v>
          </cell>
        </row>
        <row r="1018">
          <cell r="A1018" t="str">
            <v>SC1356</v>
          </cell>
          <cell r="B1018" t="str">
            <v>SRR17964963</v>
          </cell>
          <cell r="C1018">
            <v>3712</v>
          </cell>
          <cell r="D1018">
            <v>362</v>
          </cell>
          <cell r="E1018" t="str">
            <v>Homo sapiens</v>
          </cell>
          <cell r="F1018" t="str">
            <v>Campylobacter jejuni</v>
          </cell>
          <cell r="G1018" t="str">
            <v>exact</v>
          </cell>
          <cell r="H1018" t="str">
            <v>CAMP0331(cmeB)_3622</v>
          </cell>
          <cell r="I1018" t="str">
            <v>CAMP0331(cmeB)</v>
          </cell>
          <cell r="J1018">
            <v>3622</v>
          </cell>
        </row>
        <row r="1019">
          <cell r="A1019" t="str">
            <v>SC1354</v>
          </cell>
          <cell r="B1019" t="str">
            <v>SRR17964964</v>
          </cell>
          <cell r="C1019">
            <v>583</v>
          </cell>
          <cell r="D1019">
            <v>45</v>
          </cell>
          <cell r="E1019" t="str">
            <v>Homo sapiens</v>
          </cell>
          <cell r="F1019" t="str">
            <v>Campylobacter jejuni</v>
          </cell>
          <cell r="G1019" t="str">
            <v>exact</v>
          </cell>
          <cell r="H1019" t="str">
            <v>CAMP0331(cmeB)_24</v>
          </cell>
          <cell r="I1019" t="str">
            <v>CAMP0331(cmeB)</v>
          </cell>
          <cell r="J1019">
            <v>24</v>
          </cell>
        </row>
        <row r="1020">
          <cell r="A1020" t="str">
            <v>SC1353</v>
          </cell>
          <cell r="B1020" t="str">
            <v>SRR17964965</v>
          </cell>
          <cell r="C1020">
            <v>45</v>
          </cell>
          <cell r="D1020">
            <v>45</v>
          </cell>
          <cell r="E1020" t="str">
            <v>Homo sapiens</v>
          </cell>
          <cell r="F1020" t="str">
            <v>Campylobacter jejuni</v>
          </cell>
          <cell r="G1020" t="str">
            <v>exact</v>
          </cell>
          <cell r="H1020" t="str">
            <v>CAMP0331(cmeB)_5</v>
          </cell>
          <cell r="I1020" t="str">
            <v>CAMP0331(cmeB)</v>
          </cell>
          <cell r="J1020">
            <v>5</v>
          </cell>
        </row>
        <row r="1021">
          <cell r="A1021" t="str">
            <v>SC1351</v>
          </cell>
          <cell r="B1021" t="str">
            <v>SRR17964966</v>
          </cell>
          <cell r="C1021">
            <v>45</v>
          </cell>
          <cell r="D1021">
            <v>45</v>
          </cell>
          <cell r="E1021" t="str">
            <v>Homo sapiens</v>
          </cell>
          <cell r="F1021" t="str">
            <v>Campylobacter jejuni</v>
          </cell>
          <cell r="G1021" t="str">
            <v>exact</v>
          </cell>
          <cell r="H1021" t="str">
            <v>CAMP0331(cmeB)_5</v>
          </cell>
          <cell r="I1021" t="str">
            <v>CAMP0331(cmeB)</v>
          </cell>
          <cell r="J1021">
            <v>5</v>
          </cell>
        </row>
        <row r="1022">
          <cell r="A1022" t="str">
            <v>SC1350</v>
          </cell>
          <cell r="B1022" t="str">
            <v>SRR17964967</v>
          </cell>
          <cell r="C1022">
            <v>50</v>
          </cell>
          <cell r="D1022">
            <v>21</v>
          </cell>
          <cell r="E1022" t="str">
            <v>Homo sapiens</v>
          </cell>
          <cell r="F1022" t="str">
            <v>Campylobacter jejuni</v>
          </cell>
          <cell r="G1022" t="str">
            <v>exact</v>
          </cell>
          <cell r="H1022" t="str">
            <v>CAMP0331(cmeB)_369</v>
          </cell>
          <cell r="I1022" t="str">
            <v>CAMP0331(cmeB)</v>
          </cell>
          <cell r="J1022">
            <v>369</v>
          </cell>
        </row>
        <row r="1023">
          <cell r="A1023" t="str">
            <v>SC1348</v>
          </cell>
          <cell r="B1023" t="str">
            <v>SRR17964968</v>
          </cell>
          <cell r="C1023">
            <v>583</v>
          </cell>
          <cell r="D1023">
            <v>45</v>
          </cell>
          <cell r="E1023" t="str">
            <v>Homo sapiens</v>
          </cell>
          <cell r="F1023" t="str">
            <v>Campylobacter jejuni</v>
          </cell>
          <cell r="G1023" t="str">
            <v>exact</v>
          </cell>
          <cell r="H1023" t="str">
            <v>CAMP0331(cmeB)_24</v>
          </cell>
          <cell r="I1023" t="str">
            <v>CAMP0331(cmeB)</v>
          </cell>
          <cell r="J1023">
            <v>24</v>
          </cell>
        </row>
        <row r="1024">
          <cell r="A1024" t="str">
            <v>SC1347</v>
          </cell>
          <cell r="B1024" t="str">
            <v>SRR17964969</v>
          </cell>
          <cell r="C1024">
            <v>50</v>
          </cell>
          <cell r="D1024">
            <v>21</v>
          </cell>
          <cell r="E1024" t="str">
            <v>Homo sapiens</v>
          </cell>
          <cell r="F1024" t="str">
            <v>Campylobacter jejuni</v>
          </cell>
          <cell r="G1024" t="str">
            <v>exact</v>
          </cell>
          <cell r="H1024" t="str">
            <v>CAMP0331(cmeB)_1</v>
          </cell>
          <cell r="I1024" t="str">
            <v>CAMP0331(cmeB)</v>
          </cell>
          <cell r="J1024">
            <v>1</v>
          </cell>
        </row>
        <row r="1025">
          <cell r="A1025" t="str">
            <v>SC1346</v>
          </cell>
          <cell r="B1025" t="str">
            <v>SRR17964970</v>
          </cell>
          <cell r="C1025">
            <v>2026</v>
          </cell>
          <cell r="D1025">
            <v>403</v>
          </cell>
          <cell r="E1025" t="str">
            <v>Homo sapiens</v>
          </cell>
          <cell r="F1025" t="str">
            <v>Campylobacter jejuni</v>
          </cell>
          <cell r="G1025" t="str">
            <v>exact</v>
          </cell>
          <cell r="H1025" t="str">
            <v>CAMP0331(cmeB)_54</v>
          </cell>
          <cell r="I1025" t="str">
            <v>CAMP0331(cmeB)</v>
          </cell>
          <cell r="J1025">
            <v>54</v>
          </cell>
        </row>
        <row r="1026">
          <cell r="A1026" t="str">
            <v>SC1173</v>
          </cell>
          <cell r="B1026" t="str">
            <v>SRR17964971</v>
          </cell>
          <cell r="C1026">
            <v>45</v>
          </cell>
          <cell r="D1026">
            <v>45</v>
          </cell>
          <cell r="E1026" t="str">
            <v>Homo sapiens</v>
          </cell>
          <cell r="F1026" t="str">
            <v>Campylobacter jejuni</v>
          </cell>
          <cell r="G1026" t="str">
            <v>exact</v>
          </cell>
          <cell r="H1026" t="str">
            <v>CAMP0331(cmeB)_5</v>
          </cell>
          <cell r="I1026" t="str">
            <v>CAMP0331(cmeB)</v>
          </cell>
          <cell r="J1026">
            <v>5</v>
          </cell>
        </row>
        <row r="1027">
          <cell r="A1027" t="str">
            <v>SC1170</v>
          </cell>
          <cell r="B1027" t="str">
            <v>SRR17964972</v>
          </cell>
          <cell r="C1027">
            <v>422</v>
          </cell>
          <cell r="D1027">
            <v>21</v>
          </cell>
          <cell r="E1027" t="str">
            <v>Homo sapiens</v>
          </cell>
          <cell r="F1027" t="str">
            <v>Campylobacter jejuni</v>
          </cell>
          <cell r="G1027" t="str">
            <v>exact</v>
          </cell>
          <cell r="H1027" t="str">
            <v>CAMP0331(cmeB)_604</v>
          </cell>
          <cell r="I1027" t="str">
            <v>CAMP0331(cmeB)</v>
          </cell>
          <cell r="J1027">
            <v>604</v>
          </cell>
        </row>
        <row r="1028">
          <cell r="A1028" t="str">
            <v>SC1169</v>
          </cell>
          <cell r="B1028" t="str">
            <v>SRR17964973</v>
          </cell>
          <cell r="C1028">
            <v>583</v>
          </cell>
          <cell r="D1028">
            <v>45</v>
          </cell>
          <cell r="E1028" t="str">
            <v>Homo sapiens</v>
          </cell>
          <cell r="F1028" t="str">
            <v>Campylobacter jejuni</v>
          </cell>
          <cell r="G1028" t="str">
            <v>exact</v>
          </cell>
          <cell r="H1028" t="str">
            <v>CAMP0331(cmeB)_24</v>
          </cell>
          <cell r="I1028" t="str">
            <v>CAMP0331(cmeB)</v>
          </cell>
          <cell r="J1028">
            <v>24</v>
          </cell>
        </row>
        <row r="1029">
          <cell r="A1029" t="str">
            <v>SC1166</v>
          </cell>
          <cell r="B1029" t="str">
            <v>SRR17964974</v>
          </cell>
          <cell r="C1029">
            <v>3712</v>
          </cell>
          <cell r="D1029">
            <v>362</v>
          </cell>
          <cell r="E1029" t="str">
            <v>Homo sapiens</v>
          </cell>
          <cell r="F1029" t="str">
            <v>Campylobacter jejuni</v>
          </cell>
          <cell r="G1029" t="str">
            <v>exact</v>
          </cell>
          <cell r="H1029" t="str">
            <v>CAMP0331(cmeB)_3622</v>
          </cell>
          <cell r="I1029" t="str">
            <v>CAMP0331(cmeB)</v>
          </cell>
          <cell r="J1029">
            <v>3622</v>
          </cell>
        </row>
        <row r="1030">
          <cell r="A1030" t="str">
            <v>SC1097</v>
          </cell>
          <cell r="B1030" t="str">
            <v>SRR17964975</v>
          </cell>
          <cell r="C1030">
            <v>42</v>
          </cell>
          <cell r="D1030">
            <v>42</v>
          </cell>
          <cell r="E1030" t="str">
            <v>Bos taurus taurus</v>
          </cell>
          <cell r="F1030" t="str">
            <v>Campylobacter jejuni</v>
          </cell>
          <cell r="G1030" t="str">
            <v>exact</v>
          </cell>
          <cell r="H1030" t="str">
            <v>CAMP0331(cmeB)_22</v>
          </cell>
          <cell r="I1030" t="str">
            <v>CAMP0331(cmeB)</v>
          </cell>
          <cell r="J1030">
            <v>22</v>
          </cell>
        </row>
        <row r="1031">
          <cell r="A1031" t="str">
            <v>SC1165</v>
          </cell>
          <cell r="B1031" t="str">
            <v>SRR17964976</v>
          </cell>
          <cell r="C1031">
            <v>2535</v>
          </cell>
          <cell r="D1031">
            <v>0</v>
          </cell>
          <cell r="E1031" t="str">
            <v>Homo sapiens</v>
          </cell>
          <cell r="F1031" t="str">
            <v>Campylobacter jejuni</v>
          </cell>
          <cell r="G1031" t="str">
            <v>exact</v>
          </cell>
          <cell r="H1031" t="str">
            <v>CAMP0331(cmeB)_1667</v>
          </cell>
          <cell r="I1031" t="str">
            <v>CAMP0331(cmeB)</v>
          </cell>
          <cell r="J1031">
            <v>1667</v>
          </cell>
        </row>
        <row r="1032">
          <cell r="A1032" t="str">
            <v>SC1164</v>
          </cell>
          <cell r="B1032" t="str">
            <v>SRR17964977</v>
          </cell>
          <cell r="C1032">
            <v>45</v>
          </cell>
          <cell r="D1032">
            <v>45</v>
          </cell>
          <cell r="E1032" t="str">
            <v>Homo sapiens</v>
          </cell>
          <cell r="F1032" t="str">
            <v>Campylobacter jejuni</v>
          </cell>
          <cell r="G1032" t="str">
            <v>exact</v>
          </cell>
          <cell r="H1032" t="str">
            <v>CAMP0331(cmeB)_260</v>
          </cell>
          <cell r="I1032" t="str">
            <v>CAMP0331(cmeB)</v>
          </cell>
          <cell r="J1032">
            <v>260</v>
          </cell>
        </row>
        <row r="1033">
          <cell r="A1033" t="str">
            <v>SC1163</v>
          </cell>
          <cell r="B1033" t="str">
            <v>SRR17964978</v>
          </cell>
          <cell r="C1033">
            <v>45</v>
          </cell>
          <cell r="D1033">
            <v>45</v>
          </cell>
          <cell r="E1033" t="str">
            <v>Homo sapiens</v>
          </cell>
          <cell r="F1033" t="str">
            <v>Campylobacter jejuni</v>
          </cell>
          <cell r="G1033" t="str">
            <v>exact</v>
          </cell>
          <cell r="H1033" t="str">
            <v>CAMP0331(cmeB)_5</v>
          </cell>
          <cell r="I1033" t="str">
            <v>CAMP0331(cmeB)</v>
          </cell>
          <cell r="J1033">
            <v>5</v>
          </cell>
        </row>
        <row r="1034">
          <cell r="A1034" t="str">
            <v>SC1162</v>
          </cell>
          <cell r="B1034" t="str">
            <v>SRR17964979</v>
          </cell>
          <cell r="C1034">
            <v>21</v>
          </cell>
          <cell r="D1034">
            <v>21</v>
          </cell>
          <cell r="E1034" t="str">
            <v>Homo sapiens</v>
          </cell>
          <cell r="F1034" t="str">
            <v>Campylobacter jejuni</v>
          </cell>
          <cell r="G1034" t="str">
            <v>exact</v>
          </cell>
          <cell r="H1034" t="str">
            <v>CAMP0331(cmeB)_604</v>
          </cell>
          <cell r="I1034" t="str">
            <v>CAMP0331(cmeB)</v>
          </cell>
          <cell r="J1034">
            <v>604</v>
          </cell>
        </row>
        <row r="1035">
          <cell r="A1035" t="str">
            <v>SC1161</v>
          </cell>
          <cell r="B1035" t="str">
            <v>SRR17964980</v>
          </cell>
          <cell r="C1035">
            <v>4492</v>
          </cell>
          <cell r="D1035">
            <v>61</v>
          </cell>
          <cell r="E1035" t="str">
            <v>Homo sapiens</v>
          </cell>
          <cell r="F1035" t="str">
            <v>Campylobacter jejuni</v>
          </cell>
          <cell r="G1035" t="str">
            <v>exact</v>
          </cell>
          <cell r="H1035" t="str">
            <v>CAMP0331(cmeB)_14</v>
          </cell>
          <cell r="I1035" t="str">
            <v>CAMP0331(cmeB)</v>
          </cell>
          <cell r="J1035">
            <v>14</v>
          </cell>
        </row>
        <row r="1036">
          <cell r="A1036" t="str">
            <v>SC1160</v>
          </cell>
          <cell r="B1036" t="str">
            <v>SRR17964981</v>
          </cell>
          <cell r="C1036">
            <v>583</v>
          </cell>
          <cell r="D1036">
            <v>45</v>
          </cell>
          <cell r="E1036" t="str">
            <v>Homo sapiens</v>
          </cell>
          <cell r="F1036" t="str">
            <v>Campylobacter jejuni</v>
          </cell>
          <cell r="G1036" t="str">
            <v>exact</v>
          </cell>
          <cell r="H1036" t="str">
            <v>CAMP0331(cmeB)_24</v>
          </cell>
          <cell r="I1036" t="str">
            <v>CAMP0331(cmeB)</v>
          </cell>
          <cell r="J1036">
            <v>24</v>
          </cell>
        </row>
        <row r="1037">
          <cell r="A1037" t="str">
            <v>SC1157</v>
          </cell>
          <cell r="B1037" t="str">
            <v>SRR17964982</v>
          </cell>
          <cell r="C1037">
            <v>27</v>
          </cell>
          <cell r="D1037">
            <v>362</v>
          </cell>
          <cell r="E1037" t="str">
            <v>Homo sapiens</v>
          </cell>
          <cell r="F1037" t="str">
            <v>Campylobacter jejuni</v>
          </cell>
          <cell r="G1037" t="str">
            <v>exact</v>
          </cell>
          <cell r="H1037" t="str">
            <v>CAMP0331(cmeB)_1329</v>
          </cell>
          <cell r="I1037" t="str">
            <v>CAMP0331(cmeB)</v>
          </cell>
          <cell r="J1037">
            <v>1329</v>
          </cell>
        </row>
        <row r="1038">
          <cell r="A1038" t="str">
            <v>SC1156</v>
          </cell>
          <cell r="B1038" t="str">
            <v>SRR17964983</v>
          </cell>
          <cell r="C1038">
            <v>677</v>
          </cell>
          <cell r="D1038">
            <v>677</v>
          </cell>
          <cell r="E1038" t="str">
            <v>Homo sapiens</v>
          </cell>
          <cell r="F1038" t="str">
            <v>Campylobacter jejuni</v>
          </cell>
          <cell r="G1038" t="str">
            <v>exact</v>
          </cell>
          <cell r="H1038" t="str">
            <v>CAMP0331(cmeB)_39</v>
          </cell>
          <cell r="I1038" t="str">
            <v>CAMP0331(cmeB)</v>
          </cell>
          <cell r="J1038">
            <v>39</v>
          </cell>
        </row>
        <row r="1039">
          <cell r="A1039" t="str">
            <v>SC1155</v>
          </cell>
          <cell r="B1039" t="str">
            <v>SRR17964984</v>
          </cell>
          <cell r="C1039">
            <v>45</v>
          </cell>
          <cell r="D1039">
            <v>45</v>
          </cell>
          <cell r="E1039" t="str">
            <v>Homo sapiens</v>
          </cell>
          <cell r="F1039" t="str">
            <v>Campylobacter jejuni</v>
          </cell>
          <cell r="G1039" t="str">
            <v>exact</v>
          </cell>
          <cell r="H1039" t="str">
            <v>CAMP0331(cmeB)_5</v>
          </cell>
          <cell r="I1039" t="str">
            <v>CAMP0331(cmeB)</v>
          </cell>
          <cell r="J1039">
            <v>5</v>
          </cell>
        </row>
        <row r="1040">
          <cell r="A1040" t="str">
            <v>SC1153</v>
          </cell>
          <cell r="B1040" t="str">
            <v>SRR17964985</v>
          </cell>
          <cell r="C1040">
            <v>583</v>
          </cell>
          <cell r="D1040">
            <v>45</v>
          </cell>
          <cell r="E1040" t="str">
            <v>Homo sapiens</v>
          </cell>
          <cell r="F1040" t="str">
            <v>Campylobacter jejuni</v>
          </cell>
          <cell r="G1040" t="str">
            <v>exact</v>
          </cell>
          <cell r="H1040" t="str">
            <v>CAMP0331(cmeB)_24</v>
          </cell>
          <cell r="I1040" t="str">
            <v>CAMP0331(cmeB)</v>
          </cell>
          <cell r="J1040">
            <v>24</v>
          </cell>
        </row>
        <row r="1041">
          <cell r="A1041" t="str">
            <v>SC1096</v>
          </cell>
          <cell r="B1041" t="str">
            <v>SRR17964986</v>
          </cell>
          <cell r="C1041">
            <v>42</v>
          </cell>
          <cell r="D1041">
            <v>42</v>
          </cell>
          <cell r="E1041" t="str">
            <v>Bos taurus taurus</v>
          </cell>
          <cell r="F1041" t="str">
            <v>Campylobacter jejuni</v>
          </cell>
          <cell r="G1041" t="str">
            <v>exact</v>
          </cell>
          <cell r="H1041" t="str">
            <v>CAMP0331(cmeB)_22</v>
          </cell>
          <cell r="I1041" t="str">
            <v>CAMP0331(cmeB)</v>
          </cell>
          <cell r="J1041">
            <v>22</v>
          </cell>
        </row>
        <row r="1042">
          <cell r="A1042" t="str">
            <v>SC1152</v>
          </cell>
          <cell r="B1042" t="str">
            <v>SRR17964987</v>
          </cell>
          <cell r="C1042">
            <v>677</v>
          </cell>
          <cell r="D1042">
            <v>677</v>
          </cell>
          <cell r="E1042" t="str">
            <v>Homo sapiens</v>
          </cell>
          <cell r="F1042" t="str">
            <v>Campylobacter jejuni</v>
          </cell>
          <cell r="G1042" t="str">
            <v>exact</v>
          </cell>
          <cell r="H1042" t="str">
            <v>CAMP0331(cmeB)_39</v>
          </cell>
          <cell r="I1042" t="str">
            <v>CAMP0331(cmeB)</v>
          </cell>
          <cell r="J1042">
            <v>39</v>
          </cell>
        </row>
        <row r="1043">
          <cell r="A1043" t="str">
            <v>SC1151</v>
          </cell>
          <cell r="B1043" t="str">
            <v>SRR17964988</v>
          </cell>
          <cell r="C1043">
            <v>583</v>
          </cell>
          <cell r="D1043">
            <v>45</v>
          </cell>
          <cell r="E1043" t="str">
            <v>Homo sapiens</v>
          </cell>
          <cell r="F1043" t="str">
            <v>Campylobacter jejuni</v>
          </cell>
          <cell r="G1043" t="str">
            <v>exact</v>
          </cell>
          <cell r="H1043" t="str">
            <v>CAMP0331(cmeB)_24</v>
          </cell>
          <cell r="I1043" t="str">
            <v>CAMP0331(cmeB)</v>
          </cell>
          <cell r="J1043">
            <v>24</v>
          </cell>
        </row>
        <row r="1044">
          <cell r="A1044" t="str">
            <v>SC1150</v>
          </cell>
          <cell r="B1044" t="str">
            <v>SRR17964989</v>
          </cell>
          <cell r="C1044">
            <v>583</v>
          </cell>
          <cell r="D1044">
            <v>45</v>
          </cell>
          <cell r="E1044" t="str">
            <v>Homo sapiens</v>
          </cell>
          <cell r="F1044" t="str">
            <v>Campylobacter jejuni</v>
          </cell>
          <cell r="G1044" t="str">
            <v>exact</v>
          </cell>
          <cell r="H1044" t="str">
            <v>CAMP0331(cmeB)_24</v>
          </cell>
          <cell r="I1044" t="str">
            <v>CAMP0331(cmeB)</v>
          </cell>
          <cell r="J1044">
            <v>24</v>
          </cell>
        </row>
        <row r="1045">
          <cell r="A1045" t="str">
            <v>SC1149</v>
          </cell>
          <cell r="B1045" t="str">
            <v>SRR17964990</v>
          </cell>
          <cell r="C1045">
            <v>45</v>
          </cell>
          <cell r="D1045">
            <v>45</v>
          </cell>
          <cell r="E1045" t="str">
            <v>Homo sapiens</v>
          </cell>
          <cell r="F1045" t="str">
            <v>Campylobacter jejuni</v>
          </cell>
          <cell r="G1045" t="str">
            <v>exact</v>
          </cell>
          <cell r="H1045" t="str">
            <v>CAMP0331(cmeB)_27</v>
          </cell>
          <cell r="I1045" t="str">
            <v>CAMP0331(cmeB)</v>
          </cell>
          <cell r="J1045">
            <v>27</v>
          </cell>
        </row>
        <row r="1046">
          <cell r="A1046" t="str">
            <v>SC1148</v>
          </cell>
          <cell r="B1046" t="str">
            <v>SRR17964991</v>
          </cell>
          <cell r="C1046">
            <v>6964</v>
          </cell>
          <cell r="D1046">
            <v>354</v>
          </cell>
          <cell r="E1046" t="str">
            <v>Homo sapiens</v>
          </cell>
          <cell r="F1046" t="str">
            <v>Campylobacter jejuni</v>
          </cell>
          <cell r="G1046" t="str">
            <v>exact</v>
          </cell>
          <cell r="H1046" t="str">
            <v>CAMP0331(cmeB)_1451</v>
          </cell>
          <cell r="I1046" t="str">
            <v>CAMP0331(cmeB)</v>
          </cell>
          <cell r="J1046">
            <v>1451</v>
          </cell>
        </row>
        <row r="1047">
          <cell r="A1047" t="str">
            <v>SC1147</v>
          </cell>
          <cell r="B1047" t="str">
            <v>SRR17964992</v>
          </cell>
          <cell r="C1047">
            <v>2345</v>
          </cell>
          <cell r="D1047">
            <v>206</v>
          </cell>
          <cell r="E1047" t="str">
            <v>Homo sapiens</v>
          </cell>
          <cell r="F1047" t="str">
            <v>Campylobacter jejuni</v>
          </cell>
          <cell r="G1047" t="str">
            <v>exact</v>
          </cell>
          <cell r="H1047" t="str">
            <v>CAMP0331(cmeB)_158</v>
          </cell>
          <cell r="I1047" t="str">
            <v>CAMP0331(cmeB)</v>
          </cell>
          <cell r="J1047">
            <v>158</v>
          </cell>
        </row>
        <row r="1048">
          <cell r="A1048" t="str">
            <v>SC1146</v>
          </cell>
          <cell r="B1048" t="str">
            <v>SRR17964993</v>
          </cell>
          <cell r="C1048">
            <v>677</v>
          </cell>
          <cell r="D1048">
            <v>677</v>
          </cell>
          <cell r="E1048" t="str">
            <v>Homo sapiens</v>
          </cell>
          <cell r="F1048" t="str">
            <v>Campylobacter jejuni</v>
          </cell>
          <cell r="G1048" t="str">
            <v>exact</v>
          </cell>
          <cell r="H1048" t="str">
            <v>CAMP0331(cmeB)_39</v>
          </cell>
          <cell r="I1048" t="str">
            <v>CAMP0331(cmeB)</v>
          </cell>
          <cell r="J1048">
            <v>39</v>
          </cell>
        </row>
        <row r="1049">
          <cell r="A1049" t="str">
            <v>SC1142</v>
          </cell>
          <cell r="B1049" t="str">
            <v>SRR17964994</v>
          </cell>
          <cell r="C1049">
            <v>42</v>
          </cell>
          <cell r="D1049">
            <v>42</v>
          </cell>
          <cell r="E1049" t="str">
            <v>Bos taurus taurus</v>
          </cell>
          <cell r="F1049" t="str">
            <v>Campylobacter jejuni</v>
          </cell>
          <cell r="G1049" t="str">
            <v>exact</v>
          </cell>
          <cell r="H1049" t="str">
            <v>CAMP0331(cmeB)_3623</v>
          </cell>
          <cell r="I1049" t="str">
            <v>CAMP0331(cmeB)</v>
          </cell>
          <cell r="J1049">
            <v>3623</v>
          </cell>
        </row>
        <row r="1050">
          <cell r="A1050" t="str">
            <v>SC1141</v>
          </cell>
          <cell r="B1050" t="str">
            <v>SRR17964995</v>
          </cell>
          <cell r="C1050">
            <v>42</v>
          </cell>
          <cell r="D1050">
            <v>42</v>
          </cell>
          <cell r="E1050" t="str">
            <v>Bos taurus taurus</v>
          </cell>
          <cell r="F1050" t="str">
            <v>Campylobacter jejuni</v>
          </cell>
          <cell r="G1050" t="str">
            <v>exact</v>
          </cell>
          <cell r="H1050" t="str">
            <v>CAMP0331(cmeB)_22</v>
          </cell>
          <cell r="I1050" t="str">
            <v>CAMP0331(cmeB)</v>
          </cell>
          <cell r="J1050">
            <v>22</v>
          </cell>
        </row>
        <row r="1051">
          <cell r="A1051" t="str">
            <v>SC1140</v>
          </cell>
          <cell r="B1051" t="str">
            <v>SRR17964996</v>
          </cell>
          <cell r="C1051">
            <v>42</v>
          </cell>
          <cell r="D1051">
            <v>42</v>
          </cell>
          <cell r="E1051" t="str">
            <v>Bos taurus taurus</v>
          </cell>
          <cell r="F1051" t="str">
            <v>Campylobacter jejuni</v>
          </cell>
          <cell r="G1051" t="str">
            <v>exact</v>
          </cell>
          <cell r="H1051" t="str">
            <v>CAMP0331(cmeB)_3623</v>
          </cell>
          <cell r="I1051" t="str">
            <v>CAMP0331(cmeB)</v>
          </cell>
          <cell r="J1051">
            <v>3623</v>
          </cell>
        </row>
        <row r="1052">
          <cell r="A1052" t="str">
            <v>SC1095</v>
          </cell>
          <cell r="B1052" t="str">
            <v>SRR17964997</v>
          </cell>
          <cell r="C1052">
            <v>61</v>
          </cell>
          <cell r="D1052">
            <v>61</v>
          </cell>
          <cell r="E1052" t="str">
            <v>Bos taurus taurus</v>
          </cell>
          <cell r="F1052" t="str">
            <v>Campylobacter jejuni</v>
          </cell>
          <cell r="G1052" t="str">
            <v>exact</v>
          </cell>
          <cell r="H1052" t="str">
            <v>CAMP0331(cmeB)_14</v>
          </cell>
          <cell r="I1052" t="str">
            <v>CAMP0331(cmeB)</v>
          </cell>
          <cell r="J1052">
            <v>14</v>
          </cell>
        </row>
        <row r="1053">
          <cell r="A1053" t="str">
            <v>SC1139</v>
          </cell>
          <cell r="B1053" t="str">
            <v>SRR17964998</v>
          </cell>
          <cell r="C1053">
            <v>45</v>
          </cell>
          <cell r="D1053">
            <v>45</v>
          </cell>
          <cell r="E1053" t="str">
            <v>Bos taurus taurus</v>
          </cell>
          <cell r="F1053" t="str">
            <v>Campylobacter jejuni</v>
          </cell>
          <cell r="G1053" t="str">
            <v>exact</v>
          </cell>
          <cell r="H1053" t="str">
            <v>CAMP0331(cmeB)_3616</v>
          </cell>
          <cell r="I1053" t="str">
            <v>CAMP0331(cmeB)</v>
          </cell>
          <cell r="J1053">
            <v>3616</v>
          </cell>
        </row>
        <row r="1054">
          <cell r="A1054" t="str">
            <v>SC1138</v>
          </cell>
          <cell r="B1054" t="str">
            <v>SRR17964999</v>
          </cell>
          <cell r="C1054">
            <v>3093</v>
          </cell>
          <cell r="D1054">
            <v>21</v>
          </cell>
          <cell r="E1054" t="str">
            <v>Bos taurus taurus</v>
          </cell>
          <cell r="F1054" t="str">
            <v>Campylobacter jejuni</v>
          </cell>
          <cell r="G1054" t="str">
            <v>exact</v>
          </cell>
          <cell r="H1054" t="str">
            <v>CAMP0331(cmeB)_604</v>
          </cell>
          <cell r="I1054" t="str">
            <v>CAMP0331(cmeB)</v>
          </cell>
          <cell r="J1054">
            <v>604</v>
          </cell>
        </row>
        <row r="1055">
          <cell r="A1055" t="str">
            <v>SC1137</v>
          </cell>
          <cell r="B1055" t="str">
            <v>SRR17965000</v>
          </cell>
          <cell r="C1055">
            <v>827</v>
          </cell>
          <cell r="D1055">
            <v>828</v>
          </cell>
          <cell r="E1055" t="str">
            <v>Bos taurus taurus</v>
          </cell>
          <cell r="F1055" t="str">
            <v>Campylobacter coli</v>
          </cell>
          <cell r="G1055" t="str">
            <v>exact</v>
          </cell>
          <cell r="H1055" t="str">
            <v>CAMP0331(cmeB)_56</v>
          </cell>
          <cell r="I1055" t="str">
            <v>CAMP0331(cmeB)</v>
          </cell>
          <cell r="J1055">
            <v>56</v>
          </cell>
        </row>
        <row r="1056">
          <cell r="A1056" t="str">
            <v>SC1136</v>
          </cell>
          <cell r="B1056" t="str">
            <v>SRR17965001</v>
          </cell>
          <cell r="C1056">
            <v>53</v>
          </cell>
          <cell r="D1056">
            <v>21</v>
          </cell>
          <cell r="E1056" t="str">
            <v>Bos taurus taurus</v>
          </cell>
          <cell r="F1056" t="str">
            <v>Campylobacter jejuni</v>
          </cell>
          <cell r="G1056" t="str">
            <v>exact</v>
          </cell>
          <cell r="H1056" t="str">
            <v>CAMP0331(cmeB)_604</v>
          </cell>
          <cell r="I1056" t="str">
            <v>CAMP0331(cmeB)</v>
          </cell>
          <cell r="J1056">
            <v>604</v>
          </cell>
        </row>
        <row r="1057">
          <cell r="A1057" t="str">
            <v>SC1135</v>
          </cell>
          <cell r="B1057" t="str">
            <v>SRR17965002</v>
          </cell>
          <cell r="C1057">
            <v>53</v>
          </cell>
          <cell r="D1057">
            <v>21</v>
          </cell>
          <cell r="E1057" t="str">
            <v>Bos taurus taurus</v>
          </cell>
          <cell r="F1057" t="str">
            <v>Campylobacter jejuni</v>
          </cell>
          <cell r="G1057" t="str">
            <v>exact</v>
          </cell>
          <cell r="H1057" t="str">
            <v>CAMP0331(cmeB)_604</v>
          </cell>
          <cell r="I1057" t="str">
            <v>CAMP0331(cmeB)</v>
          </cell>
          <cell r="J1057">
            <v>604</v>
          </cell>
        </row>
        <row r="1058">
          <cell r="A1058" t="str">
            <v>SC1345</v>
          </cell>
          <cell r="B1058" t="str">
            <v>SRR17965003</v>
          </cell>
          <cell r="C1058">
            <v>583</v>
          </cell>
          <cell r="D1058">
            <v>45</v>
          </cell>
          <cell r="E1058" t="str">
            <v>Homo sapiens</v>
          </cell>
          <cell r="F1058" t="str">
            <v>Campylobacter jejuni</v>
          </cell>
          <cell r="G1058" t="str">
            <v>exact</v>
          </cell>
          <cell r="H1058" t="str">
            <v>CAMP0331(cmeB)_24</v>
          </cell>
          <cell r="I1058" t="str">
            <v>CAMP0331(cmeB)</v>
          </cell>
          <cell r="J1058">
            <v>24</v>
          </cell>
        </row>
        <row r="1059">
          <cell r="A1059" t="str">
            <v>SC1114</v>
          </cell>
          <cell r="B1059" t="str">
            <v>SRR17965004</v>
          </cell>
          <cell r="C1059">
            <v>45</v>
          </cell>
          <cell r="D1059">
            <v>45</v>
          </cell>
          <cell r="E1059" t="str">
            <v>Homo sapiens</v>
          </cell>
          <cell r="F1059" t="str">
            <v>Campylobacter jejuni</v>
          </cell>
          <cell r="G1059" t="str">
            <v>exact</v>
          </cell>
          <cell r="H1059" t="str">
            <v>CAMP0331(cmeB)_5</v>
          </cell>
          <cell r="I1059" t="str">
            <v>CAMP0331(cmeB)</v>
          </cell>
          <cell r="J1059">
            <v>5</v>
          </cell>
        </row>
        <row r="1060">
          <cell r="A1060" t="str">
            <v>SC1344</v>
          </cell>
          <cell r="B1060" t="str">
            <v>SRR17965005</v>
          </cell>
          <cell r="C1060">
            <v>4337</v>
          </cell>
          <cell r="D1060">
            <v>21</v>
          </cell>
          <cell r="E1060" t="str">
            <v>Homo sapiens</v>
          </cell>
          <cell r="F1060" t="str">
            <v>Campylobacter jejuni</v>
          </cell>
          <cell r="G1060" t="str">
            <v>exact</v>
          </cell>
          <cell r="H1060" t="str">
            <v>CAMP0331(cmeB)_604</v>
          </cell>
          <cell r="I1060" t="str">
            <v>CAMP0331(cmeB)</v>
          </cell>
          <cell r="J1060">
            <v>604</v>
          </cell>
        </row>
        <row r="1061">
          <cell r="A1061" t="str">
            <v>SC1341</v>
          </cell>
          <cell r="B1061" t="str">
            <v>SRR17965006</v>
          </cell>
          <cell r="C1061">
            <v>53</v>
          </cell>
          <cell r="D1061">
            <v>21</v>
          </cell>
          <cell r="E1061" t="str">
            <v>Homo sapiens</v>
          </cell>
          <cell r="F1061" t="str">
            <v>Campylobacter jejuni</v>
          </cell>
          <cell r="G1061" t="str">
            <v>exact</v>
          </cell>
          <cell r="H1061" t="str">
            <v>CAMP0331(cmeB)_604</v>
          </cell>
          <cell r="I1061" t="str">
            <v>CAMP0331(cmeB)</v>
          </cell>
          <cell r="J1061">
            <v>604</v>
          </cell>
        </row>
        <row r="1062">
          <cell r="A1062" t="str">
            <v>SC1337</v>
          </cell>
          <cell r="B1062" t="str">
            <v>SRR17965007</v>
          </cell>
          <cell r="C1062">
            <v>538</v>
          </cell>
          <cell r="D1062">
            <v>45</v>
          </cell>
          <cell r="E1062" t="str">
            <v>Homo sapiens</v>
          </cell>
          <cell r="F1062" t="str">
            <v>Campylobacter jejuni</v>
          </cell>
          <cell r="G1062" t="str">
            <v>exact</v>
          </cell>
          <cell r="H1062" t="str">
            <v>CAMP0331(cmeB)_27</v>
          </cell>
          <cell r="I1062" t="str">
            <v>CAMP0331(cmeB)</v>
          </cell>
          <cell r="J1062">
            <v>27</v>
          </cell>
        </row>
        <row r="1063">
          <cell r="A1063" t="str">
            <v>SC1336</v>
          </cell>
          <cell r="B1063" t="str">
            <v>SRR17965008</v>
          </cell>
          <cell r="C1063">
            <v>583</v>
          </cell>
          <cell r="D1063">
            <v>45</v>
          </cell>
          <cell r="E1063" t="str">
            <v>Homo sapiens</v>
          </cell>
          <cell r="F1063" t="str">
            <v>Campylobacter jejuni</v>
          </cell>
          <cell r="G1063" t="str">
            <v>exact</v>
          </cell>
          <cell r="H1063" t="str">
            <v>CAMP0331(cmeB)_24</v>
          </cell>
          <cell r="I1063" t="str">
            <v>CAMP0331(cmeB)</v>
          </cell>
          <cell r="J1063">
            <v>24</v>
          </cell>
        </row>
        <row r="1064">
          <cell r="A1064" t="str">
            <v>SC1335</v>
          </cell>
          <cell r="B1064" t="str">
            <v>SRR17965009</v>
          </cell>
          <cell r="C1064">
            <v>45</v>
          </cell>
          <cell r="D1064">
            <v>45</v>
          </cell>
          <cell r="E1064" t="str">
            <v>Homo sapiens</v>
          </cell>
          <cell r="F1064" t="str">
            <v>Campylobacter jejuni</v>
          </cell>
          <cell r="G1064" t="str">
            <v>exact</v>
          </cell>
          <cell r="H1064" t="str">
            <v>CAMP0331(cmeB)_3634</v>
          </cell>
          <cell r="I1064" t="str">
            <v>CAMP0331(cmeB)</v>
          </cell>
          <cell r="J1064">
            <v>3634</v>
          </cell>
        </row>
        <row r="1065">
          <cell r="A1065" t="str">
            <v>SC1334</v>
          </cell>
          <cell r="B1065" t="str">
            <v>SRR17965010</v>
          </cell>
          <cell r="C1065">
            <v>45</v>
          </cell>
          <cell r="D1065">
            <v>45</v>
          </cell>
          <cell r="E1065" t="str">
            <v>Homo sapiens</v>
          </cell>
          <cell r="F1065" t="str">
            <v>Campylobacter jejuni</v>
          </cell>
          <cell r="G1065" t="str">
            <v>exact</v>
          </cell>
          <cell r="H1065" t="str">
            <v>CAMP0331(cmeB)_5</v>
          </cell>
          <cell r="I1065" t="str">
            <v>CAMP0331(cmeB)</v>
          </cell>
          <cell r="J1065">
            <v>5</v>
          </cell>
        </row>
        <row r="1066">
          <cell r="A1066" t="str">
            <v>SC1331</v>
          </cell>
          <cell r="B1066" t="str">
            <v>SRR17965011</v>
          </cell>
          <cell r="C1066">
            <v>583</v>
          </cell>
          <cell r="D1066">
            <v>45</v>
          </cell>
          <cell r="E1066" t="str">
            <v>Homo sapiens</v>
          </cell>
          <cell r="F1066" t="str">
            <v>Campylobacter jejuni</v>
          </cell>
          <cell r="G1066" t="str">
            <v>exact</v>
          </cell>
          <cell r="H1066" t="str">
            <v>CAMP0331(cmeB)_24</v>
          </cell>
          <cell r="I1066" t="str">
            <v>CAMP0331(cmeB)</v>
          </cell>
          <cell r="J1066">
            <v>24</v>
          </cell>
        </row>
        <row r="1067">
          <cell r="A1067" t="str">
            <v>SC1330</v>
          </cell>
          <cell r="B1067" t="str">
            <v>SRR17965012</v>
          </cell>
          <cell r="C1067">
            <v>4337</v>
          </cell>
          <cell r="D1067">
            <v>21</v>
          </cell>
          <cell r="E1067" t="str">
            <v>Gallus gallus</v>
          </cell>
          <cell r="F1067" t="str">
            <v>Campylobacter jejuni</v>
          </cell>
          <cell r="G1067" t="str">
            <v>exact</v>
          </cell>
          <cell r="H1067" t="str">
            <v>CAMP0331(cmeB)_604</v>
          </cell>
          <cell r="I1067" t="str">
            <v>CAMP0331(cmeB)</v>
          </cell>
          <cell r="J1067">
            <v>604</v>
          </cell>
        </row>
        <row r="1068">
          <cell r="A1068" t="str">
            <v>SC1329</v>
          </cell>
          <cell r="B1068" t="str">
            <v>SRR17965013</v>
          </cell>
          <cell r="C1068">
            <v>2345</v>
          </cell>
          <cell r="D1068">
            <v>206</v>
          </cell>
          <cell r="E1068" t="str">
            <v>Gallus gallus</v>
          </cell>
          <cell r="F1068" t="str">
            <v>Campylobacter jejuni</v>
          </cell>
          <cell r="G1068" t="str">
            <v>exact</v>
          </cell>
          <cell r="H1068" t="str">
            <v>CAMP0331(cmeB)_158</v>
          </cell>
          <cell r="I1068" t="str">
            <v>CAMP0331(cmeB)</v>
          </cell>
          <cell r="J1068">
            <v>158</v>
          </cell>
        </row>
        <row r="1069">
          <cell r="A1069" t="str">
            <v>SC1328</v>
          </cell>
          <cell r="B1069" t="str">
            <v>SRR17965014</v>
          </cell>
          <cell r="C1069">
            <v>45</v>
          </cell>
          <cell r="D1069">
            <v>45</v>
          </cell>
          <cell r="E1069" t="str">
            <v>Gallus gallus</v>
          </cell>
          <cell r="F1069" t="str">
            <v>Campylobacter jejuni</v>
          </cell>
          <cell r="G1069" t="str">
            <v>exact</v>
          </cell>
          <cell r="H1069" t="str">
            <v>CAMP0331(cmeB)_5</v>
          </cell>
          <cell r="I1069" t="str">
            <v>CAMP0331(cmeB)</v>
          </cell>
          <cell r="J1069">
            <v>5</v>
          </cell>
        </row>
        <row r="1070">
          <cell r="A1070" t="str">
            <v>SC1113</v>
          </cell>
          <cell r="B1070" t="str">
            <v>SRR17965015</v>
          </cell>
          <cell r="C1070">
            <v>45</v>
          </cell>
          <cell r="D1070">
            <v>45</v>
          </cell>
          <cell r="E1070" t="str">
            <v>Homo sapiens</v>
          </cell>
          <cell r="F1070" t="str">
            <v>Campylobacter jejuni</v>
          </cell>
          <cell r="G1070" t="str">
            <v>exact</v>
          </cell>
          <cell r="H1070" t="str">
            <v>CAMP0331(cmeB)_3621</v>
          </cell>
          <cell r="I1070" t="str">
            <v>CAMP0331(cmeB)</v>
          </cell>
          <cell r="J1070">
            <v>3621</v>
          </cell>
        </row>
        <row r="1071">
          <cell r="A1071" t="str">
            <v>SC1327</v>
          </cell>
          <cell r="B1071" t="str">
            <v>SRR17965016</v>
          </cell>
          <cell r="C1071">
            <v>53</v>
          </cell>
          <cell r="D1071">
            <v>21</v>
          </cell>
          <cell r="E1071" t="str">
            <v>Gallus gallus</v>
          </cell>
          <cell r="F1071" t="str">
            <v>Campylobacter jejuni</v>
          </cell>
          <cell r="G1071" t="str">
            <v>exact</v>
          </cell>
          <cell r="H1071" t="str">
            <v>CAMP0331(cmeB)_604</v>
          </cell>
          <cell r="I1071" t="str">
            <v>CAMP0331(cmeB)</v>
          </cell>
          <cell r="J1071">
            <v>604</v>
          </cell>
        </row>
        <row r="1072">
          <cell r="A1072" t="str">
            <v>SC1326</v>
          </cell>
          <cell r="B1072" t="str">
            <v>SRR17965017</v>
          </cell>
          <cell r="C1072">
            <v>53</v>
          </cell>
          <cell r="D1072">
            <v>21</v>
          </cell>
          <cell r="E1072" t="str">
            <v>Gallus gallus</v>
          </cell>
          <cell r="F1072" t="str">
            <v>Campylobacter jejuni</v>
          </cell>
          <cell r="G1072" t="str">
            <v>exact</v>
          </cell>
          <cell r="H1072" t="str">
            <v>CAMP0331(cmeB)_4767</v>
          </cell>
          <cell r="I1072" t="str">
            <v>CAMP0331(cmeB)</v>
          </cell>
          <cell r="J1072">
            <v>4767</v>
          </cell>
        </row>
        <row r="1073">
          <cell r="A1073" t="str">
            <v>SC1325</v>
          </cell>
          <cell r="B1073" t="str">
            <v>SRR17965018</v>
          </cell>
          <cell r="C1073">
            <v>1581</v>
          </cell>
          <cell r="D1073">
            <v>0</v>
          </cell>
          <cell r="E1073" t="str">
            <v>Gallus gallus</v>
          </cell>
          <cell r="F1073" t="str">
            <v>Campylobacter coli</v>
          </cell>
          <cell r="G1073" t="str">
            <v>exact</v>
          </cell>
          <cell r="H1073" t="str">
            <v>CAMP0331(cmeB)_690</v>
          </cell>
          <cell r="I1073" t="str">
            <v>CAMP0331(cmeB)</v>
          </cell>
          <cell r="J1073">
            <v>690</v>
          </cell>
        </row>
        <row r="1074">
          <cell r="A1074" t="str">
            <v>SC1324</v>
          </cell>
          <cell r="B1074" t="str">
            <v>SRR17965019</v>
          </cell>
          <cell r="C1074">
            <v>48</v>
          </cell>
          <cell r="D1074">
            <v>48</v>
          </cell>
          <cell r="E1074" t="str">
            <v>Gallus gallus</v>
          </cell>
          <cell r="F1074" t="str">
            <v>Campylobacter jejuni</v>
          </cell>
          <cell r="G1074" t="str">
            <v>exact</v>
          </cell>
          <cell r="H1074" t="str">
            <v>CAMP0331(cmeB)_94</v>
          </cell>
          <cell r="I1074" t="str">
            <v>CAMP0331(cmeB)</v>
          </cell>
          <cell r="J1074">
            <v>94</v>
          </cell>
        </row>
        <row r="1075">
          <cell r="A1075" t="str">
            <v>SC1323</v>
          </cell>
          <cell r="B1075" t="str">
            <v>SRR17965020</v>
          </cell>
          <cell r="C1075">
            <v>48</v>
          </cell>
          <cell r="D1075">
            <v>48</v>
          </cell>
          <cell r="E1075" t="str">
            <v>Gallus gallus</v>
          </cell>
          <cell r="F1075" t="str">
            <v>Campylobacter jejuni</v>
          </cell>
          <cell r="G1075" t="str">
            <v>exact</v>
          </cell>
          <cell r="H1075" t="str">
            <v>CAMP0331(cmeB)_94</v>
          </cell>
          <cell r="I1075" t="str">
            <v>CAMP0331(cmeB)</v>
          </cell>
          <cell r="J1075">
            <v>94</v>
          </cell>
        </row>
        <row r="1076">
          <cell r="A1076" t="str">
            <v>SC1322</v>
          </cell>
          <cell r="B1076" t="str">
            <v>SRR17965021</v>
          </cell>
          <cell r="C1076">
            <v>45</v>
          </cell>
          <cell r="D1076">
            <v>45</v>
          </cell>
          <cell r="E1076" t="str">
            <v>Gallus gallus</v>
          </cell>
          <cell r="F1076" t="str">
            <v>Campylobacter jejuni</v>
          </cell>
          <cell r="G1076" t="str">
            <v>exact</v>
          </cell>
          <cell r="H1076" t="str">
            <v>CAMP0331(cmeB)_5</v>
          </cell>
          <cell r="I1076" t="str">
            <v>CAMP0331(cmeB)</v>
          </cell>
          <cell r="J1076">
            <v>5</v>
          </cell>
        </row>
        <row r="1077">
          <cell r="A1077" t="str">
            <v>SC1321</v>
          </cell>
          <cell r="B1077" t="str">
            <v>SRR17965022</v>
          </cell>
          <cell r="C1077">
            <v>48</v>
          </cell>
          <cell r="D1077">
            <v>48</v>
          </cell>
          <cell r="E1077" t="str">
            <v>Gallus gallus</v>
          </cell>
          <cell r="F1077" t="str">
            <v>Campylobacter jejuni</v>
          </cell>
          <cell r="G1077" t="str">
            <v>exact</v>
          </cell>
          <cell r="H1077" t="str">
            <v>CAMP0331(cmeB)_94</v>
          </cell>
          <cell r="I1077" t="str">
            <v>CAMP0331(cmeB)</v>
          </cell>
          <cell r="J1077">
            <v>94</v>
          </cell>
        </row>
        <row r="1078">
          <cell r="A1078" t="str">
            <v>SC1320</v>
          </cell>
          <cell r="B1078" t="str">
            <v>SRR17965023</v>
          </cell>
          <cell r="C1078">
            <v>48</v>
          </cell>
          <cell r="D1078">
            <v>48</v>
          </cell>
          <cell r="E1078" t="str">
            <v>Gallus gallus</v>
          </cell>
          <cell r="F1078" t="str">
            <v>Campylobacter jejuni</v>
          </cell>
          <cell r="G1078" t="str">
            <v>exact</v>
          </cell>
          <cell r="H1078" t="str">
            <v>CAMP0331(cmeB)_94</v>
          </cell>
          <cell r="I1078" t="str">
            <v>CAMP0331(cmeB)</v>
          </cell>
          <cell r="J1078">
            <v>94</v>
          </cell>
        </row>
        <row r="1079">
          <cell r="A1079" t="str">
            <v>SC1318</v>
          </cell>
          <cell r="B1079" t="str">
            <v>SRR17965025</v>
          </cell>
          <cell r="C1079">
            <v>48</v>
          </cell>
          <cell r="D1079">
            <v>48</v>
          </cell>
          <cell r="E1079" t="str">
            <v>Gallus gallus</v>
          </cell>
          <cell r="F1079" t="str">
            <v>Campylobacter jejuni</v>
          </cell>
          <cell r="G1079" t="str">
            <v>exact</v>
          </cell>
          <cell r="H1079" t="str">
            <v>CAMP0331(cmeB)_94</v>
          </cell>
          <cell r="I1079" t="str">
            <v>CAMP0331(cmeB)</v>
          </cell>
          <cell r="J1079">
            <v>94</v>
          </cell>
        </row>
        <row r="1080">
          <cell r="A1080" t="str">
            <v>SC1111</v>
          </cell>
          <cell r="B1080" t="str">
            <v>SRR17965026</v>
          </cell>
          <cell r="C1080">
            <v>25</v>
          </cell>
          <cell r="D1080">
            <v>45</v>
          </cell>
          <cell r="E1080" t="str">
            <v>Homo sapiens</v>
          </cell>
          <cell r="F1080" t="str">
            <v>Campylobacter jejuni</v>
          </cell>
          <cell r="G1080" t="str">
            <v>exact</v>
          </cell>
          <cell r="H1080" t="str">
            <v>CAMP0331(cmeB)_5</v>
          </cell>
          <cell r="I1080" t="str">
            <v>CAMP0331(cmeB)</v>
          </cell>
          <cell r="J1080">
            <v>5</v>
          </cell>
        </row>
        <row r="1081">
          <cell r="A1081" t="str">
            <v>SC1317</v>
          </cell>
          <cell r="B1081" t="str">
            <v>SRR17965027</v>
          </cell>
          <cell r="C1081">
            <v>45</v>
          </cell>
          <cell r="D1081">
            <v>45</v>
          </cell>
          <cell r="E1081" t="str">
            <v>Gallus gallus</v>
          </cell>
          <cell r="F1081" t="str">
            <v>Campylobacter jejuni</v>
          </cell>
          <cell r="G1081" t="str">
            <v>exact</v>
          </cell>
          <cell r="H1081" t="str">
            <v>CAMP0331(cmeB)_27</v>
          </cell>
          <cell r="I1081" t="str">
            <v>CAMP0331(cmeB)</v>
          </cell>
          <cell r="J1081">
            <v>27</v>
          </cell>
        </row>
        <row r="1082">
          <cell r="A1082" t="str">
            <v>SC1316</v>
          </cell>
          <cell r="B1082" t="str">
            <v>SRR17965028</v>
          </cell>
          <cell r="C1082">
            <v>50</v>
          </cell>
          <cell r="D1082">
            <v>21</v>
          </cell>
          <cell r="E1082" t="str">
            <v>Gallus gallus</v>
          </cell>
          <cell r="F1082" t="str">
            <v>Campylobacter jejuni</v>
          </cell>
          <cell r="G1082" t="str">
            <v>exact</v>
          </cell>
          <cell r="H1082" t="str">
            <v>CAMP0331(cmeB)_1</v>
          </cell>
          <cell r="I1082" t="str">
            <v>CAMP0331(cmeB)</v>
          </cell>
          <cell r="J1082">
            <v>1</v>
          </cell>
        </row>
        <row r="1083">
          <cell r="A1083" t="str">
            <v>SC1315</v>
          </cell>
          <cell r="B1083" t="str">
            <v>SRR17965029</v>
          </cell>
          <cell r="C1083">
            <v>257</v>
          </cell>
          <cell r="D1083">
            <v>257</v>
          </cell>
          <cell r="E1083" t="str">
            <v>Gallus gallus</v>
          </cell>
          <cell r="F1083" t="str">
            <v>Campylobacter jejuni</v>
          </cell>
          <cell r="G1083" t="str">
            <v>exact</v>
          </cell>
          <cell r="H1083" t="str">
            <v>CAMP0331(cmeB)_51</v>
          </cell>
          <cell r="I1083" t="str">
            <v>CAMP0331(cmeB)</v>
          </cell>
          <cell r="J1083">
            <v>51</v>
          </cell>
        </row>
        <row r="1084">
          <cell r="A1084" t="str">
            <v>SC1314</v>
          </cell>
          <cell r="B1084" t="str">
            <v>SRR17965030</v>
          </cell>
          <cell r="C1084">
            <v>53</v>
          </cell>
          <cell r="D1084">
            <v>21</v>
          </cell>
          <cell r="E1084" t="str">
            <v>Gallus gallus</v>
          </cell>
          <cell r="F1084" t="str">
            <v>Campylobacter jejuni</v>
          </cell>
          <cell r="G1084" t="str">
            <v>exact</v>
          </cell>
          <cell r="H1084" t="str">
            <v>CAMP0331(cmeB)_604</v>
          </cell>
          <cell r="I1084" t="str">
            <v>CAMP0331(cmeB)</v>
          </cell>
          <cell r="J1084">
            <v>604</v>
          </cell>
        </row>
        <row r="1085">
          <cell r="A1085" t="str">
            <v>SC1313</v>
          </cell>
          <cell r="B1085" t="str">
            <v>SRR17965031</v>
          </cell>
          <cell r="C1085">
            <v>190</v>
          </cell>
          <cell r="D1085">
            <v>21</v>
          </cell>
          <cell r="E1085" t="str">
            <v>Homo sapiens</v>
          </cell>
          <cell r="F1085" t="str">
            <v>Campylobacter jejuni</v>
          </cell>
          <cell r="G1085" t="str">
            <v>exact</v>
          </cell>
          <cell r="H1085" t="str">
            <v>CAMP0331(cmeB)_604</v>
          </cell>
          <cell r="I1085" t="str">
            <v>CAMP0331(cmeB)</v>
          </cell>
          <cell r="J1085">
            <v>604</v>
          </cell>
        </row>
        <row r="1086">
          <cell r="A1086" t="str">
            <v>SC1306</v>
          </cell>
          <cell r="B1086" t="str">
            <v>SRR17965032</v>
          </cell>
          <cell r="C1086">
            <v>53</v>
          </cell>
          <cell r="D1086">
            <v>21</v>
          </cell>
          <cell r="E1086" t="str">
            <v>Homo sapiens</v>
          </cell>
          <cell r="F1086" t="str">
            <v>Campylobacter jejuni</v>
          </cell>
          <cell r="G1086" t="str">
            <v>exact</v>
          </cell>
          <cell r="H1086" t="str">
            <v>CAMP0331(cmeB)_604</v>
          </cell>
          <cell r="I1086" t="str">
            <v>CAMP0331(cmeB)</v>
          </cell>
          <cell r="J1086">
            <v>604</v>
          </cell>
        </row>
        <row r="1087">
          <cell r="A1087" t="str">
            <v>SC1304</v>
          </cell>
          <cell r="B1087" t="str">
            <v>SRR17965033</v>
          </cell>
          <cell r="C1087">
            <v>48</v>
          </cell>
          <cell r="D1087">
            <v>48</v>
          </cell>
          <cell r="E1087" t="str">
            <v>Homo sapiens</v>
          </cell>
          <cell r="F1087" t="str">
            <v>Campylobacter jejuni</v>
          </cell>
          <cell r="G1087" t="str">
            <v>exact</v>
          </cell>
          <cell r="H1087" t="str">
            <v>CAMP0331(cmeB)_94</v>
          </cell>
          <cell r="I1087" t="str">
            <v>CAMP0331(cmeB)</v>
          </cell>
          <cell r="J1087">
            <v>94</v>
          </cell>
        </row>
        <row r="1088">
          <cell r="A1088" t="str">
            <v>SC1302</v>
          </cell>
          <cell r="B1088" t="str">
            <v>SRR17965034</v>
          </cell>
          <cell r="C1088">
            <v>53</v>
          </cell>
          <cell r="D1088">
            <v>21</v>
          </cell>
          <cell r="E1088" t="str">
            <v>Homo sapiens</v>
          </cell>
          <cell r="F1088" t="str">
            <v>Campylobacter jejuni</v>
          </cell>
          <cell r="G1088" t="str">
            <v>exact</v>
          </cell>
          <cell r="H1088" t="str">
            <v>CAMP0331(cmeB)_604</v>
          </cell>
          <cell r="I1088" t="str">
            <v>CAMP0331(cmeB)</v>
          </cell>
          <cell r="J1088">
            <v>604</v>
          </cell>
        </row>
        <row r="1089">
          <cell r="A1089" t="str">
            <v>SC1298</v>
          </cell>
          <cell r="B1089" t="str">
            <v>SRR17965035</v>
          </cell>
          <cell r="C1089">
            <v>53</v>
          </cell>
          <cell r="D1089">
            <v>21</v>
          </cell>
          <cell r="E1089" t="str">
            <v>Homo sapiens</v>
          </cell>
          <cell r="F1089" t="str">
            <v>Campylobacter jejuni</v>
          </cell>
          <cell r="G1089" t="str">
            <v>exact</v>
          </cell>
          <cell r="H1089" t="str">
            <v>CAMP0331(cmeB)_604</v>
          </cell>
          <cell r="I1089" t="str">
            <v>CAMP0331(cmeB)</v>
          </cell>
          <cell r="J1089">
            <v>604</v>
          </cell>
        </row>
        <row r="1090">
          <cell r="A1090" t="str">
            <v>SC1296</v>
          </cell>
          <cell r="B1090" t="str">
            <v>SRR17965036</v>
          </cell>
          <cell r="C1090">
            <v>45</v>
          </cell>
          <cell r="D1090">
            <v>45</v>
          </cell>
          <cell r="E1090" t="str">
            <v>Homo sapiens</v>
          </cell>
          <cell r="F1090" t="str">
            <v>Campylobacter jejuni</v>
          </cell>
          <cell r="G1090" t="str">
            <v>exact</v>
          </cell>
          <cell r="H1090" t="str">
            <v>CAMP0331(cmeB)_3616</v>
          </cell>
          <cell r="I1090" t="str">
            <v>CAMP0331(cmeB)</v>
          </cell>
          <cell r="J1090">
            <v>3616</v>
          </cell>
        </row>
        <row r="1091">
          <cell r="A1091" t="str">
            <v>SC1110</v>
          </cell>
          <cell r="B1091" t="str">
            <v>SRR17965037</v>
          </cell>
          <cell r="C1091">
            <v>45</v>
          </cell>
          <cell r="D1091">
            <v>45</v>
          </cell>
          <cell r="E1091" t="str">
            <v>Homo sapiens</v>
          </cell>
          <cell r="F1091" t="str">
            <v>Campylobacter jejuni</v>
          </cell>
          <cell r="G1091" t="str">
            <v>exact</v>
          </cell>
          <cell r="H1091" t="str">
            <v>CAMP0331(cmeB)_5</v>
          </cell>
          <cell r="I1091" t="str">
            <v>CAMP0331(cmeB)</v>
          </cell>
          <cell r="J1091">
            <v>5</v>
          </cell>
        </row>
        <row r="1092">
          <cell r="A1092" t="str">
            <v>SC1292</v>
          </cell>
          <cell r="B1092" t="str">
            <v>SRR17965038</v>
          </cell>
          <cell r="C1092">
            <v>48</v>
          </cell>
          <cell r="D1092">
            <v>48</v>
          </cell>
          <cell r="E1092" t="str">
            <v>Homo sapiens</v>
          </cell>
          <cell r="F1092" t="str">
            <v>Campylobacter jejuni</v>
          </cell>
          <cell r="G1092" t="str">
            <v>exact</v>
          </cell>
          <cell r="H1092" t="str">
            <v>CAMP0331(cmeB)_94</v>
          </cell>
          <cell r="I1092" t="str">
            <v>CAMP0331(cmeB)</v>
          </cell>
          <cell r="J1092">
            <v>94</v>
          </cell>
        </row>
        <row r="1093">
          <cell r="A1093" t="str">
            <v>SC1289</v>
          </cell>
          <cell r="B1093" t="str">
            <v>SRR17965039</v>
          </cell>
          <cell r="C1093">
            <v>0</v>
          </cell>
          <cell r="D1093">
            <v>0</v>
          </cell>
          <cell r="E1093" t="str">
            <v>Homo sapiens</v>
          </cell>
          <cell r="F1093" t="str">
            <v>Campylobacter jejuni</v>
          </cell>
          <cell r="G1093" t="str">
            <v>exact</v>
          </cell>
          <cell r="H1093" t="str">
            <v>CAMP0331(cmeB)_43</v>
          </cell>
          <cell r="I1093" t="str">
            <v>CAMP0331(cmeB)</v>
          </cell>
          <cell r="J1093">
            <v>43</v>
          </cell>
        </row>
        <row r="1094">
          <cell r="A1094" t="str">
            <v>SC1288</v>
          </cell>
          <cell r="B1094" t="str">
            <v>SRR17965040</v>
          </cell>
          <cell r="C1094">
            <v>583</v>
          </cell>
          <cell r="D1094">
            <v>45</v>
          </cell>
          <cell r="E1094" t="str">
            <v>Homo sapiens</v>
          </cell>
          <cell r="F1094" t="str">
            <v>Campylobacter jejuni</v>
          </cell>
          <cell r="G1094" t="str">
            <v>exact</v>
          </cell>
          <cell r="H1094" t="str">
            <v>CAMP0331(cmeB)_24</v>
          </cell>
          <cell r="I1094" t="str">
            <v>CAMP0331(cmeB)</v>
          </cell>
          <cell r="J1094">
            <v>24</v>
          </cell>
        </row>
        <row r="1095">
          <cell r="A1095" t="str">
            <v>SC1286</v>
          </cell>
          <cell r="B1095" t="str">
            <v>SRR17965041</v>
          </cell>
          <cell r="C1095">
            <v>45</v>
          </cell>
          <cell r="D1095">
            <v>45</v>
          </cell>
          <cell r="E1095" t="str">
            <v>Homo sapiens</v>
          </cell>
          <cell r="F1095" t="str">
            <v>Campylobacter jejuni</v>
          </cell>
          <cell r="G1095" t="str">
            <v>exact</v>
          </cell>
          <cell r="H1095" t="str">
            <v>CAMP0331(cmeB)_3616</v>
          </cell>
          <cell r="I1095" t="str">
            <v>CAMP0331(cmeB)</v>
          </cell>
          <cell r="J1095">
            <v>3616</v>
          </cell>
        </row>
        <row r="1096">
          <cell r="A1096" t="str">
            <v>SC1284</v>
          </cell>
          <cell r="B1096" t="str">
            <v>SRR17965042</v>
          </cell>
          <cell r="C1096">
            <v>3711</v>
          </cell>
          <cell r="D1096">
            <v>257</v>
          </cell>
          <cell r="E1096" t="str">
            <v>Homo sapiens</v>
          </cell>
          <cell r="F1096" t="str">
            <v>Campylobacter jejuni</v>
          </cell>
          <cell r="G1096" t="str">
            <v>exact</v>
          </cell>
          <cell r="H1096" t="str">
            <v>CAMP0331(cmeB)_51</v>
          </cell>
          <cell r="I1096" t="str">
            <v>CAMP0331(cmeB)</v>
          </cell>
          <cell r="J1096">
            <v>51</v>
          </cell>
        </row>
        <row r="1097">
          <cell r="A1097" t="str">
            <v>SC1281</v>
          </cell>
          <cell r="B1097" t="str">
            <v>SRR17965043</v>
          </cell>
          <cell r="C1097">
            <v>38</v>
          </cell>
          <cell r="D1097">
            <v>48</v>
          </cell>
          <cell r="E1097" t="str">
            <v>Homo sapiens</v>
          </cell>
          <cell r="F1097" t="str">
            <v>Campylobacter jejuni</v>
          </cell>
          <cell r="G1097" t="str">
            <v>exact</v>
          </cell>
          <cell r="H1097" t="str">
            <v>CAMP0331(cmeB)_14</v>
          </cell>
          <cell r="I1097" t="str">
            <v>CAMP0331(cmeB)</v>
          </cell>
          <cell r="J1097">
            <v>14</v>
          </cell>
        </row>
        <row r="1098">
          <cell r="A1098" t="str">
            <v>SC1280</v>
          </cell>
          <cell r="B1098" t="str">
            <v>SRR17965044</v>
          </cell>
          <cell r="C1098">
            <v>45</v>
          </cell>
          <cell r="D1098">
            <v>45</v>
          </cell>
          <cell r="E1098" t="str">
            <v>Homo sapiens</v>
          </cell>
          <cell r="F1098" t="str">
            <v>Campylobacter jejuni</v>
          </cell>
          <cell r="G1098" t="str">
            <v>exact</v>
          </cell>
          <cell r="H1098" t="str">
            <v>CAMP0331(cmeB)_5</v>
          </cell>
          <cell r="I1098" t="str">
            <v>CAMP0331(cmeB)</v>
          </cell>
          <cell r="J1098">
            <v>5</v>
          </cell>
        </row>
        <row r="1099">
          <cell r="A1099" t="str">
            <v>SC1279</v>
          </cell>
          <cell r="B1099" t="str">
            <v>SRR17965045</v>
          </cell>
          <cell r="C1099">
            <v>45</v>
          </cell>
          <cell r="D1099">
            <v>45</v>
          </cell>
          <cell r="E1099" t="str">
            <v>Homo sapiens</v>
          </cell>
          <cell r="F1099" t="str">
            <v>Campylobacter jejuni</v>
          </cell>
          <cell r="G1099" t="str">
            <v>exact</v>
          </cell>
          <cell r="H1099" t="str">
            <v>CAMP0331(cmeB)_5</v>
          </cell>
          <cell r="I1099" t="str">
            <v>CAMP0331(cmeB)</v>
          </cell>
          <cell r="J1099">
            <v>5</v>
          </cell>
        </row>
        <row r="1100">
          <cell r="A1100" t="str">
            <v>SC1278</v>
          </cell>
          <cell r="B1100" t="str">
            <v>SRR17965046</v>
          </cell>
          <cell r="C1100">
            <v>538</v>
          </cell>
          <cell r="D1100">
            <v>45</v>
          </cell>
          <cell r="E1100" t="str">
            <v>Homo sapiens</v>
          </cell>
          <cell r="F1100" t="str">
            <v>Campylobacter jejuni</v>
          </cell>
          <cell r="G1100" t="str">
            <v>exact</v>
          </cell>
          <cell r="H1100" t="str">
            <v>CAMP0331(cmeB)_27</v>
          </cell>
          <cell r="I1100" t="str">
            <v>CAMP0331(cmeB)</v>
          </cell>
          <cell r="J1100">
            <v>27</v>
          </cell>
        </row>
        <row r="1101">
          <cell r="A1101" t="str">
            <v>SC1276</v>
          </cell>
          <cell r="B1101" t="str">
            <v>SRR17965047</v>
          </cell>
          <cell r="C1101">
            <v>45</v>
          </cell>
          <cell r="D1101">
            <v>45</v>
          </cell>
          <cell r="E1101" t="str">
            <v>Homo sapiens</v>
          </cell>
          <cell r="F1101" t="str">
            <v>Campylobacter jejuni</v>
          </cell>
          <cell r="G1101" t="str">
            <v>exact</v>
          </cell>
          <cell r="H1101" t="str">
            <v>CAMP0331(cmeB)_5</v>
          </cell>
          <cell r="I1101" t="str">
            <v>CAMP0331(cmeB)</v>
          </cell>
          <cell r="J1101">
            <v>5</v>
          </cell>
        </row>
        <row r="1102">
          <cell r="A1102" t="str">
            <v>SC1108</v>
          </cell>
          <cell r="B1102" t="str">
            <v>SRR17965048</v>
          </cell>
          <cell r="C1102">
            <v>48</v>
          </cell>
          <cell r="D1102">
            <v>48</v>
          </cell>
          <cell r="E1102" t="str">
            <v>Homo sapiens</v>
          </cell>
          <cell r="F1102" t="str">
            <v>Campylobacter jejuni</v>
          </cell>
          <cell r="G1102" t="str">
            <v>exact</v>
          </cell>
          <cell r="H1102" t="str">
            <v>CAMP0331(cmeB)_94</v>
          </cell>
          <cell r="I1102" t="str">
            <v>CAMP0331(cmeB)</v>
          </cell>
          <cell r="J1102">
            <v>94</v>
          </cell>
        </row>
        <row r="1103">
          <cell r="A1103" t="str">
            <v>SC1275</v>
          </cell>
          <cell r="B1103" t="str">
            <v>SRR17965049</v>
          </cell>
          <cell r="C1103">
            <v>53</v>
          </cell>
          <cell r="D1103">
            <v>21</v>
          </cell>
          <cell r="E1103" t="str">
            <v>Homo sapiens</v>
          </cell>
          <cell r="F1103" t="str">
            <v>Campylobacter jejuni</v>
          </cell>
          <cell r="G1103" t="str">
            <v>exact</v>
          </cell>
          <cell r="H1103" t="str">
            <v>CAMP0331(cmeB)_604</v>
          </cell>
          <cell r="I1103" t="str">
            <v>CAMP0331(cmeB)</v>
          </cell>
          <cell r="J1103">
            <v>604</v>
          </cell>
        </row>
        <row r="1104">
          <cell r="A1104" t="str">
            <v>SC1274</v>
          </cell>
          <cell r="B1104" t="str">
            <v>SRR17965050</v>
          </cell>
          <cell r="C1104">
            <v>583</v>
          </cell>
          <cell r="D1104">
            <v>45</v>
          </cell>
          <cell r="E1104" t="str">
            <v>Homo sapiens</v>
          </cell>
          <cell r="F1104" t="str">
            <v>Campylobacter jejuni</v>
          </cell>
          <cell r="G1104" t="str">
            <v>exact</v>
          </cell>
          <cell r="H1104" t="str">
            <v>CAMP0331(cmeB)_24</v>
          </cell>
          <cell r="I1104" t="str">
            <v>CAMP0331(cmeB)</v>
          </cell>
          <cell r="J1104">
            <v>24</v>
          </cell>
        </row>
        <row r="1105">
          <cell r="A1105" t="str">
            <v>SC1273</v>
          </cell>
          <cell r="B1105" t="str">
            <v>SRR17965051</v>
          </cell>
          <cell r="C1105">
            <v>583</v>
          </cell>
          <cell r="D1105">
            <v>45</v>
          </cell>
          <cell r="E1105" t="str">
            <v>Homo sapiens</v>
          </cell>
          <cell r="F1105" t="str">
            <v>Campylobacter jejuni</v>
          </cell>
          <cell r="G1105" t="str">
            <v>exact</v>
          </cell>
          <cell r="H1105" t="str">
            <v>CAMP0331(cmeB)_24</v>
          </cell>
          <cell r="I1105" t="str">
            <v>CAMP0331(cmeB)</v>
          </cell>
          <cell r="J1105">
            <v>24</v>
          </cell>
        </row>
        <row r="1106">
          <cell r="A1106" t="str">
            <v>SC1272</v>
          </cell>
          <cell r="B1106" t="str">
            <v>SRR17965052</v>
          </cell>
          <cell r="C1106">
            <v>5647</v>
          </cell>
          <cell r="D1106">
            <v>692</v>
          </cell>
          <cell r="E1106" t="str">
            <v>Homo sapiens</v>
          </cell>
          <cell r="F1106" t="str">
            <v>Campylobacter jejuni</v>
          </cell>
          <cell r="G1106" t="str">
            <v>exact</v>
          </cell>
          <cell r="H1106" t="str">
            <v>CAMP0331(cmeB)_3620</v>
          </cell>
          <cell r="I1106" t="str">
            <v>CAMP0331(cmeB)</v>
          </cell>
          <cell r="J1106">
            <v>3620</v>
          </cell>
        </row>
        <row r="1107">
          <cell r="A1107" t="str">
            <v>SC1271</v>
          </cell>
          <cell r="B1107" t="str">
            <v>SRR17965053</v>
          </cell>
          <cell r="C1107">
            <v>45</v>
          </cell>
          <cell r="D1107">
            <v>45</v>
          </cell>
          <cell r="E1107" t="str">
            <v>Homo sapiens</v>
          </cell>
          <cell r="F1107" t="str">
            <v>Campylobacter jejuni</v>
          </cell>
          <cell r="G1107" t="str">
            <v>exact</v>
          </cell>
          <cell r="H1107" t="str">
            <v>CAMP0331(cmeB)_5</v>
          </cell>
          <cell r="I1107" t="str">
            <v>CAMP0331(cmeB)</v>
          </cell>
          <cell r="J1107">
            <v>5</v>
          </cell>
        </row>
        <row r="1108">
          <cell r="A1108" t="str">
            <v>SC1269</v>
          </cell>
          <cell r="B1108" t="str">
            <v>SRR17965054</v>
          </cell>
          <cell r="C1108">
            <v>677</v>
          </cell>
          <cell r="D1108">
            <v>677</v>
          </cell>
          <cell r="E1108" t="str">
            <v>Homo sapiens</v>
          </cell>
          <cell r="F1108" t="str">
            <v>Campylobacter jejuni</v>
          </cell>
          <cell r="G1108" t="str">
            <v>exact</v>
          </cell>
          <cell r="H1108" t="str">
            <v>CAMP0331(cmeB)_39</v>
          </cell>
          <cell r="I1108" t="str">
            <v>CAMP0331(cmeB)</v>
          </cell>
          <cell r="J1108">
            <v>39</v>
          </cell>
        </row>
        <row r="1109">
          <cell r="A1109" t="str">
            <v>SC1268</v>
          </cell>
          <cell r="B1109" t="str">
            <v>SRR17965055</v>
          </cell>
          <cell r="C1109">
            <v>677</v>
          </cell>
          <cell r="D1109">
            <v>677</v>
          </cell>
          <cell r="E1109" t="str">
            <v>Homo sapiens</v>
          </cell>
          <cell r="F1109" t="str">
            <v>Campylobacter jejuni</v>
          </cell>
          <cell r="G1109" t="str">
            <v>exact</v>
          </cell>
          <cell r="H1109" t="str">
            <v>CAMP0331(cmeB)_39</v>
          </cell>
          <cell r="I1109" t="str">
            <v>CAMP0331(cmeB)</v>
          </cell>
          <cell r="J1109">
            <v>39</v>
          </cell>
        </row>
        <row r="1110">
          <cell r="A1110" t="str">
            <v>SC1267</v>
          </cell>
          <cell r="B1110" t="str">
            <v>SRR17965056</v>
          </cell>
          <cell r="C1110">
            <v>48</v>
          </cell>
          <cell r="D1110">
            <v>48</v>
          </cell>
          <cell r="E1110" t="str">
            <v>Homo sapiens</v>
          </cell>
          <cell r="F1110" t="str">
            <v>Campylobacter jejuni</v>
          </cell>
          <cell r="G1110" t="str">
            <v>exact</v>
          </cell>
          <cell r="H1110" t="str">
            <v>CAMP0331(cmeB)_94</v>
          </cell>
          <cell r="I1110" t="str">
            <v>CAMP0331(cmeB)</v>
          </cell>
          <cell r="J1110">
            <v>94</v>
          </cell>
        </row>
        <row r="1111">
          <cell r="A1111" t="str">
            <v>SC1266</v>
          </cell>
          <cell r="B1111" t="str">
            <v>SRR17965057</v>
          </cell>
          <cell r="C1111">
            <v>48</v>
          </cell>
          <cell r="D1111">
            <v>48</v>
          </cell>
          <cell r="E1111" t="str">
            <v>Homo sapiens</v>
          </cell>
          <cell r="F1111" t="str">
            <v>Campylobacter jejuni</v>
          </cell>
          <cell r="G1111" t="str">
            <v>exact</v>
          </cell>
          <cell r="H1111" t="str">
            <v>CAMP0331(cmeB)_94</v>
          </cell>
          <cell r="I1111" t="str">
            <v>CAMP0331(cmeB)</v>
          </cell>
          <cell r="J1111">
            <v>94</v>
          </cell>
        </row>
        <row r="1112">
          <cell r="A1112" t="str">
            <v>SC1264</v>
          </cell>
          <cell r="B1112" t="str">
            <v>SRR17965058</v>
          </cell>
          <cell r="C1112">
            <v>45</v>
          </cell>
          <cell r="D1112">
            <v>45</v>
          </cell>
          <cell r="E1112" t="str">
            <v>Homo sapiens</v>
          </cell>
          <cell r="F1112" t="str">
            <v>Campylobacter jejuni</v>
          </cell>
          <cell r="G1112" t="str">
            <v>exact</v>
          </cell>
          <cell r="H1112" t="str">
            <v>CAMP0331(cmeB)_5</v>
          </cell>
          <cell r="I1112" t="str">
            <v>CAMP0331(cmeB)</v>
          </cell>
          <cell r="J1112">
            <v>5</v>
          </cell>
        </row>
        <row r="1113">
          <cell r="A1113" t="str">
            <v>SC1104</v>
          </cell>
          <cell r="B1113" t="str">
            <v>SRR17965059</v>
          </cell>
          <cell r="C1113">
            <v>2535</v>
          </cell>
          <cell r="D1113">
            <v>0</v>
          </cell>
          <cell r="E1113" t="str">
            <v>Homo sapiens</v>
          </cell>
          <cell r="F1113" t="str">
            <v>Campylobacter jejuni</v>
          </cell>
          <cell r="G1113" t="str">
            <v>exact</v>
          </cell>
          <cell r="H1113" t="str">
            <v>CAMP0331(cmeB)_1667</v>
          </cell>
          <cell r="I1113" t="str">
            <v>CAMP0331(cmeB)</v>
          </cell>
          <cell r="J1113">
            <v>1667</v>
          </cell>
        </row>
        <row r="1114">
          <cell r="A1114" t="str">
            <v>SC1263</v>
          </cell>
          <cell r="B1114" t="str">
            <v>SRR17965060</v>
          </cell>
          <cell r="C1114">
            <v>45</v>
          </cell>
          <cell r="D1114">
            <v>45</v>
          </cell>
          <cell r="E1114" t="str">
            <v>Homo sapiens</v>
          </cell>
          <cell r="F1114" t="str">
            <v>Campylobacter jejuni</v>
          </cell>
          <cell r="G1114" t="str">
            <v>exact</v>
          </cell>
          <cell r="H1114" t="str">
            <v>CAMP0331(cmeB)_3634</v>
          </cell>
          <cell r="I1114" t="str">
            <v>CAMP0331(cmeB)</v>
          </cell>
          <cell r="J1114">
            <v>3634</v>
          </cell>
        </row>
        <row r="1115">
          <cell r="A1115" t="str">
            <v>SC1260</v>
          </cell>
          <cell r="B1115" t="str">
            <v>SRR17965061</v>
          </cell>
          <cell r="C1115">
            <v>474</v>
          </cell>
          <cell r="D1115">
            <v>48</v>
          </cell>
          <cell r="E1115" t="str">
            <v>Homo sapiens</v>
          </cell>
          <cell r="F1115" t="str">
            <v>Campylobacter jejuni</v>
          </cell>
          <cell r="G1115" t="str">
            <v>exact</v>
          </cell>
          <cell r="H1115" t="str">
            <v>CAMP0331(cmeB)_1</v>
          </cell>
          <cell r="I1115" t="str">
            <v>CAMP0331(cmeB)</v>
          </cell>
          <cell r="J1115">
            <v>1</v>
          </cell>
        </row>
        <row r="1116">
          <cell r="A1116" t="str">
            <v>SC1259</v>
          </cell>
          <cell r="B1116" t="str">
            <v>SRR17965062</v>
          </cell>
          <cell r="C1116">
            <v>48</v>
          </cell>
          <cell r="D1116">
            <v>48</v>
          </cell>
          <cell r="E1116" t="str">
            <v>Homo sapiens</v>
          </cell>
          <cell r="F1116" t="str">
            <v>Campylobacter jejuni</v>
          </cell>
          <cell r="G1116" t="str">
            <v>exact</v>
          </cell>
          <cell r="H1116" t="str">
            <v>CAMP0331(cmeB)_94</v>
          </cell>
          <cell r="I1116" t="str">
            <v>CAMP0331(cmeB)</v>
          </cell>
          <cell r="J1116">
            <v>94</v>
          </cell>
        </row>
        <row r="1117">
          <cell r="A1117" t="str">
            <v>SC1257</v>
          </cell>
          <cell r="B1117" t="str">
            <v>SRR17965063</v>
          </cell>
          <cell r="C1117">
            <v>4337</v>
          </cell>
          <cell r="D1117">
            <v>21</v>
          </cell>
          <cell r="E1117" t="str">
            <v>Homo sapiens</v>
          </cell>
          <cell r="F1117" t="str">
            <v>Campylobacter jejuni</v>
          </cell>
          <cell r="G1117" t="str">
            <v>exact</v>
          </cell>
          <cell r="H1117" t="str">
            <v>CAMP0331(cmeB)_604</v>
          </cell>
          <cell r="I1117" t="str">
            <v>CAMP0331(cmeB)</v>
          </cell>
          <cell r="J1117">
            <v>604</v>
          </cell>
        </row>
        <row r="1118">
          <cell r="A1118" t="str">
            <v>SC1256</v>
          </cell>
          <cell r="B1118" t="str">
            <v>SRR17965064</v>
          </cell>
          <cell r="C1118">
            <v>45</v>
          </cell>
          <cell r="D1118">
            <v>45</v>
          </cell>
          <cell r="E1118" t="str">
            <v>Homo sapiens</v>
          </cell>
          <cell r="F1118" t="str">
            <v>Campylobacter jejuni</v>
          </cell>
          <cell r="G1118" t="str">
            <v>exact</v>
          </cell>
          <cell r="H1118" t="str">
            <v>CAMP0331(cmeB)_5</v>
          </cell>
          <cell r="I1118" t="str">
            <v>CAMP0331(cmeB)</v>
          </cell>
          <cell r="J1118">
            <v>5</v>
          </cell>
        </row>
        <row r="1119">
          <cell r="A1119" t="str">
            <v>SC1255</v>
          </cell>
          <cell r="B1119" t="str">
            <v>SRR17965065</v>
          </cell>
          <cell r="C1119">
            <v>2345</v>
          </cell>
          <cell r="D1119">
            <v>206</v>
          </cell>
          <cell r="E1119" t="str">
            <v>Homo sapiens</v>
          </cell>
          <cell r="F1119" t="str">
            <v>Campylobacter jejuni</v>
          </cell>
          <cell r="G1119" t="str">
            <v>exact</v>
          </cell>
          <cell r="H1119" t="str">
            <v>CAMP0331(cmeB)_158</v>
          </cell>
          <cell r="I1119" t="str">
            <v>CAMP0331(cmeB)</v>
          </cell>
          <cell r="J1119">
            <v>158</v>
          </cell>
        </row>
        <row r="1120">
          <cell r="A1120" t="str">
            <v>SC1254</v>
          </cell>
          <cell r="B1120" t="str">
            <v>SRR17965066</v>
          </cell>
          <cell r="C1120">
            <v>51</v>
          </cell>
          <cell r="D1120">
            <v>443</v>
          </cell>
          <cell r="E1120" t="str">
            <v>Homo sapiens</v>
          </cell>
          <cell r="F1120" t="str">
            <v>Campylobacter jejuni</v>
          </cell>
          <cell r="G1120" t="str">
            <v>exact</v>
          </cell>
          <cell r="H1120" t="str">
            <v>CAMP0331(cmeB)_127</v>
          </cell>
          <cell r="I1120" t="str">
            <v>CAMP0331(cmeB)</v>
          </cell>
          <cell r="J1120">
            <v>127</v>
          </cell>
        </row>
        <row r="1121">
          <cell r="A1121" t="str">
            <v>SC1253</v>
          </cell>
          <cell r="B1121" t="str">
            <v>SRR17965067</v>
          </cell>
          <cell r="C1121">
            <v>45</v>
          </cell>
          <cell r="D1121">
            <v>45</v>
          </cell>
          <cell r="E1121" t="str">
            <v>Homo sapiens</v>
          </cell>
          <cell r="F1121" t="str">
            <v>Campylobacter jejuni</v>
          </cell>
          <cell r="G1121" t="str">
            <v>exact</v>
          </cell>
          <cell r="H1121" t="str">
            <v>CAMP0331(cmeB)_5</v>
          </cell>
          <cell r="I1121" t="str">
            <v>CAMP0331(cmeB)</v>
          </cell>
          <cell r="J1121">
            <v>5</v>
          </cell>
        </row>
        <row r="1122">
          <cell r="A1122" t="str">
            <v>SC1252</v>
          </cell>
          <cell r="B1122" t="str">
            <v>SRR17965068</v>
          </cell>
          <cell r="C1122">
            <v>583</v>
          </cell>
          <cell r="D1122">
            <v>45</v>
          </cell>
          <cell r="E1122" t="str">
            <v>Homo sapiens</v>
          </cell>
          <cell r="F1122" t="str">
            <v>Campylobacter jejuni</v>
          </cell>
          <cell r="G1122" t="str">
            <v>exact</v>
          </cell>
          <cell r="H1122" t="str">
            <v>CAMP0331(cmeB)_24</v>
          </cell>
          <cell r="I1122" t="str">
            <v>CAMP0331(cmeB)</v>
          </cell>
          <cell r="J1122">
            <v>24</v>
          </cell>
        </row>
        <row r="1123">
          <cell r="A1123" t="str">
            <v>SC1251</v>
          </cell>
          <cell r="B1123" t="str">
            <v>SRR17965069</v>
          </cell>
          <cell r="C1123">
            <v>4337</v>
          </cell>
          <cell r="D1123">
            <v>21</v>
          </cell>
          <cell r="E1123" t="str">
            <v>Homo sapiens</v>
          </cell>
          <cell r="F1123" t="str">
            <v>Campylobacter jejuni</v>
          </cell>
          <cell r="G1123" t="str">
            <v>exact</v>
          </cell>
          <cell r="H1123" t="str">
            <v>CAMP0331(cmeB)_604</v>
          </cell>
          <cell r="I1123" t="str">
            <v>CAMP0331(cmeB)</v>
          </cell>
          <cell r="J1123">
            <v>604</v>
          </cell>
        </row>
        <row r="1124">
          <cell r="A1124" t="str">
            <v>SC1103</v>
          </cell>
          <cell r="B1124" t="str">
            <v>SRR17965070</v>
          </cell>
          <cell r="C1124">
            <v>45</v>
          </cell>
          <cell r="D1124">
            <v>45</v>
          </cell>
          <cell r="E1124" t="str">
            <v>Homo sapiens</v>
          </cell>
          <cell r="F1124" t="str">
            <v>Campylobacter jejuni</v>
          </cell>
          <cell r="G1124" t="str">
            <v>exact</v>
          </cell>
          <cell r="H1124" t="str">
            <v>CAMP0331(cmeB)_5</v>
          </cell>
          <cell r="I1124" t="str">
            <v>CAMP0331(cmeB)</v>
          </cell>
          <cell r="J1124">
            <v>5</v>
          </cell>
        </row>
        <row r="1125">
          <cell r="A1125" t="str">
            <v>SC1250</v>
          </cell>
          <cell r="B1125" t="str">
            <v>SRR17965071</v>
          </cell>
          <cell r="C1125">
            <v>45</v>
          </cell>
          <cell r="D1125">
            <v>45</v>
          </cell>
          <cell r="E1125" t="str">
            <v>Homo sapiens</v>
          </cell>
          <cell r="F1125" t="str">
            <v>Campylobacter jejuni</v>
          </cell>
          <cell r="G1125" t="str">
            <v>exact</v>
          </cell>
          <cell r="H1125" t="str">
            <v>CAMP0331(cmeB)_5</v>
          </cell>
          <cell r="I1125" t="str">
            <v>CAMP0331(cmeB)</v>
          </cell>
          <cell r="J1125">
            <v>5</v>
          </cell>
        </row>
        <row r="1126">
          <cell r="A1126" t="str">
            <v>SC1249</v>
          </cell>
          <cell r="B1126" t="str">
            <v>SRR17965072</v>
          </cell>
          <cell r="C1126">
            <v>45</v>
          </cell>
          <cell r="D1126">
            <v>45</v>
          </cell>
          <cell r="E1126" t="str">
            <v>Homo sapiens</v>
          </cell>
          <cell r="F1126" t="str">
            <v>Campylobacter jejuni</v>
          </cell>
          <cell r="G1126" t="str">
            <v>exact</v>
          </cell>
          <cell r="H1126" t="str">
            <v>CAMP0331(cmeB)_5</v>
          </cell>
          <cell r="I1126" t="str">
            <v>CAMP0331(cmeB)</v>
          </cell>
          <cell r="J1126">
            <v>5</v>
          </cell>
        </row>
        <row r="1127">
          <cell r="A1127" t="str">
            <v>SC1248</v>
          </cell>
          <cell r="B1127" t="str">
            <v>SRR17965073</v>
          </cell>
          <cell r="C1127">
            <v>451</v>
          </cell>
          <cell r="D1127">
            <v>21</v>
          </cell>
          <cell r="E1127" t="str">
            <v>Homo sapiens</v>
          </cell>
          <cell r="F1127" t="str">
            <v>Campylobacter jejuni</v>
          </cell>
          <cell r="G1127" t="str">
            <v>exact</v>
          </cell>
          <cell r="H1127" t="str">
            <v>CAMP0331(cmeB)_604</v>
          </cell>
          <cell r="I1127" t="str">
            <v>CAMP0331(cmeB)</v>
          </cell>
          <cell r="J1127">
            <v>604</v>
          </cell>
        </row>
        <row r="1128">
          <cell r="A1128" t="str">
            <v>SC1247</v>
          </cell>
          <cell r="B1128" t="str">
            <v>SRR17965074</v>
          </cell>
          <cell r="C1128">
            <v>45</v>
          </cell>
          <cell r="D1128">
            <v>45</v>
          </cell>
          <cell r="E1128" t="str">
            <v>Homo sapiens</v>
          </cell>
          <cell r="F1128" t="str">
            <v>Campylobacter jejuni</v>
          </cell>
          <cell r="G1128" t="str">
            <v>exact</v>
          </cell>
          <cell r="H1128" t="str">
            <v>CAMP0331(cmeB)_3633</v>
          </cell>
          <cell r="I1128" t="str">
            <v>CAMP0331(cmeB)</v>
          </cell>
          <cell r="J1128">
            <v>3633</v>
          </cell>
        </row>
        <row r="1129">
          <cell r="A1129" t="str">
            <v>SC1245</v>
          </cell>
          <cell r="B1129" t="str">
            <v>SRR17965075</v>
          </cell>
          <cell r="C1129">
            <v>677</v>
          </cell>
          <cell r="D1129">
            <v>677</v>
          </cell>
          <cell r="E1129" t="str">
            <v>Homo sapiens</v>
          </cell>
          <cell r="F1129" t="str">
            <v>Campylobacter jejuni</v>
          </cell>
          <cell r="G1129" t="str">
            <v>exact</v>
          </cell>
          <cell r="H1129" t="str">
            <v>CAMP0331(cmeB)_39</v>
          </cell>
          <cell r="I1129" t="str">
            <v>CAMP0331(cmeB)</v>
          </cell>
          <cell r="J1129">
            <v>39</v>
          </cell>
        </row>
        <row r="1130">
          <cell r="A1130" t="str">
            <v>SC1244</v>
          </cell>
          <cell r="B1130" t="str">
            <v>SRR17965076</v>
          </cell>
          <cell r="C1130">
            <v>45</v>
          </cell>
          <cell r="D1130">
            <v>45</v>
          </cell>
          <cell r="E1130" t="str">
            <v>Homo sapiens</v>
          </cell>
          <cell r="F1130" t="str">
            <v>Campylobacter jejuni</v>
          </cell>
          <cell r="G1130" t="str">
            <v>exact</v>
          </cell>
          <cell r="H1130" t="str">
            <v>CAMP0331(cmeB)_3621</v>
          </cell>
          <cell r="I1130" t="str">
            <v>CAMP0331(cmeB)</v>
          </cell>
          <cell r="J1130">
            <v>3621</v>
          </cell>
        </row>
        <row r="1131">
          <cell r="A1131" t="str">
            <v>SC1243</v>
          </cell>
          <cell r="B1131" t="str">
            <v>SRR17965077</v>
          </cell>
          <cell r="C1131">
            <v>583</v>
          </cell>
          <cell r="D1131">
            <v>45</v>
          </cell>
          <cell r="E1131" t="str">
            <v>Homo sapiens</v>
          </cell>
          <cell r="F1131" t="str">
            <v>Campylobacter jejuni</v>
          </cell>
          <cell r="G1131" t="str">
            <v>exact</v>
          </cell>
          <cell r="H1131" t="str">
            <v>CAMP0331(cmeB)_24</v>
          </cell>
          <cell r="I1131" t="str">
            <v>CAMP0331(cmeB)</v>
          </cell>
          <cell r="J1131">
            <v>24</v>
          </cell>
        </row>
        <row r="1132">
          <cell r="A1132" t="str">
            <v>SC1242</v>
          </cell>
          <cell r="B1132" t="str">
            <v>SRR17965078</v>
          </cell>
          <cell r="C1132">
            <v>677</v>
          </cell>
          <cell r="D1132">
            <v>677</v>
          </cell>
          <cell r="E1132" t="str">
            <v>Homo sapiens</v>
          </cell>
          <cell r="F1132" t="str">
            <v>Campylobacter jejuni</v>
          </cell>
          <cell r="G1132" t="str">
            <v>exact</v>
          </cell>
          <cell r="H1132" t="str">
            <v>CAMP0331(cmeB)_39</v>
          </cell>
          <cell r="I1132" t="str">
            <v>CAMP0331(cmeB)</v>
          </cell>
          <cell r="J1132">
            <v>39</v>
          </cell>
        </row>
        <row r="1133">
          <cell r="A1133" t="str">
            <v>SC1241</v>
          </cell>
          <cell r="B1133" t="str">
            <v>SRR17965079</v>
          </cell>
          <cell r="C1133">
            <v>45</v>
          </cell>
          <cell r="D1133">
            <v>45</v>
          </cell>
          <cell r="E1133" t="str">
            <v>Homo sapiens</v>
          </cell>
          <cell r="F1133" t="str">
            <v>Campylobacter jejuni</v>
          </cell>
          <cell r="G1133" t="str">
            <v>exact</v>
          </cell>
          <cell r="H1133" t="str">
            <v>CAMP0331(cmeB)_5</v>
          </cell>
          <cell r="I1133" t="str">
            <v>CAMP0331(cmeB)</v>
          </cell>
          <cell r="J1133">
            <v>5</v>
          </cell>
        </row>
        <row r="1134">
          <cell r="A1134" t="str">
            <v>SC1240</v>
          </cell>
          <cell r="B1134" t="str">
            <v>SRR17965080</v>
          </cell>
          <cell r="C1134">
            <v>45</v>
          </cell>
          <cell r="D1134">
            <v>45</v>
          </cell>
          <cell r="E1134" t="str">
            <v>Gallus gallus</v>
          </cell>
          <cell r="F1134" t="str">
            <v>Campylobacter jejuni</v>
          </cell>
          <cell r="G1134" t="str">
            <v>exact</v>
          </cell>
          <cell r="H1134" t="str">
            <v>CAMP0331(cmeB)_260</v>
          </cell>
          <cell r="I1134" t="str">
            <v>CAMP0331(cmeB)</v>
          </cell>
          <cell r="J1134">
            <v>260</v>
          </cell>
        </row>
        <row r="1135">
          <cell r="A1135" t="str">
            <v>SC1102</v>
          </cell>
          <cell r="B1135" t="str">
            <v>SRR17965081</v>
          </cell>
          <cell r="C1135">
            <v>45</v>
          </cell>
          <cell r="D1135">
            <v>45</v>
          </cell>
          <cell r="E1135" t="str">
            <v>Gallus gallus</v>
          </cell>
          <cell r="F1135" t="str">
            <v>Campylobacter jejuni</v>
          </cell>
          <cell r="G1135" t="str">
            <v>exact</v>
          </cell>
          <cell r="H1135" t="str">
            <v>CAMP0331(cmeB)_5</v>
          </cell>
          <cell r="I1135" t="str">
            <v>CAMP0331(cmeB)</v>
          </cell>
          <cell r="J1135">
            <v>5</v>
          </cell>
        </row>
        <row r="1136">
          <cell r="A1136" t="str">
            <v>SC1239</v>
          </cell>
          <cell r="B1136" t="str">
            <v>SRR17965082</v>
          </cell>
          <cell r="C1136">
            <v>48</v>
          </cell>
          <cell r="D1136">
            <v>48</v>
          </cell>
          <cell r="E1136" t="str">
            <v>Gallus gallus</v>
          </cell>
          <cell r="F1136" t="str">
            <v>Campylobacter jejuni</v>
          </cell>
          <cell r="G1136" t="str">
            <v>exact</v>
          </cell>
          <cell r="H1136" t="str">
            <v>CAMP0331(cmeB)_94</v>
          </cell>
          <cell r="I1136" t="str">
            <v>CAMP0331(cmeB)</v>
          </cell>
          <cell r="J1136">
            <v>94</v>
          </cell>
        </row>
        <row r="1137">
          <cell r="A1137" t="str">
            <v>SC1238</v>
          </cell>
          <cell r="B1137" t="str">
            <v>SRR17965083</v>
          </cell>
          <cell r="C1137">
            <v>53</v>
          </cell>
          <cell r="D1137">
            <v>21</v>
          </cell>
          <cell r="E1137" t="str">
            <v>Gallus gallus</v>
          </cell>
          <cell r="F1137" t="str">
            <v>Campylobacter jejuni</v>
          </cell>
          <cell r="G1137" t="str">
            <v>exact</v>
          </cell>
          <cell r="H1137" t="str">
            <v>CAMP0331(cmeB)_604</v>
          </cell>
          <cell r="I1137" t="str">
            <v>CAMP0331(cmeB)</v>
          </cell>
          <cell r="J1137">
            <v>604</v>
          </cell>
        </row>
        <row r="1138">
          <cell r="A1138" t="str">
            <v>SC1237</v>
          </cell>
          <cell r="B1138" t="str">
            <v>SRR17965084</v>
          </cell>
          <cell r="C1138">
            <v>6964</v>
          </cell>
          <cell r="D1138">
            <v>354</v>
          </cell>
          <cell r="E1138" t="str">
            <v>Gallus gallus</v>
          </cell>
          <cell r="F1138" t="str">
            <v>Campylobacter jejuni</v>
          </cell>
          <cell r="G1138" t="str">
            <v>exact</v>
          </cell>
          <cell r="H1138" t="str">
            <v>CAMP0331(cmeB)_1451</v>
          </cell>
          <cell r="I1138" t="str">
            <v>CAMP0331(cmeB)</v>
          </cell>
          <cell r="J1138">
            <v>1451</v>
          </cell>
        </row>
        <row r="1139">
          <cell r="A1139" t="str">
            <v>SC1236</v>
          </cell>
          <cell r="B1139" t="str">
            <v>SRR17965085</v>
          </cell>
          <cell r="C1139">
            <v>190</v>
          </cell>
          <cell r="D1139">
            <v>21</v>
          </cell>
          <cell r="E1139" t="str">
            <v>Gallus gallus</v>
          </cell>
          <cell r="F1139" t="str">
            <v>Campylobacter jejuni</v>
          </cell>
          <cell r="G1139" t="str">
            <v>exact</v>
          </cell>
          <cell r="H1139" t="str">
            <v>CAMP0331(cmeB)_604</v>
          </cell>
          <cell r="I1139" t="str">
            <v>CAMP0331(cmeB)</v>
          </cell>
          <cell r="J1139">
            <v>604</v>
          </cell>
        </row>
        <row r="1140">
          <cell r="A1140" t="str">
            <v>SC1235</v>
          </cell>
          <cell r="B1140" t="str">
            <v>SRR17965086</v>
          </cell>
          <cell r="C1140">
            <v>45</v>
          </cell>
          <cell r="D1140">
            <v>45</v>
          </cell>
          <cell r="E1140" t="str">
            <v>Homo sapiens</v>
          </cell>
          <cell r="F1140" t="str">
            <v>Campylobacter jejuni</v>
          </cell>
          <cell r="G1140" t="str">
            <v>exact</v>
          </cell>
          <cell r="H1140" t="str">
            <v>CAMP0331(cmeB)_3634</v>
          </cell>
          <cell r="I1140" t="str">
            <v>CAMP0331(cmeB)</v>
          </cell>
          <cell r="J1140">
            <v>3634</v>
          </cell>
        </row>
        <row r="1141">
          <cell r="A1141" t="str">
            <v>SC1234</v>
          </cell>
          <cell r="B1141" t="str">
            <v>SRR17965087</v>
          </cell>
          <cell r="C1141">
            <v>45</v>
          </cell>
          <cell r="D1141">
            <v>45</v>
          </cell>
          <cell r="E1141" t="str">
            <v>Homo sapiens</v>
          </cell>
          <cell r="F1141" t="str">
            <v>Campylobacter jejuni</v>
          </cell>
          <cell r="G1141" t="str">
            <v>exact</v>
          </cell>
          <cell r="H1141" t="str">
            <v>CAMP0331(cmeB)_5</v>
          </cell>
          <cell r="I1141" t="str">
            <v>CAMP0331(cmeB)</v>
          </cell>
          <cell r="J1141">
            <v>5</v>
          </cell>
        </row>
        <row r="1142">
          <cell r="A1142" t="str">
            <v>SC1233</v>
          </cell>
          <cell r="B1142" t="str">
            <v>SRR17965088</v>
          </cell>
          <cell r="C1142">
            <v>45</v>
          </cell>
          <cell r="D1142">
            <v>45</v>
          </cell>
          <cell r="E1142" t="str">
            <v>Homo sapiens</v>
          </cell>
          <cell r="F1142" t="str">
            <v>Campylobacter jejuni</v>
          </cell>
          <cell r="G1142" t="str">
            <v>exact</v>
          </cell>
          <cell r="H1142" t="str">
            <v>CAMP0331(cmeB)_5</v>
          </cell>
          <cell r="I1142" t="str">
            <v>CAMP0331(cmeB)</v>
          </cell>
          <cell r="J1142">
            <v>5</v>
          </cell>
        </row>
        <row r="1143">
          <cell r="A1143" t="str">
            <v>SC1231</v>
          </cell>
          <cell r="B1143" t="str">
            <v>SRR17965089</v>
          </cell>
          <cell r="C1143">
            <v>583</v>
          </cell>
          <cell r="D1143">
            <v>45</v>
          </cell>
          <cell r="E1143" t="str">
            <v>Homo sapiens</v>
          </cell>
          <cell r="F1143" t="str">
            <v>Campylobacter jejuni</v>
          </cell>
          <cell r="G1143" t="str">
            <v>exact</v>
          </cell>
          <cell r="H1143" t="str">
            <v>CAMP0331(cmeB)_24</v>
          </cell>
          <cell r="I1143" t="str">
            <v>CAMP0331(cmeB)</v>
          </cell>
          <cell r="J1143">
            <v>24</v>
          </cell>
        </row>
        <row r="1144">
          <cell r="A1144" t="str">
            <v>SC1230</v>
          </cell>
          <cell r="B1144" t="str">
            <v>SRR17965090</v>
          </cell>
          <cell r="C1144">
            <v>583</v>
          </cell>
          <cell r="D1144">
            <v>45</v>
          </cell>
          <cell r="E1144" t="str">
            <v>Homo sapiens</v>
          </cell>
          <cell r="F1144" t="str">
            <v>Campylobacter jejuni</v>
          </cell>
          <cell r="G1144" t="str">
            <v>exact</v>
          </cell>
          <cell r="H1144" t="str">
            <v>CAMP0331(cmeB)_24</v>
          </cell>
          <cell r="I1144" t="str">
            <v>CAMP0331(cmeB)</v>
          </cell>
          <cell r="J1144">
            <v>24</v>
          </cell>
        </row>
        <row r="1145">
          <cell r="A1145" t="str">
            <v>SC1228</v>
          </cell>
          <cell r="B1145" t="str">
            <v>SRR17965091</v>
          </cell>
          <cell r="C1145">
            <v>436</v>
          </cell>
          <cell r="D1145">
            <v>0</v>
          </cell>
          <cell r="E1145" t="str">
            <v>Homo sapiens</v>
          </cell>
          <cell r="F1145" t="str">
            <v>Campylobacter jejuni</v>
          </cell>
          <cell r="G1145" t="str">
            <v>exact</v>
          </cell>
          <cell r="H1145" t="str">
            <v>CAMP0331(cmeB)_252</v>
          </cell>
          <cell r="I1145" t="str">
            <v>CAMP0331(cmeB)</v>
          </cell>
          <cell r="J1145">
            <v>252</v>
          </cell>
        </row>
        <row r="1146">
          <cell r="A1146" t="str">
            <v>SC1101</v>
          </cell>
          <cell r="B1146" t="str">
            <v>SRR17965092</v>
          </cell>
          <cell r="C1146">
            <v>48</v>
          </cell>
          <cell r="D1146">
            <v>48</v>
          </cell>
          <cell r="E1146" t="str">
            <v>Gallus gallus</v>
          </cell>
          <cell r="F1146" t="str">
            <v>Campylobacter jejuni</v>
          </cell>
          <cell r="G1146" t="str">
            <v>exact</v>
          </cell>
          <cell r="H1146" t="str">
            <v>CAMP0331(cmeB)_94</v>
          </cell>
          <cell r="I1146" t="str">
            <v>CAMP0331(cmeB)</v>
          </cell>
          <cell r="J1146">
            <v>94</v>
          </cell>
        </row>
        <row r="1147">
          <cell r="A1147" t="str">
            <v>SC1091</v>
          </cell>
          <cell r="B1147" t="str">
            <v>SRR17965093</v>
          </cell>
          <cell r="C1147">
            <v>45</v>
          </cell>
          <cell r="D1147">
            <v>45</v>
          </cell>
          <cell r="E1147" t="str">
            <v>Homo sapiens</v>
          </cell>
          <cell r="F1147" t="str">
            <v>Campylobacter jejuni</v>
          </cell>
          <cell r="G1147" t="str">
            <v>exact</v>
          </cell>
          <cell r="H1147" t="str">
            <v>CAMP0331(cmeB)_5</v>
          </cell>
          <cell r="I1147" t="str">
            <v>CAMP0331(cmeB)</v>
          </cell>
          <cell r="J1147">
            <v>5</v>
          </cell>
        </row>
        <row r="1148">
          <cell r="A1148" t="str">
            <v>SC1090</v>
          </cell>
          <cell r="B1148" t="str">
            <v>SRR17965094</v>
          </cell>
          <cell r="C1148">
            <v>45</v>
          </cell>
          <cell r="D1148">
            <v>45</v>
          </cell>
          <cell r="E1148" t="str">
            <v>Homo sapiens</v>
          </cell>
          <cell r="F1148" t="str">
            <v>Campylobacter jejuni</v>
          </cell>
          <cell r="G1148" t="str">
            <v>exact</v>
          </cell>
          <cell r="H1148" t="str">
            <v>CAMP0331(cmeB)_5</v>
          </cell>
          <cell r="I1148" t="str">
            <v>CAMP0331(cmeB)</v>
          </cell>
          <cell r="J1148">
            <v>5</v>
          </cell>
        </row>
        <row r="1149">
          <cell r="A1149" t="str">
            <v>SC1710</v>
          </cell>
          <cell r="B1149" t="str">
            <v>SRR17974127</v>
          </cell>
          <cell r="C1149">
            <v>6964</v>
          </cell>
          <cell r="D1149">
            <v>354</v>
          </cell>
          <cell r="E1149" t="str">
            <v>Gallus gallus</v>
          </cell>
          <cell r="F1149" t="str">
            <v>Campylobacter jejuni</v>
          </cell>
          <cell r="G1149" t="str">
            <v>exact</v>
          </cell>
          <cell r="H1149" t="str">
            <v>CAMP0331(cmeB)_1451</v>
          </cell>
          <cell r="I1149" t="str">
            <v>CAMP0331(cmeB)</v>
          </cell>
          <cell r="J1149">
            <v>1451</v>
          </cell>
        </row>
        <row r="1150">
          <cell r="A1150" t="str">
            <v>SC1709</v>
          </cell>
          <cell r="B1150" t="str">
            <v>SRR17974128</v>
          </cell>
          <cell r="C1150">
            <v>45</v>
          </cell>
          <cell r="D1150">
            <v>45</v>
          </cell>
          <cell r="E1150" t="str">
            <v>Gallus gallus</v>
          </cell>
          <cell r="F1150" t="str">
            <v>Campylobacter jejuni</v>
          </cell>
          <cell r="G1150" t="str">
            <v>exact</v>
          </cell>
          <cell r="H1150" t="str">
            <v>CAMP0331(cmeB)_3633</v>
          </cell>
          <cell r="I1150" t="str">
            <v>CAMP0331(cmeB)</v>
          </cell>
          <cell r="J1150">
            <v>3633</v>
          </cell>
        </row>
        <row r="1151">
          <cell r="A1151" t="str">
            <v>SC1442</v>
          </cell>
          <cell r="B1151" t="str">
            <v>SRR17974130</v>
          </cell>
          <cell r="C1151">
            <v>825</v>
          </cell>
          <cell r="D1151">
            <v>828</v>
          </cell>
          <cell r="E1151" t="str">
            <v>Ovis aries</v>
          </cell>
          <cell r="F1151" t="str">
            <v>Campylobacter coli</v>
          </cell>
          <cell r="G1151" t="str">
            <v>exact</v>
          </cell>
          <cell r="H1151" t="str">
            <v>CAMP0331(cmeB)_253</v>
          </cell>
          <cell r="I1151" t="str">
            <v>CAMP0331(cmeB)</v>
          </cell>
          <cell r="J1151">
            <v>253</v>
          </cell>
        </row>
        <row r="1152">
          <cell r="A1152" t="str">
            <v>SC1704</v>
          </cell>
          <cell r="B1152" t="str">
            <v>SRR17974134</v>
          </cell>
          <cell r="C1152">
            <v>45</v>
          </cell>
          <cell r="D1152">
            <v>45</v>
          </cell>
          <cell r="E1152" t="str">
            <v>Gallus gallus</v>
          </cell>
          <cell r="F1152" t="str">
            <v>Campylobacter jejuni</v>
          </cell>
          <cell r="G1152" t="str">
            <v>exact</v>
          </cell>
          <cell r="H1152" t="str">
            <v>CAMP0331(cmeB)_27</v>
          </cell>
          <cell r="I1152" t="str">
            <v>CAMP0331(cmeB)</v>
          </cell>
          <cell r="J1152">
            <v>27</v>
          </cell>
        </row>
        <row r="1153">
          <cell r="A1153" t="str">
            <v>SC1702</v>
          </cell>
          <cell r="B1153" t="str">
            <v>SRR17974136</v>
          </cell>
          <cell r="C1153">
            <v>2345</v>
          </cell>
          <cell r="D1153">
            <v>206</v>
          </cell>
          <cell r="E1153" t="str">
            <v>Gallus gallus</v>
          </cell>
          <cell r="F1153" t="str">
            <v>Campylobacter jejuni</v>
          </cell>
          <cell r="G1153" t="str">
            <v>exact</v>
          </cell>
          <cell r="H1153" t="str">
            <v>CAMP0331(cmeB)_158</v>
          </cell>
          <cell r="I1153" t="str">
            <v>CAMP0331(cmeB)</v>
          </cell>
          <cell r="J1153">
            <v>158</v>
          </cell>
        </row>
        <row r="1154">
          <cell r="A1154" t="str">
            <v>SC1701</v>
          </cell>
          <cell r="B1154" t="str">
            <v>SRR17974137</v>
          </cell>
          <cell r="C1154">
            <v>422</v>
          </cell>
          <cell r="D1154">
            <v>21</v>
          </cell>
          <cell r="E1154" t="str">
            <v>Gallus gallus</v>
          </cell>
          <cell r="F1154" t="str">
            <v>Campylobacter jejuni</v>
          </cell>
          <cell r="G1154" t="str">
            <v>exact</v>
          </cell>
          <cell r="H1154" t="str">
            <v>CAMP0331(cmeB)_604</v>
          </cell>
          <cell r="I1154" t="str">
            <v>CAMP0331(cmeB)</v>
          </cell>
          <cell r="J1154">
            <v>604</v>
          </cell>
        </row>
        <row r="1155">
          <cell r="A1155" t="str">
            <v>SC1700</v>
          </cell>
          <cell r="B1155" t="str">
            <v>SRR17974138</v>
          </cell>
          <cell r="C1155">
            <v>422</v>
          </cell>
          <cell r="D1155">
            <v>21</v>
          </cell>
          <cell r="E1155" t="str">
            <v>Gallus gallus</v>
          </cell>
          <cell r="F1155" t="str">
            <v>Campylobacter jejuni</v>
          </cell>
          <cell r="G1155" t="str">
            <v>exact</v>
          </cell>
          <cell r="H1155" t="str">
            <v>CAMP0331(cmeB)_604</v>
          </cell>
          <cell r="I1155" t="str">
            <v>CAMP0331(cmeB)</v>
          </cell>
          <cell r="J1155">
            <v>604</v>
          </cell>
        </row>
        <row r="1156">
          <cell r="A1156" t="str">
            <v>SC1699</v>
          </cell>
          <cell r="B1156" t="str">
            <v>SRR17974139</v>
          </cell>
          <cell r="C1156">
            <v>6964</v>
          </cell>
          <cell r="D1156">
            <v>354</v>
          </cell>
          <cell r="E1156" t="str">
            <v>Gallus gallus</v>
          </cell>
          <cell r="F1156" t="str">
            <v>Campylobacter jejuni</v>
          </cell>
          <cell r="G1156" t="str">
            <v>exact</v>
          </cell>
          <cell r="H1156" t="str">
            <v>CAMP0331(cmeB)_1451</v>
          </cell>
          <cell r="I1156" t="str">
            <v>CAMP0331(cmeB)</v>
          </cell>
          <cell r="J1156">
            <v>1451</v>
          </cell>
        </row>
        <row r="1157">
          <cell r="A1157" t="str">
            <v>SC1698</v>
          </cell>
          <cell r="B1157" t="str">
            <v>SRR17974140</v>
          </cell>
          <cell r="C1157">
            <v>227</v>
          </cell>
          <cell r="D1157">
            <v>206</v>
          </cell>
          <cell r="E1157" t="str">
            <v>Gallus gallus</v>
          </cell>
          <cell r="F1157" t="str">
            <v>Campylobacter jejuni</v>
          </cell>
          <cell r="G1157" t="str">
            <v>exact</v>
          </cell>
          <cell r="H1157" t="str">
            <v>CAMP0331(cmeB)_1</v>
          </cell>
          <cell r="I1157" t="str">
            <v>CAMP0331(cmeB)</v>
          </cell>
          <cell r="J1157">
            <v>1</v>
          </cell>
        </row>
        <row r="1158">
          <cell r="A1158" t="str">
            <v>SC1441</v>
          </cell>
          <cell r="B1158" t="str">
            <v>SRR17974141</v>
          </cell>
          <cell r="C1158">
            <v>825</v>
          </cell>
          <cell r="D1158">
            <v>828</v>
          </cell>
          <cell r="E1158" t="str">
            <v>Ovis aries</v>
          </cell>
          <cell r="F1158" t="str">
            <v>Campylobacter coli</v>
          </cell>
          <cell r="G1158" t="str">
            <v>exact</v>
          </cell>
          <cell r="H1158" t="str">
            <v>CAMP0331(cmeB)_253</v>
          </cell>
          <cell r="I1158" t="str">
            <v>CAMP0331(cmeB)</v>
          </cell>
          <cell r="J1158">
            <v>253</v>
          </cell>
        </row>
        <row r="1159">
          <cell r="A1159" t="str">
            <v>SC1417</v>
          </cell>
          <cell r="B1159" t="str">
            <v>SRR17974142</v>
          </cell>
          <cell r="C1159">
            <v>3222</v>
          </cell>
          <cell r="D1159">
            <v>0</v>
          </cell>
          <cell r="E1159" t="str">
            <v>Bos taurus taurus</v>
          </cell>
          <cell r="F1159" t="str">
            <v>Campylobacter coli</v>
          </cell>
          <cell r="G1159" t="str">
            <v>exact</v>
          </cell>
          <cell r="H1159" t="str">
            <v>CAMP0331(cmeB)_1205</v>
          </cell>
          <cell r="I1159" t="str">
            <v>CAMP0331(cmeB)</v>
          </cell>
          <cell r="J1159">
            <v>1205</v>
          </cell>
        </row>
        <row r="1160">
          <cell r="A1160" t="str">
            <v>SC1696</v>
          </cell>
          <cell r="B1160" t="str">
            <v>SRR17974144</v>
          </cell>
          <cell r="C1160">
            <v>2345</v>
          </cell>
          <cell r="D1160">
            <v>206</v>
          </cell>
          <cell r="E1160" t="str">
            <v>Gallus gallus</v>
          </cell>
          <cell r="F1160" t="str">
            <v>Campylobacter jejuni</v>
          </cell>
          <cell r="G1160" t="str">
            <v>exact</v>
          </cell>
          <cell r="H1160" t="str">
            <v>CAMP0331(cmeB)_158</v>
          </cell>
          <cell r="I1160" t="str">
            <v>CAMP0331(cmeB)</v>
          </cell>
          <cell r="J1160">
            <v>158</v>
          </cell>
        </row>
        <row r="1161">
          <cell r="A1161" t="str">
            <v>SC1695</v>
          </cell>
          <cell r="B1161" t="str">
            <v>SRR17974145</v>
          </cell>
          <cell r="C1161">
            <v>45</v>
          </cell>
          <cell r="D1161">
            <v>45</v>
          </cell>
          <cell r="E1161" t="str">
            <v>Gallus gallus</v>
          </cell>
          <cell r="F1161" t="str">
            <v>Campylobacter jejuni</v>
          </cell>
          <cell r="G1161" t="str">
            <v>exact</v>
          </cell>
          <cell r="H1161" t="str">
            <v>CAMP0331(cmeB)_5</v>
          </cell>
          <cell r="I1161" t="str">
            <v>CAMP0331(cmeB)</v>
          </cell>
          <cell r="J1161">
            <v>5</v>
          </cell>
        </row>
        <row r="1162">
          <cell r="A1162" t="str">
            <v>SC1693</v>
          </cell>
          <cell r="B1162" t="str">
            <v>SRR17974147</v>
          </cell>
          <cell r="C1162">
            <v>45</v>
          </cell>
          <cell r="D1162">
            <v>45</v>
          </cell>
          <cell r="E1162" t="str">
            <v>Gallus gallus</v>
          </cell>
          <cell r="F1162" t="str">
            <v>Campylobacter jejuni</v>
          </cell>
          <cell r="G1162" t="str">
            <v>exact</v>
          </cell>
          <cell r="H1162" t="str">
            <v>CAMP0331(cmeB)_3633</v>
          </cell>
          <cell r="I1162" t="str">
            <v>CAMP0331(cmeB)</v>
          </cell>
          <cell r="J1162">
            <v>3633</v>
          </cell>
        </row>
        <row r="1163">
          <cell r="A1163" t="str">
            <v>SC1692</v>
          </cell>
          <cell r="B1163" t="str">
            <v>SRR17974148</v>
          </cell>
          <cell r="C1163">
            <v>45</v>
          </cell>
          <cell r="D1163">
            <v>45</v>
          </cell>
          <cell r="E1163" t="str">
            <v>Gallus gallus</v>
          </cell>
          <cell r="F1163" t="str">
            <v>Campylobacter jejuni</v>
          </cell>
          <cell r="G1163" t="str">
            <v>exact</v>
          </cell>
          <cell r="H1163" t="str">
            <v>CAMP0331(cmeB)_5</v>
          </cell>
          <cell r="I1163" t="str">
            <v>CAMP0331(cmeB)</v>
          </cell>
          <cell r="J1163">
            <v>5</v>
          </cell>
        </row>
        <row r="1164">
          <cell r="A1164" t="str">
            <v>SC1691</v>
          </cell>
          <cell r="B1164" t="str">
            <v>SRR17974149</v>
          </cell>
          <cell r="C1164">
            <v>2345</v>
          </cell>
          <cell r="D1164">
            <v>206</v>
          </cell>
          <cell r="E1164" t="str">
            <v>Gallus gallus</v>
          </cell>
          <cell r="F1164" t="str">
            <v>Campylobacter jejuni</v>
          </cell>
          <cell r="G1164" t="str">
            <v>exact</v>
          </cell>
          <cell r="H1164" t="str">
            <v>CAMP0331(cmeB)_158</v>
          </cell>
          <cell r="I1164" t="str">
            <v>CAMP0331(cmeB)</v>
          </cell>
          <cell r="J1164">
            <v>158</v>
          </cell>
        </row>
        <row r="1165">
          <cell r="A1165" t="str">
            <v>SC1690</v>
          </cell>
          <cell r="B1165" t="str">
            <v>SRR17974150</v>
          </cell>
          <cell r="C1165">
            <v>48</v>
          </cell>
          <cell r="D1165">
            <v>48</v>
          </cell>
          <cell r="E1165" t="str">
            <v>Gallus gallus</v>
          </cell>
          <cell r="F1165" t="str">
            <v>Campylobacter jejuni</v>
          </cell>
          <cell r="G1165" t="str">
            <v>exact</v>
          </cell>
          <cell r="H1165" t="str">
            <v>CAMP0331(cmeB)_94</v>
          </cell>
          <cell r="I1165" t="str">
            <v>CAMP0331(cmeB)</v>
          </cell>
          <cell r="J1165">
            <v>94</v>
          </cell>
        </row>
        <row r="1166">
          <cell r="A1166" t="str">
            <v>SC1688</v>
          </cell>
          <cell r="B1166" t="str">
            <v>SRR17974152</v>
          </cell>
          <cell r="C1166">
            <v>42</v>
          </cell>
          <cell r="D1166">
            <v>42</v>
          </cell>
          <cell r="E1166" t="str">
            <v>Bos taurus taurus</v>
          </cell>
          <cell r="F1166" t="str">
            <v>Campylobacter jejuni</v>
          </cell>
          <cell r="G1166" t="str">
            <v>exact</v>
          </cell>
          <cell r="H1166" t="str">
            <v>CAMP0331(cmeB)_22</v>
          </cell>
          <cell r="I1166" t="str">
            <v>CAMP0331(cmeB)</v>
          </cell>
          <cell r="J1166">
            <v>22</v>
          </cell>
        </row>
        <row r="1167">
          <cell r="A1167" t="str">
            <v>SC1440</v>
          </cell>
          <cell r="B1167" t="str">
            <v>SRR17974153</v>
          </cell>
          <cell r="C1167">
            <v>3072</v>
          </cell>
          <cell r="D1167">
            <v>828</v>
          </cell>
          <cell r="E1167" t="str">
            <v>Ovis aries</v>
          </cell>
          <cell r="F1167" t="str">
            <v>Campylobacter coli</v>
          </cell>
          <cell r="G1167" t="str">
            <v>exact</v>
          </cell>
          <cell r="H1167" t="str">
            <v>CAMP0331(cmeB)_1205</v>
          </cell>
          <cell r="I1167" t="str">
            <v>CAMP0331(cmeB)</v>
          </cell>
          <cell r="J1167">
            <v>1205</v>
          </cell>
        </row>
        <row r="1168">
          <cell r="A1168" t="str">
            <v>SC1687</v>
          </cell>
          <cell r="B1168" t="str">
            <v>SRR17974154</v>
          </cell>
          <cell r="C1168">
            <v>3538</v>
          </cell>
          <cell r="D1168">
            <v>0</v>
          </cell>
          <cell r="E1168" t="str">
            <v>Bos taurus taurus</v>
          </cell>
          <cell r="F1168" t="str">
            <v>Campylobacter jejuni</v>
          </cell>
          <cell r="G1168" t="str">
            <v>exact</v>
          </cell>
          <cell r="H1168" t="str">
            <v>CAMP0331(cmeB)_14</v>
          </cell>
          <cell r="I1168" t="str">
            <v>CAMP0331(cmeB)</v>
          </cell>
          <cell r="J1168">
            <v>14</v>
          </cell>
        </row>
        <row r="1169">
          <cell r="A1169" t="str">
            <v>SC1684</v>
          </cell>
          <cell r="B1169" t="str">
            <v>SRR17974155</v>
          </cell>
          <cell r="C1169">
            <v>45</v>
          </cell>
          <cell r="D1169">
            <v>45</v>
          </cell>
          <cell r="E1169" t="str">
            <v>Homo sapiens</v>
          </cell>
          <cell r="F1169" t="str">
            <v>Campylobacter jejuni</v>
          </cell>
          <cell r="G1169" t="str">
            <v>exact</v>
          </cell>
          <cell r="H1169" t="str">
            <v>CAMP0331(cmeB)_3616</v>
          </cell>
          <cell r="I1169" t="str">
            <v>CAMP0331(cmeB)</v>
          </cell>
          <cell r="J1169">
            <v>3616</v>
          </cell>
        </row>
        <row r="1170">
          <cell r="A1170" t="str">
            <v>SC1683</v>
          </cell>
          <cell r="B1170" t="str">
            <v>SRR17974156</v>
          </cell>
          <cell r="C1170">
            <v>4337</v>
          </cell>
          <cell r="D1170">
            <v>21</v>
          </cell>
          <cell r="E1170" t="str">
            <v>Homo sapiens</v>
          </cell>
          <cell r="F1170" t="str">
            <v>Campylobacter jejuni</v>
          </cell>
          <cell r="G1170" t="str">
            <v>exact</v>
          </cell>
          <cell r="H1170" t="str">
            <v>CAMP0331(cmeB)_604</v>
          </cell>
          <cell r="I1170" t="str">
            <v>CAMP0331(cmeB)</v>
          </cell>
          <cell r="J1170">
            <v>604</v>
          </cell>
        </row>
        <row r="1171">
          <cell r="A1171" t="str">
            <v>SC1681</v>
          </cell>
          <cell r="B1171" t="str">
            <v>SRR17974157</v>
          </cell>
          <cell r="C1171">
            <v>2345</v>
          </cell>
          <cell r="D1171">
            <v>206</v>
          </cell>
          <cell r="E1171" t="str">
            <v>Homo sapiens</v>
          </cell>
          <cell r="F1171" t="str">
            <v>Campylobacter jejuni</v>
          </cell>
          <cell r="G1171" t="str">
            <v>exact</v>
          </cell>
          <cell r="H1171" t="str">
            <v>CAMP0331(cmeB)_158</v>
          </cell>
          <cell r="I1171" t="str">
            <v>CAMP0331(cmeB)</v>
          </cell>
          <cell r="J1171">
            <v>158</v>
          </cell>
        </row>
        <row r="1172">
          <cell r="A1172" t="str">
            <v>SC1679</v>
          </cell>
          <cell r="B1172" t="str">
            <v>SRR17974158</v>
          </cell>
          <cell r="C1172">
            <v>658</v>
          </cell>
          <cell r="D1172">
            <v>658</v>
          </cell>
          <cell r="E1172" t="str">
            <v>Homo sapiens</v>
          </cell>
          <cell r="F1172" t="str">
            <v>Campylobacter jejuni</v>
          </cell>
          <cell r="G1172" t="str">
            <v>exact</v>
          </cell>
          <cell r="H1172" t="str">
            <v>CAMP0331(cmeB)_26</v>
          </cell>
          <cell r="I1172" t="str">
            <v>CAMP0331(cmeB)</v>
          </cell>
          <cell r="J1172">
            <v>26</v>
          </cell>
        </row>
        <row r="1173">
          <cell r="A1173" t="str">
            <v>SC1540</v>
          </cell>
          <cell r="B1173" t="str">
            <v>SRR17974159</v>
          </cell>
          <cell r="C1173">
            <v>53</v>
          </cell>
          <cell r="D1173">
            <v>21</v>
          </cell>
          <cell r="E1173" t="str">
            <v>Homo sapiens</v>
          </cell>
          <cell r="F1173" t="str">
            <v>Campylobacter jejuni</v>
          </cell>
          <cell r="G1173" t="str">
            <v>exact</v>
          </cell>
          <cell r="H1173" t="str">
            <v>CAMP0331(cmeB)_604</v>
          </cell>
          <cell r="I1173" t="str">
            <v>CAMP0331(cmeB)</v>
          </cell>
          <cell r="J1173">
            <v>604</v>
          </cell>
        </row>
        <row r="1174">
          <cell r="A1174" t="str">
            <v>SC1538</v>
          </cell>
          <cell r="B1174" t="str">
            <v>SRR17974160</v>
          </cell>
          <cell r="C1174">
            <v>2345</v>
          </cell>
          <cell r="D1174">
            <v>206</v>
          </cell>
          <cell r="E1174" t="str">
            <v>Homo sapiens</v>
          </cell>
          <cell r="F1174" t="str">
            <v>Campylobacter jejuni</v>
          </cell>
          <cell r="G1174" t="str">
            <v>exact</v>
          </cell>
          <cell r="H1174" t="str">
            <v>CAMP0331(cmeB)_158</v>
          </cell>
          <cell r="I1174" t="str">
            <v>CAMP0331(cmeB)</v>
          </cell>
          <cell r="J1174">
            <v>158</v>
          </cell>
        </row>
        <row r="1175">
          <cell r="A1175" t="str">
            <v>SC1426</v>
          </cell>
          <cell r="B1175" t="str">
            <v>SRR17974161</v>
          </cell>
          <cell r="C1175">
            <v>583</v>
          </cell>
          <cell r="D1175">
            <v>45</v>
          </cell>
          <cell r="E1175" t="str">
            <v>Homo sapiens</v>
          </cell>
          <cell r="F1175" t="str">
            <v>Campylobacter jejuni</v>
          </cell>
          <cell r="G1175" t="str">
            <v>exact</v>
          </cell>
          <cell r="H1175" t="str">
            <v>CAMP0331(cmeB)_24</v>
          </cell>
          <cell r="I1175" t="str">
            <v>CAMP0331(cmeB)</v>
          </cell>
          <cell r="J1175">
            <v>24</v>
          </cell>
        </row>
        <row r="1176">
          <cell r="A1176" t="str">
            <v>SC1535</v>
          </cell>
          <cell r="B1176" t="str">
            <v>SRR17974162</v>
          </cell>
          <cell r="C1176">
            <v>45</v>
          </cell>
          <cell r="D1176">
            <v>45</v>
          </cell>
          <cell r="E1176" t="str">
            <v>Homo sapiens</v>
          </cell>
          <cell r="F1176" t="str">
            <v>Campylobacter jejuni</v>
          </cell>
          <cell r="G1176" t="str">
            <v>exact</v>
          </cell>
          <cell r="H1176" t="str">
            <v>CAMP0331(cmeB)_5</v>
          </cell>
          <cell r="I1176" t="str">
            <v>CAMP0331(cmeB)</v>
          </cell>
          <cell r="J1176">
            <v>5</v>
          </cell>
        </row>
        <row r="1177">
          <cell r="A1177" t="str">
            <v>SC1534</v>
          </cell>
          <cell r="B1177" t="str">
            <v>SRR17974163</v>
          </cell>
          <cell r="C1177">
            <v>45</v>
          </cell>
          <cell r="D1177">
            <v>45</v>
          </cell>
          <cell r="E1177" t="str">
            <v>Ovis aries</v>
          </cell>
          <cell r="F1177" t="str">
            <v>Campylobacter jejuni</v>
          </cell>
          <cell r="G1177" t="str">
            <v>exact</v>
          </cell>
          <cell r="H1177" t="str">
            <v>CAMP0331(cmeB)_3633</v>
          </cell>
          <cell r="I1177" t="str">
            <v>CAMP0331(cmeB)</v>
          </cell>
          <cell r="J1177">
            <v>3633</v>
          </cell>
        </row>
        <row r="1178">
          <cell r="A1178" t="str">
            <v>SC1533</v>
          </cell>
          <cell r="B1178" t="str">
            <v>SRR17974164</v>
          </cell>
          <cell r="C1178">
            <v>45</v>
          </cell>
          <cell r="D1178">
            <v>45</v>
          </cell>
          <cell r="E1178" t="str">
            <v>Ovis aries</v>
          </cell>
          <cell r="F1178" t="str">
            <v>Campylobacter jejuni</v>
          </cell>
          <cell r="G1178" t="str">
            <v>exact</v>
          </cell>
          <cell r="H1178" t="str">
            <v>CAMP0331(cmeB)_3633</v>
          </cell>
          <cell r="I1178" t="str">
            <v>CAMP0331(cmeB)</v>
          </cell>
          <cell r="J1178">
            <v>3633</v>
          </cell>
        </row>
        <row r="1179">
          <cell r="A1179" t="str">
            <v>SC1532</v>
          </cell>
          <cell r="B1179" t="str">
            <v>SRR17974165</v>
          </cell>
          <cell r="C1179">
            <v>45</v>
          </cell>
          <cell r="D1179">
            <v>45</v>
          </cell>
          <cell r="E1179" t="str">
            <v>Ovis aries</v>
          </cell>
          <cell r="F1179" t="str">
            <v>Campylobacter jejuni</v>
          </cell>
          <cell r="G1179" t="str">
            <v>exact</v>
          </cell>
          <cell r="H1179" t="str">
            <v>CAMP0331(cmeB)_3633</v>
          </cell>
          <cell r="I1179" t="str">
            <v>CAMP0331(cmeB)</v>
          </cell>
          <cell r="J1179">
            <v>3633</v>
          </cell>
        </row>
        <row r="1180">
          <cell r="A1180" t="str">
            <v>SC1531</v>
          </cell>
          <cell r="B1180" t="str">
            <v>SRR17974166</v>
          </cell>
          <cell r="C1180">
            <v>61</v>
          </cell>
          <cell r="D1180">
            <v>61</v>
          </cell>
          <cell r="E1180" t="str">
            <v>Ovis aries</v>
          </cell>
          <cell r="F1180" t="str">
            <v>Campylobacter jejuni</v>
          </cell>
          <cell r="G1180" t="str">
            <v>exact</v>
          </cell>
          <cell r="H1180" t="str">
            <v>CAMP0331(cmeB)_14</v>
          </cell>
          <cell r="I1180" t="str">
            <v>CAMP0331(cmeB)</v>
          </cell>
          <cell r="J1180">
            <v>14</v>
          </cell>
        </row>
        <row r="1181">
          <cell r="A1181" t="str">
            <v>SC1530</v>
          </cell>
          <cell r="B1181" t="str">
            <v>SRR17974167</v>
          </cell>
          <cell r="C1181">
            <v>4337</v>
          </cell>
          <cell r="D1181">
            <v>21</v>
          </cell>
          <cell r="E1181" t="str">
            <v>Ovis aries</v>
          </cell>
          <cell r="F1181" t="str">
            <v>Campylobacter jejuni</v>
          </cell>
          <cell r="G1181" t="str">
            <v>exact</v>
          </cell>
          <cell r="H1181" t="str">
            <v>CAMP0331(cmeB)_604</v>
          </cell>
          <cell r="I1181" t="str">
            <v>CAMP0331(cmeB)</v>
          </cell>
          <cell r="J1181">
            <v>604</v>
          </cell>
        </row>
        <row r="1182">
          <cell r="A1182" t="str">
            <v>SC1529</v>
          </cell>
          <cell r="B1182" t="str">
            <v>SRR17974168</v>
          </cell>
          <cell r="C1182">
            <v>53</v>
          </cell>
          <cell r="D1182">
            <v>21</v>
          </cell>
          <cell r="E1182" t="str">
            <v>Ovis aries</v>
          </cell>
          <cell r="F1182" t="str">
            <v>Campylobacter jejuni</v>
          </cell>
          <cell r="G1182" t="str">
            <v>exact</v>
          </cell>
          <cell r="H1182" t="str">
            <v>CAMP0331(cmeB)_604</v>
          </cell>
          <cell r="I1182" t="str">
            <v>CAMP0331(cmeB)</v>
          </cell>
          <cell r="J1182">
            <v>604</v>
          </cell>
        </row>
        <row r="1183">
          <cell r="A1183" t="str">
            <v>SC1528</v>
          </cell>
          <cell r="B1183" t="str">
            <v>SRR17974169</v>
          </cell>
          <cell r="C1183">
            <v>4337</v>
          </cell>
          <cell r="D1183">
            <v>21</v>
          </cell>
          <cell r="E1183" t="str">
            <v>Ovis aries</v>
          </cell>
          <cell r="F1183" t="str">
            <v>Campylobacter jejuni</v>
          </cell>
          <cell r="G1183" t="str">
            <v>exact</v>
          </cell>
          <cell r="H1183" t="str">
            <v>CAMP0331(cmeB)_604</v>
          </cell>
          <cell r="I1183" t="str">
            <v>CAMP0331(cmeB)</v>
          </cell>
          <cell r="J1183">
            <v>604</v>
          </cell>
        </row>
        <row r="1184">
          <cell r="A1184" t="str">
            <v>SC1527</v>
          </cell>
          <cell r="B1184" t="str">
            <v>SRR17974170</v>
          </cell>
          <cell r="C1184">
            <v>4337</v>
          </cell>
          <cell r="D1184">
            <v>21</v>
          </cell>
          <cell r="E1184" t="str">
            <v>Ovis aries</v>
          </cell>
          <cell r="F1184" t="str">
            <v>Campylobacter jejuni</v>
          </cell>
          <cell r="G1184" t="str">
            <v>exact</v>
          </cell>
          <cell r="H1184" t="str">
            <v>CAMP0331(cmeB)_604</v>
          </cell>
          <cell r="I1184" t="str">
            <v>CAMP0331(cmeB)</v>
          </cell>
          <cell r="J1184">
            <v>604</v>
          </cell>
        </row>
        <row r="1185">
          <cell r="A1185" t="str">
            <v>SC1526</v>
          </cell>
          <cell r="B1185" t="str">
            <v>SRR17974171</v>
          </cell>
          <cell r="C1185">
            <v>4337</v>
          </cell>
          <cell r="D1185">
            <v>21</v>
          </cell>
          <cell r="E1185" t="str">
            <v>Ovis aries</v>
          </cell>
          <cell r="F1185" t="str">
            <v>Campylobacter jejuni</v>
          </cell>
          <cell r="G1185" t="str">
            <v>exact</v>
          </cell>
          <cell r="H1185" t="str">
            <v>CAMP0331(cmeB)_604</v>
          </cell>
          <cell r="I1185" t="str">
            <v>CAMP0331(cmeB)</v>
          </cell>
          <cell r="J1185">
            <v>604</v>
          </cell>
        </row>
        <row r="1186">
          <cell r="A1186" t="str">
            <v>SC1425</v>
          </cell>
          <cell r="B1186" t="str">
            <v>SRR17974172</v>
          </cell>
          <cell r="C1186">
            <v>583</v>
          </cell>
          <cell r="D1186">
            <v>45</v>
          </cell>
          <cell r="E1186" t="str">
            <v>Bos taurus taurus</v>
          </cell>
          <cell r="F1186" t="str">
            <v>Campylobacter jejuni</v>
          </cell>
          <cell r="G1186" t="str">
            <v>exact</v>
          </cell>
          <cell r="H1186" t="str">
            <v>CAMP0331(cmeB)_24</v>
          </cell>
          <cell r="I1186" t="str">
            <v>CAMP0331(cmeB)</v>
          </cell>
          <cell r="J1186">
            <v>24</v>
          </cell>
        </row>
        <row r="1187">
          <cell r="A1187" t="str">
            <v>SC1522</v>
          </cell>
          <cell r="B1187" t="str">
            <v>SRR17974173</v>
          </cell>
          <cell r="C1187">
            <v>190</v>
          </cell>
          <cell r="D1187">
            <v>21</v>
          </cell>
          <cell r="E1187" t="str">
            <v>Homo sapiens</v>
          </cell>
          <cell r="F1187" t="str">
            <v>Campylobacter jejuni</v>
          </cell>
          <cell r="G1187" t="str">
            <v>exact</v>
          </cell>
          <cell r="H1187" t="str">
            <v>CAMP0331(cmeB)_604</v>
          </cell>
          <cell r="I1187" t="str">
            <v>CAMP0331(cmeB)</v>
          </cell>
          <cell r="J1187">
            <v>604</v>
          </cell>
        </row>
        <row r="1188">
          <cell r="A1188" t="str">
            <v>SC1521</v>
          </cell>
          <cell r="B1188" t="str">
            <v>SRR17974174</v>
          </cell>
          <cell r="C1188">
            <v>51</v>
          </cell>
          <cell r="D1188">
            <v>443</v>
          </cell>
          <cell r="E1188" t="str">
            <v>Homo sapiens</v>
          </cell>
          <cell r="F1188" t="str">
            <v>Campylobacter jejuni</v>
          </cell>
          <cell r="G1188" t="str">
            <v>exact</v>
          </cell>
          <cell r="H1188" t="str">
            <v>CAMP0331(cmeB)_127</v>
          </cell>
          <cell r="I1188" t="str">
            <v>CAMP0331(cmeB)</v>
          </cell>
          <cell r="J1188">
            <v>127</v>
          </cell>
        </row>
        <row r="1189">
          <cell r="A1189" t="str">
            <v>SC1518</v>
          </cell>
          <cell r="B1189" t="str">
            <v>SRR17974175</v>
          </cell>
          <cell r="C1189">
            <v>53</v>
          </cell>
          <cell r="D1189">
            <v>21</v>
          </cell>
          <cell r="E1189" t="str">
            <v>Homo sapiens</v>
          </cell>
          <cell r="F1189" t="str">
            <v>Campylobacter jejuni</v>
          </cell>
          <cell r="G1189" t="str">
            <v>exact</v>
          </cell>
          <cell r="H1189" t="str">
            <v>CAMP0331(cmeB)_604</v>
          </cell>
          <cell r="I1189" t="str">
            <v>CAMP0331(cmeB)</v>
          </cell>
          <cell r="J1189">
            <v>604</v>
          </cell>
        </row>
        <row r="1190">
          <cell r="A1190" t="str">
            <v>SC1517</v>
          </cell>
          <cell r="B1190" t="str">
            <v>SRR17974176</v>
          </cell>
          <cell r="C1190">
            <v>53</v>
          </cell>
          <cell r="D1190">
            <v>21</v>
          </cell>
          <cell r="E1190" t="str">
            <v>Homo sapiens</v>
          </cell>
          <cell r="F1190" t="str">
            <v>Campylobacter jejuni</v>
          </cell>
          <cell r="G1190" t="str">
            <v>exact</v>
          </cell>
          <cell r="H1190" t="str">
            <v>CAMP0331(cmeB)_4767</v>
          </cell>
          <cell r="I1190" t="str">
            <v>CAMP0331(cmeB)</v>
          </cell>
          <cell r="J1190">
            <v>4767</v>
          </cell>
        </row>
        <row r="1191">
          <cell r="A1191" t="str">
            <v>SC1516</v>
          </cell>
          <cell r="B1191" t="str">
            <v>SRR17974177</v>
          </cell>
          <cell r="C1191">
            <v>21</v>
          </cell>
          <cell r="D1191">
            <v>21</v>
          </cell>
          <cell r="E1191" t="str">
            <v>Homo sapiens</v>
          </cell>
          <cell r="F1191" t="str">
            <v>Campylobacter jejuni</v>
          </cell>
          <cell r="G1191" t="str">
            <v>exact</v>
          </cell>
          <cell r="H1191" t="str">
            <v>CAMP0331(cmeB)_604</v>
          </cell>
          <cell r="I1191" t="str">
            <v>CAMP0331(cmeB)</v>
          </cell>
          <cell r="J1191">
            <v>604</v>
          </cell>
        </row>
        <row r="1192">
          <cell r="A1192" t="str">
            <v>SC1514</v>
          </cell>
          <cell r="B1192" t="str">
            <v>SRR17974178</v>
          </cell>
          <cell r="C1192">
            <v>190</v>
          </cell>
          <cell r="D1192">
            <v>21</v>
          </cell>
          <cell r="E1192" t="str">
            <v>Homo sapiens</v>
          </cell>
          <cell r="F1192" t="str">
            <v>Campylobacter jejuni</v>
          </cell>
          <cell r="G1192" t="str">
            <v>exact</v>
          </cell>
          <cell r="H1192" t="str">
            <v>CAMP0331(cmeB)_604</v>
          </cell>
          <cell r="I1192" t="str">
            <v>CAMP0331(cmeB)</v>
          </cell>
          <cell r="J1192">
            <v>604</v>
          </cell>
        </row>
        <row r="1193">
          <cell r="A1193" t="str">
            <v>SC1513</v>
          </cell>
          <cell r="B1193" t="str">
            <v>SRR17974179</v>
          </cell>
          <cell r="C1193">
            <v>1919</v>
          </cell>
          <cell r="D1193">
            <v>52</v>
          </cell>
          <cell r="E1193" t="str">
            <v>Homo sapiens</v>
          </cell>
          <cell r="F1193" t="str">
            <v>Campylobacter jejuni</v>
          </cell>
          <cell r="G1193" t="str">
            <v>exact</v>
          </cell>
          <cell r="H1193" t="str">
            <v>CAMP0331(cmeB)_506</v>
          </cell>
          <cell r="I1193" t="str">
            <v>CAMP0331(cmeB)</v>
          </cell>
          <cell r="J1193">
            <v>506</v>
          </cell>
        </row>
        <row r="1194">
          <cell r="A1194" t="str">
            <v>SC1512</v>
          </cell>
          <cell r="B1194" t="str">
            <v>SRR17974180</v>
          </cell>
          <cell r="C1194">
            <v>1581</v>
          </cell>
          <cell r="D1194">
            <v>0</v>
          </cell>
          <cell r="E1194" t="str">
            <v>Homo sapiens</v>
          </cell>
          <cell r="F1194" t="str">
            <v>Campylobacter coli</v>
          </cell>
          <cell r="G1194" t="str">
            <v>exact</v>
          </cell>
          <cell r="H1194" t="str">
            <v>CAMP0331(cmeB)_690</v>
          </cell>
          <cell r="I1194" t="str">
            <v>CAMP0331(cmeB)</v>
          </cell>
          <cell r="J1194">
            <v>690</v>
          </cell>
        </row>
        <row r="1195">
          <cell r="A1195" t="str">
            <v>SC1510</v>
          </cell>
          <cell r="B1195" t="str">
            <v>SRR17974181</v>
          </cell>
          <cell r="C1195">
            <v>45</v>
          </cell>
          <cell r="D1195">
            <v>45</v>
          </cell>
          <cell r="E1195" t="str">
            <v>Homo sapiens</v>
          </cell>
          <cell r="F1195" t="str">
            <v>Campylobacter jejuni</v>
          </cell>
          <cell r="G1195" t="str">
            <v>exact</v>
          </cell>
          <cell r="H1195" t="str">
            <v>CAMP0331(cmeB)_5</v>
          </cell>
          <cell r="I1195" t="str">
            <v>CAMP0331(cmeB)</v>
          </cell>
          <cell r="J1195">
            <v>5</v>
          </cell>
        </row>
        <row r="1196">
          <cell r="A1196" t="str">
            <v>SC1508</v>
          </cell>
          <cell r="B1196" t="str">
            <v>SRR17974182</v>
          </cell>
          <cell r="C1196">
            <v>45</v>
          </cell>
          <cell r="D1196">
            <v>45</v>
          </cell>
          <cell r="E1196" t="str">
            <v>Homo sapiens</v>
          </cell>
          <cell r="F1196" t="str">
            <v>Campylobacter jejuni</v>
          </cell>
          <cell r="G1196" t="str">
            <v>exact</v>
          </cell>
          <cell r="H1196" t="str">
            <v>CAMP0331(cmeB)_5</v>
          </cell>
          <cell r="I1196" t="str">
            <v>CAMP0331(cmeB)</v>
          </cell>
          <cell r="J1196">
            <v>5</v>
          </cell>
        </row>
        <row r="1197">
          <cell r="A1197" t="str">
            <v>SC1424</v>
          </cell>
          <cell r="B1197" t="str">
            <v>SRR17974183</v>
          </cell>
          <cell r="C1197">
            <v>3072</v>
          </cell>
          <cell r="D1197">
            <v>828</v>
          </cell>
          <cell r="E1197" t="str">
            <v>Bos taurus taurus</v>
          </cell>
          <cell r="F1197" t="str">
            <v>Campylobacter coli</v>
          </cell>
          <cell r="G1197" t="str">
            <v>exact</v>
          </cell>
          <cell r="H1197" t="str">
            <v>CAMP0331(cmeB)_1205</v>
          </cell>
          <cell r="I1197" t="str">
            <v>CAMP0331(cmeB)</v>
          </cell>
          <cell r="J1197">
            <v>1205</v>
          </cell>
        </row>
        <row r="1198">
          <cell r="A1198" t="str">
            <v>SC1504</v>
          </cell>
          <cell r="B1198" t="str">
            <v>SRR17974184</v>
          </cell>
          <cell r="C1198">
            <v>45</v>
          </cell>
          <cell r="D1198">
            <v>45</v>
          </cell>
          <cell r="E1198" t="str">
            <v>Homo sapiens</v>
          </cell>
          <cell r="F1198" t="str">
            <v>Campylobacter jejuni</v>
          </cell>
          <cell r="G1198" t="str">
            <v>exact</v>
          </cell>
          <cell r="H1198" t="str">
            <v>CAMP0331(cmeB)_5</v>
          </cell>
          <cell r="I1198" t="str">
            <v>CAMP0331(cmeB)</v>
          </cell>
          <cell r="J1198">
            <v>5</v>
          </cell>
        </row>
        <row r="1199">
          <cell r="A1199" t="str">
            <v>SC1503</v>
          </cell>
          <cell r="B1199" t="str">
            <v>SRR17974185</v>
          </cell>
          <cell r="C1199">
            <v>48</v>
          </cell>
          <cell r="D1199">
            <v>48</v>
          </cell>
          <cell r="E1199" t="str">
            <v>Homo sapiens</v>
          </cell>
          <cell r="F1199" t="str">
            <v>Campylobacter jejuni</v>
          </cell>
          <cell r="G1199" t="str">
            <v>exact</v>
          </cell>
          <cell r="H1199" t="str">
            <v>CAMP0331(cmeB)_94</v>
          </cell>
          <cell r="I1199" t="str">
            <v>CAMP0331(cmeB)</v>
          </cell>
          <cell r="J1199">
            <v>94</v>
          </cell>
        </row>
        <row r="1200">
          <cell r="A1200" t="str">
            <v>SC1502</v>
          </cell>
          <cell r="B1200" t="str">
            <v>SRR17974186</v>
          </cell>
          <cell r="C1200">
            <v>190</v>
          </cell>
          <cell r="D1200">
            <v>21</v>
          </cell>
          <cell r="E1200" t="str">
            <v>Ovis aries</v>
          </cell>
          <cell r="F1200" t="str">
            <v>Campylobacter jejuni</v>
          </cell>
          <cell r="G1200" t="str">
            <v>exact</v>
          </cell>
          <cell r="H1200" t="str">
            <v>CAMP0331(cmeB)_604</v>
          </cell>
          <cell r="I1200" t="str">
            <v>CAMP0331(cmeB)</v>
          </cell>
          <cell r="J1200">
            <v>604</v>
          </cell>
        </row>
        <row r="1201">
          <cell r="A1201" t="str">
            <v>SC1501</v>
          </cell>
          <cell r="B1201" t="str">
            <v>SRR17974187</v>
          </cell>
          <cell r="C1201">
            <v>190</v>
          </cell>
          <cell r="D1201">
            <v>21</v>
          </cell>
          <cell r="E1201" t="str">
            <v>Ovis aries</v>
          </cell>
          <cell r="F1201" t="str">
            <v>Campylobacter jejuni</v>
          </cell>
          <cell r="G1201" t="str">
            <v>exact</v>
          </cell>
          <cell r="H1201" t="str">
            <v>CAMP0331(cmeB)_604</v>
          </cell>
          <cell r="I1201" t="str">
            <v>CAMP0331(cmeB)</v>
          </cell>
          <cell r="J1201">
            <v>604</v>
          </cell>
        </row>
        <row r="1202">
          <cell r="A1202" t="str">
            <v>SC1500</v>
          </cell>
          <cell r="B1202" t="str">
            <v>SRR17974188</v>
          </cell>
          <cell r="C1202">
            <v>190</v>
          </cell>
          <cell r="D1202">
            <v>21</v>
          </cell>
          <cell r="E1202" t="str">
            <v>Ovis aries</v>
          </cell>
          <cell r="F1202" t="str">
            <v>Campylobacter jejuni</v>
          </cell>
          <cell r="G1202" t="str">
            <v>exact</v>
          </cell>
          <cell r="H1202" t="str">
            <v>CAMP0331(cmeB)_604</v>
          </cell>
          <cell r="I1202" t="str">
            <v>CAMP0331(cmeB)</v>
          </cell>
          <cell r="J1202">
            <v>604</v>
          </cell>
        </row>
        <row r="1203">
          <cell r="A1203" t="str">
            <v>SC1499</v>
          </cell>
          <cell r="B1203" t="str">
            <v>SRR17974189</v>
          </cell>
          <cell r="C1203">
            <v>520</v>
          </cell>
          <cell r="D1203">
            <v>21</v>
          </cell>
          <cell r="E1203" t="str">
            <v>Ovis aries</v>
          </cell>
          <cell r="F1203" t="str">
            <v>Campylobacter jejuni</v>
          </cell>
          <cell r="G1203" t="str">
            <v>exact</v>
          </cell>
          <cell r="H1203" t="str">
            <v>CAMP0331(cmeB)_604</v>
          </cell>
          <cell r="I1203" t="str">
            <v>CAMP0331(cmeB)</v>
          </cell>
          <cell r="J1203">
            <v>604</v>
          </cell>
        </row>
        <row r="1204">
          <cell r="A1204" t="str">
            <v>SC1498</v>
          </cell>
          <cell r="B1204" t="str">
            <v>SRR17974190</v>
          </cell>
          <cell r="C1204">
            <v>45</v>
          </cell>
          <cell r="D1204">
            <v>45</v>
          </cell>
          <cell r="E1204" t="str">
            <v>Ovis aries</v>
          </cell>
          <cell r="F1204" t="str">
            <v>Campylobacter jejuni</v>
          </cell>
          <cell r="G1204" t="str">
            <v>exact</v>
          </cell>
          <cell r="H1204" t="str">
            <v>CAMP0331(cmeB)_3633</v>
          </cell>
          <cell r="I1204" t="str">
            <v>CAMP0331(cmeB)</v>
          </cell>
          <cell r="J1204">
            <v>3633</v>
          </cell>
        </row>
        <row r="1205">
          <cell r="A1205" t="str">
            <v>SC1455</v>
          </cell>
          <cell r="B1205" t="str">
            <v>SRR17974191</v>
          </cell>
          <cell r="C1205">
            <v>53</v>
          </cell>
          <cell r="D1205">
            <v>21</v>
          </cell>
          <cell r="E1205" t="str">
            <v>Ovis aries</v>
          </cell>
          <cell r="F1205" t="str">
            <v>Campylobacter jejuni</v>
          </cell>
          <cell r="G1205" t="str">
            <v>exact</v>
          </cell>
          <cell r="H1205" t="str">
            <v>CAMP0331(cmeB)_604</v>
          </cell>
          <cell r="I1205" t="str">
            <v>CAMP0331(cmeB)</v>
          </cell>
          <cell r="J1205">
            <v>604</v>
          </cell>
        </row>
        <row r="1206">
          <cell r="A1206" t="str">
            <v>SC1454</v>
          </cell>
          <cell r="B1206" t="str">
            <v>SRR17974192</v>
          </cell>
          <cell r="C1206">
            <v>61</v>
          </cell>
          <cell r="D1206">
            <v>61</v>
          </cell>
          <cell r="E1206" t="str">
            <v>Ovis aries</v>
          </cell>
          <cell r="F1206" t="str">
            <v>Campylobacter jejuni</v>
          </cell>
          <cell r="G1206" t="str">
            <v>exact</v>
          </cell>
          <cell r="H1206" t="str">
            <v>CAMP0331(cmeB)_14</v>
          </cell>
          <cell r="I1206" t="str">
            <v>CAMP0331(cmeB)</v>
          </cell>
          <cell r="J1206">
            <v>14</v>
          </cell>
        </row>
        <row r="1207">
          <cell r="A1207" t="str">
            <v>SC1453</v>
          </cell>
          <cell r="B1207" t="str">
            <v>SRR17974193</v>
          </cell>
          <cell r="C1207">
            <v>61</v>
          </cell>
          <cell r="D1207">
            <v>61</v>
          </cell>
          <cell r="E1207" t="str">
            <v>Ovis aries</v>
          </cell>
          <cell r="F1207" t="str">
            <v>Campylobacter jejuni</v>
          </cell>
          <cell r="G1207" t="str">
            <v>exact</v>
          </cell>
          <cell r="H1207" t="str">
            <v>CAMP0331(cmeB)_14</v>
          </cell>
          <cell r="I1207" t="str">
            <v>CAMP0331(cmeB)</v>
          </cell>
          <cell r="J1207">
            <v>14</v>
          </cell>
        </row>
        <row r="1208">
          <cell r="A1208" t="str">
            <v>SC1452</v>
          </cell>
          <cell r="B1208" t="str">
            <v>SRR17974194</v>
          </cell>
          <cell r="C1208">
            <v>50</v>
          </cell>
          <cell r="D1208">
            <v>21</v>
          </cell>
          <cell r="E1208" t="str">
            <v>Ovis aries</v>
          </cell>
          <cell r="F1208" t="str">
            <v>Campylobacter jejuni</v>
          </cell>
          <cell r="G1208" t="str">
            <v>exact</v>
          </cell>
          <cell r="H1208" t="str">
            <v>CAMP0331(cmeB)_1</v>
          </cell>
          <cell r="I1208" t="str">
            <v>CAMP0331(cmeB)</v>
          </cell>
          <cell r="J1208">
            <v>1</v>
          </cell>
        </row>
        <row r="1209">
          <cell r="A1209" t="str">
            <v>SC1418</v>
          </cell>
          <cell r="B1209" t="str">
            <v>SRR17974195</v>
          </cell>
          <cell r="C1209">
            <v>53</v>
          </cell>
          <cell r="D1209">
            <v>21</v>
          </cell>
          <cell r="E1209" t="str">
            <v>Bos taurus taurus</v>
          </cell>
          <cell r="F1209" t="str">
            <v>Campylobacter jejuni</v>
          </cell>
          <cell r="G1209" t="str">
            <v>exact</v>
          </cell>
          <cell r="H1209" t="str">
            <v>CAMP0331(cmeB)_604</v>
          </cell>
          <cell r="I1209" t="str">
            <v>CAMP0331(cmeB)</v>
          </cell>
          <cell r="J1209">
            <v>604</v>
          </cell>
        </row>
        <row r="1210">
          <cell r="A1210" t="str">
            <v>SC1450</v>
          </cell>
          <cell r="B1210" t="str">
            <v>SRR17974196</v>
          </cell>
          <cell r="C1210">
            <v>61</v>
          </cell>
          <cell r="D1210">
            <v>61</v>
          </cell>
          <cell r="E1210" t="str">
            <v>Ovis aries</v>
          </cell>
          <cell r="F1210" t="str">
            <v>Campylobacter jejuni</v>
          </cell>
          <cell r="G1210" t="str">
            <v>exact</v>
          </cell>
          <cell r="H1210" t="str">
            <v>CAMP0331(cmeB)_14</v>
          </cell>
          <cell r="I1210" t="str">
            <v>CAMP0331(cmeB)</v>
          </cell>
          <cell r="J1210">
            <v>14</v>
          </cell>
        </row>
        <row r="1211">
          <cell r="A1211" t="str">
            <v>SC1449</v>
          </cell>
          <cell r="B1211" t="str">
            <v>SRR17974197</v>
          </cell>
          <cell r="C1211">
            <v>61</v>
          </cell>
          <cell r="D1211">
            <v>61</v>
          </cell>
          <cell r="E1211" t="str">
            <v>Ovis aries</v>
          </cell>
          <cell r="F1211" t="str">
            <v>Campylobacter jejuni</v>
          </cell>
          <cell r="G1211" t="str">
            <v>exact</v>
          </cell>
          <cell r="H1211" t="str">
            <v>CAMP0331(cmeB)_14</v>
          </cell>
          <cell r="I1211" t="str">
            <v>CAMP0331(cmeB)</v>
          </cell>
          <cell r="J1211">
            <v>14</v>
          </cell>
        </row>
        <row r="1212">
          <cell r="A1212" t="str">
            <v>SC1448</v>
          </cell>
          <cell r="B1212" t="str">
            <v>SRR17974198</v>
          </cell>
          <cell r="C1212">
            <v>61</v>
          </cell>
          <cell r="D1212">
            <v>61</v>
          </cell>
          <cell r="E1212" t="str">
            <v>Ovis aries</v>
          </cell>
          <cell r="F1212" t="str">
            <v>Campylobacter jejuni</v>
          </cell>
          <cell r="G1212" t="str">
            <v>exact</v>
          </cell>
          <cell r="H1212" t="str">
            <v>CAMP0331(cmeB)_14</v>
          </cell>
          <cell r="I1212" t="str">
            <v>CAMP0331(cmeB)</v>
          </cell>
          <cell r="J1212">
            <v>14</v>
          </cell>
        </row>
        <row r="1213">
          <cell r="A1213" t="str">
            <v>SC1447</v>
          </cell>
          <cell r="B1213" t="str">
            <v>SRR17974199</v>
          </cell>
          <cell r="C1213">
            <v>61</v>
          </cell>
          <cell r="D1213">
            <v>61</v>
          </cell>
          <cell r="E1213" t="str">
            <v>Ovis aries</v>
          </cell>
          <cell r="F1213" t="str">
            <v>Campylobacter jejuni</v>
          </cell>
          <cell r="G1213" t="str">
            <v>exact</v>
          </cell>
          <cell r="H1213" t="str">
            <v>CAMP0331(cmeB)_14</v>
          </cell>
          <cell r="I1213" t="str">
            <v>CAMP0331(cmeB)</v>
          </cell>
          <cell r="J1213">
            <v>14</v>
          </cell>
        </row>
        <row r="1214">
          <cell r="A1214" t="str">
            <v>SC1446</v>
          </cell>
          <cell r="B1214" t="str">
            <v>SRR17974200</v>
          </cell>
          <cell r="C1214">
            <v>0</v>
          </cell>
          <cell r="D1214">
            <v>0</v>
          </cell>
          <cell r="E1214" t="str">
            <v>Ovis aries</v>
          </cell>
          <cell r="F1214" t="str">
            <v>Campylobacter jejuni</v>
          </cell>
          <cell r="G1214" t="str">
            <v>exact</v>
          </cell>
          <cell r="H1214" t="str">
            <v>CAMP0331(cmeB)_14</v>
          </cell>
          <cell r="I1214" t="str">
            <v>CAMP0331(cmeB)</v>
          </cell>
          <cell r="J1214">
            <v>14</v>
          </cell>
        </row>
        <row r="1215">
          <cell r="A1215" t="str">
            <v>SC1445</v>
          </cell>
          <cell r="B1215" t="str">
            <v>SRR17974201</v>
          </cell>
          <cell r="C1215">
            <v>61</v>
          </cell>
          <cell r="D1215">
            <v>61</v>
          </cell>
          <cell r="E1215" t="str">
            <v>Ovis aries</v>
          </cell>
          <cell r="F1215" t="str">
            <v>Campylobacter jejuni</v>
          </cell>
          <cell r="G1215" t="str">
            <v>exact</v>
          </cell>
          <cell r="H1215" t="str">
            <v>CAMP0331(cmeB)_14</v>
          </cell>
          <cell r="I1215" t="str">
            <v>CAMP0331(cmeB)</v>
          </cell>
          <cell r="J1215">
            <v>14</v>
          </cell>
        </row>
        <row r="1216">
          <cell r="A1216" t="str">
            <v>SC1729</v>
          </cell>
          <cell r="B1216" t="str">
            <v>SRR17974202</v>
          </cell>
          <cell r="C1216">
            <v>45</v>
          </cell>
          <cell r="D1216">
            <v>45</v>
          </cell>
          <cell r="E1216" t="str">
            <v>Gallus gallus</v>
          </cell>
          <cell r="F1216" t="str">
            <v>Campylobacter jejuni</v>
          </cell>
          <cell r="G1216" t="str">
            <v>exact</v>
          </cell>
          <cell r="H1216" t="str">
            <v>CAMP0331(cmeB)_5</v>
          </cell>
          <cell r="I1216" t="str">
            <v>CAMP0331(cmeB)</v>
          </cell>
          <cell r="J1216">
            <v>5</v>
          </cell>
        </row>
        <row r="1217">
          <cell r="A1217" t="str">
            <v>SC1728</v>
          </cell>
          <cell r="B1217" t="str">
            <v>SRR17974203</v>
          </cell>
          <cell r="C1217">
            <v>45</v>
          </cell>
          <cell r="D1217">
            <v>45</v>
          </cell>
          <cell r="E1217" t="str">
            <v>Gallus gallus</v>
          </cell>
          <cell r="F1217" t="str">
            <v>Campylobacter jejuni</v>
          </cell>
          <cell r="G1217" t="str">
            <v>exact</v>
          </cell>
          <cell r="H1217" t="str">
            <v>CAMP0331(cmeB)_5</v>
          </cell>
          <cell r="I1217" t="str">
            <v>CAMP0331(cmeB)</v>
          </cell>
          <cell r="J1217">
            <v>5</v>
          </cell>
        </row>
        <row r="1218">
          <cell r="A1218" t="str">
            <v>SC1444</v>
          </cell>
          <cell r="B1218" t="str">
            <v>SRR17974204</v>
          </cell>
          <cell r="C1218">
            <v>3072</v>
          </cell>
          <cell r="D1218">
            <v>828</v>
          </cell>
          <cell r="E1218" t="str">
            <v>Ovis aries</v>
          </cell>
          <cell r="F1218" t="str">
            <v>Campylobacter coli</v>
          </cell>
          <cell r="G1218" t="str">
            <v>exact</v>
          </cell>
          <cell r="H1218" t="str">
            <v>CAMP0331(cmeB)_1205</v>
          </cell>
          <cell r="I1218" t="str">
            <v>CAMP0331(cmeB)</v>
          </cell>
          <cell r="J1218">
            <v>1205</v>
          </cell>
        </row>
        <row r="1219">
          <cell r="A1219" t="str">
            <v>SC1727</v>
          </cell>
          <cell r="B1219" t="str">
            <v>SRR17974205</v>
          </cell>
          <cell r="C1219">
            <v>50</v>
          </cell>
          <cell r="D1219">
            <v>21</v>
          </cell>
          <cell r="E1219" t="str">
            <v>Gallus gallus</v>
          </cell>
          <cell r="F1219" t="str">
            <v>Campylobacter jejuni</v>
          </cell>
          <cell r="G1219" t="str">
            <v>exact</v>
          </cell>
          <cell r="H1219" t="str">
            <v>CAMP0331(cmeB)_604</v>
          </cell>
          <cell r="I1219" t="str">
            <v>CAMP0331(cmeB)</v>
          </cell>
          <cell r="J1219">
            <v>604</v>
          </cell>
        </row>
        <row r="1220">
          <cell r="A1220" t="str">
            <v>SC1726</v>
          </cell>
          <cell r="B1220" t="str">
            <v>SRR17974206</v>
          </cell>
          <cell r="C1220">
            <v>583</v>
          </cell>
          <cell r="D1220">
            <v>45</v>
          </cell>
          <cell r="E1220" t="str">
            <v>Gallus gallus</v>
          </cell>
          <cell r="F1220" t="str">
            <v>Campylobacter jejuni</v>
          </cell>
          <cell r="G1220" t="str">
            <v>exact</v>
          </cell>
          <cell r="H1220" t="str">
            <v>CAMP0331(cmeB)_24</v>
          </cell>
          <cell r="I1220" t="str">
            <v>CAMP0331(cmeB)</v>
          </cell>
          <cell r="J1220">
            <v>24</v>
          </cell>
        </row>
        <row r="1221">
          <cell r="A1221" t="str">
            <v>SC1724</v>
          </cell>
          <cell r="B1221" t="str">
            <v>SRR17974208</v>
          </cell>
          <cell r="C1221">
            <v>0</v>
          </cell>
          <cell r="D1221">
            <v>0</v>
          </cell>
          <cell r="E1221" t="str">
            <v>Gallus gallus</v>
          </cell>
          <cell r="F1221" t="str">
            <v>Campylobacter jejuni</v>
          </cell>
          <cell r="G1221" t="str">
            <v>exact</v>
          </cell>
          <cell r="H1221" t="str">
            <v>CAMP0331(cmeB)_5</v>
          </cell>
          <cell r="I1221" t="str">
            <v>CAMP0331(cmeB)</v>
          </cell>
          <cell r="J1221">
            <v>5</v>
          </cell>
        </row>
        <row r="1222">
          <cell r="A1222" t="str">
            <v>SC1723</v>
          </cell>
          <cell r="B1222" t="str">
            <v>SRR17974209</v>
          </cell>
          <cell r="C1222">
            <v>3538</v>
          </cell>
          <cell r="D1222">
            <v>0</v>
          </cell>
          <cell r="E1222" t="str">
            <v>Gallus gallus</v>
          </cell>
          <cell r="F1222" t="str">
            <v>Campylobacter jejuni</v>
          </cell>
          <cell r="G1222" t="str">
            <v>exact</v>
          </cell>
          <cell r="H1222" t="str">
            <v>CAMP0331(cmeB)_14</v>
          </cell>
          <cell r="I1222" t="str">
            <v>CAMP0331(cmeB)</v>
          </cell>
          <cell r="J1222">
            <v>14</v>
          </cell>
        </row>
        <row r="1223">
          <cell r="A1223" t="str">
            <v>SC1722</v>
          </cell>
          <cell r="B1223" t="str">
            <v>SRR17974210</v>
          </cell>
          <cell r="C1223">
            <v>583</v>
          </cell>
          <cell r="D1223">
            <v>45</v>
          </cell>
          <cell r="E1223" t="str">
            <v>Gallus gallus</v>
          </cell>
          <cell r="F1223" t="str">
            <v>Campylobacter jejuni</v>
          </cell>
          <cell r="G1223" t="str">
            <v>exact</v>
          </cell>
          <cell r="H1223" t="str">
            <v>CAMP0331(cmeB)_24</v>
          </cell>
          <cell r="I1223" t="str">
            <v>CAMP0331(cmeB)</v>
          </cell>
          <cell r="J1223">
            <v>24</v>
          </cell>
        </row>
        <row r="1224">
          <cell r="A1224" t="str">
            <v>SC1721</v>
          </cell>
          <cell r="B1224" t="str">
            <v>SRR17974211</v>
          </cell>
          <cell r="C1224">
            <v>48</v>
          </cell>
          <cell r="D1224">
            <v>48</v>
          </cell>
          <cell r="E1224" t="str">
            <v>Gallus gallus</v>
          </cell>
          <cell r="F1224" t="str">
            <v>Campylobacter jejuni</v>
          </cell>
          <cell r="G1224" t="str">
            <v>exact</v>
          </cell>
          <cell r="H1224" t="str">
            <v>CAMP0331(cmeB)_94</v>
          </cell>
          <cell r="I1224" t="str">
            <v>CAMP0331(cmeB)</v>
          </cell>
          <cell r="J1224">
            <v>94</v>
          </cell>
        </row>
        <row r="1225">
          <cell r="A1225" t="str">
            <v>SC1720</v>
          </cell>
          <cell r="B1225" t="str">
            <v>SRR17974212</v>
          </cell>
          <cell r="C1225">
            <v>6964</v>
          </cell>
          <cell r="D1225">
            <v>354</v>
          </cell>
          <cell r="E1225" t="str">
            <v>Gallus gallus</v>
          </cell>
          <cell r="F1225" t="str">
            <v>Campylobacter jejuni</v>
          </cell>
          <cell r="G1225" t="str">
            <v>exact</v>
          </cell>
          <cell r="H1225" t="str">
            <v>CAMP0331(cmeB)_1451</v>
          </cell>
          <cell r="I1225" t="str">
            <v>CAMP0331(cmeB)</v>
          </cell>
          <cell r="J1225">
            <v>1451</v>
          </cell>
        </row>
        <row r="1226">
          <cell r="A1226" t="str">
            <v>SC1719</v>
          </cell>
          <cell r="B1226" t="str">
            <v>SRR17974213</v>
          </cell>
          <cell r="C1226">
            <v>6964</v>
          </cell>
          <cell r="D1226">
            <v>354</v>
          </cell>
          <cell r="E1226" t="str">
            <v>Gallus gallus</v>
          </cell>
          <cell r="F1226" t="str">
            <v>Campylobacter jejuni</v>
          </cell>
          <cell r="G1226" t="str">
            <v>exact</v>
          </cell>
          <cell r="H1226" t="str">
            <v>CAMP0331(cmeB)_1451</v>
          </cell>
          <cell r="I1226" t="str">
            <v>CAMP0331(cmeB)</v>
          </cell>
          <cell r="J1226">
            <v>1451</v>
          </cell>
        </row>
        <row r="1227">
          <cell r="A1227" t="str">
            <v>SC1718</v>
          </cell>
          <cell r="B1227" t="str">
            <v>SRR17974214</v>
          </cell>
          <cell r="C1227">
            <v>3230</v>
          </cell>
          <cell r="D1227">
            <v>828</v>
          </cell>
          <cell r="E1227" t="str">
            <v>Gallus gallus</v>
          </cell>
          <cell r="F1227" t="str">
            <v>Campylobacter coli</v>
          </cell>
          <cell r="G1227" t="str">
            <v>exact</v>
          </cell>
          <cell r="H1227" t="str">
            <v>CAMP0331(cmeB)_28</v>
          </cell>
          <cell r="I1227" t="str">
            <v>CAMP0331(cmeB)</v>
          </cell>
          <cell r="J1227">
            <v>28</v>
          </cell>
        </row>
        <row r="1228">
          <cell r="A1228" t="str">
            <v>SC1715</v>
          </cell>
          <cell r="B1228" t="str">
            <v>SRR17974218</v>
          </cell>
          <cell r="C1228">
            <v>53</v>
          </cell>
          <cell r="D1228">
            <v>21</v>
          </cell>
          <cell r="E1228" t="str">
            <v>Gallus gallus</v>
          </cell>
          <cell r="F1228" t="str">
            <v>Campylobacter jejuni</v>
          </cell>
          <cell r="G1228" t="str">
            <v>exact</v>
          </cell>
          <cell r="H1228" t="str">
            <v>CAMP0331(cmeB)_604</v>
          </cell>
          <cell r="I1228" t="str">
            <v>CAMP0331(cmeB)</v>
          </cell>
          <cell r="J1228">
            <v>604</v>
          </cell>
        </row>
        <row r="1229">
          <cell r="A1229" t="str">
            <v>SC1714</v>
          </cell>
          <cell r="B1229" t="str">
            <v>SRR17974219</v>
          </cell>
          <cell r="C1229">
            <v>45</v>
          </cell>
          <cell r="D1229">
            <v>45</v>
          </cell>
          <cell r="E1229" t="str">
            <v>Gallus gallus</v>
          </cell>
          <cell r="F1229" t="str">
            <v>Campylobacter jejuni</v>
          </cell>
          <cell r="G1229" t="str">
            <v>exact</v>
          </cell>
          <cell r="H1229" t="str">
            <v>CAMP0331(cmeB)_3633</v>
          </cell>
          <cell r="I1229" t="str">
            <v>CAMP0331(cmeB)</v>
          </cell>
          <cell r="J1229">
            <v>3633</v>
          </cell>
        </row>
        <row r="1230">
          <cell r="A1230" t="str">
            <v>SC1713</v>
          </cell>
          <cell r="B1230" t="str">
            <v>SRR17974220</v>
          </cell>
          <cell r="C1230">
            <v>45</v>
          </cell>
          <cell r="D1230">
            <v>45</v>
          </cell>
          <cell r="E1230" t="str">
            <v>Gallus gallus</v>
          </cell>
          <cell r="F1230" t="str">
            <v>Campylobacter jejuni</v>
          </cell>
          <cell r="G1230" t="str">
            <v>exact</v>
          </cell>
          <cell r="H1230" t="str">
            <v>CAMP0331(cmeB)_260</v>
          </cell>
          <cell r="I1230" t="str">
            <v>CAMP0331(cmeB)</v>
          </cell>
          <cell r="J1230">
            <v>260</v>
          </cell>
        </row>
        <row r="1231">
          <cell r="A1231" t="str">
            <v>SC1712</v>
          </cell>
          <cell r="B1231" t="str">
            <v>SRR17974221</v>
          </cell>
          <cell r="C1231">
            <v>53</v>
          </cell>
          <cell r="D1231">
            <v>21</v>
          </cell>
          <cell r="E1231" t="str">
            <v>Gallus gallus</v>
          </cell>
          <cell r="F1231" t="str">
            <v>Campylobacter jejuni</v>
          </cell>
          <cell r="G1231" t="str">
            <v>exact</v>
          </cell>
          <cell r="H1231" t="str">
            <v>CAMP0331(cmeB)_604</v>
          </cell>
          <cell r="I1231" t="str">
            <v>CAMP0331(cmeB)</v>
          </cell>
          <cell r="J1231">
            <v>604</v>
          </cell>
        </row>
        <row r="1232">
          <cell r="A1232" t="str">
            <v>SC1556</v>
          </cell>
          <cell r="B1232" t="str">
            <v>SRR17974223</v>
          </cell>
          <cell r="C1232">
            <v>486</v>
          </cell>
          <cell r="D1232">
            <v>21</v>
          </cell>
          <cell r="E1232" t="str">
            <v>Homo sapiens</v>
          </cell>
          <cell r="F1232" t="str">
            <v>Campylobacter jejuni</v>
          </cell>
          <cell r="G1232" t="str">
            <v>exact</v>
          </cell>
          <cell r="H1232" t="str">
            <v>CAMP0331(cmeB)_1</v>
          </cell>
          <cell r="I1232" t="str">
            <v>CAMP0331(cmeB)</v>
          </cell>
          <cell r="J1232">
            <v>1</v>
          </cell>
        </row>
        <row r="1233">
          <cell r="A1233" t="str">
            <v>SC1552</v>
          </cell>
          <cell r="B1233" t="str">
            <v>SRR17974224</v>
          </cell>
          <cell r="C1233">
            <v>52</v>
          </cell>
          <cell r="D1233">
            <v>52</v>
          </cell>
          <cell r="E1233" t="str">
            <v>Homo sapiens</v>
          </cell>
          <cell r="F1233" t="str">
            <v>Campylobacter jejuni</v>
          </cell>
          <cell r="G1233" t="str">
            <v>exact</v>
          </cell>
          <cell r="H1233" t="str">
            <v>CAMP0331(cmeB)_4941</v>
          </cell>
          <cell r="I1233" t="str">
            <v>CAMP0331(cmeB)</v>
          </cell>
          <cell r="J1233">
            <v>4941</v>
          </cell>
        </row>
        <row r="1234">
          <cell r="A1234" t="str">
            <v>SC1551</v>
          </cell>
          <cell r="B1234" t="str">
            <v>SRR17974225</v>
          </cell>
          <cell r="C1234">
            <v>50</v>
          </cell>
          <cell r="D1234">
            <v>21</v>
          </cell>
          <cell r="E1234" t="str">
            <v>Homo sapiens</v>
          </cell>
          <cell r="F1234" t="str">
            <v>Campylobacter jejuni</v>
          </cell>
          <cell r="G1234" t="str">
            <v>exact</v>
          </cell>
          <cell r="H1234" t="str">
            <v>CAMP0331(cmeB)_1</v>
          </cell>
          <cell r="I1234" t="str">
            <v>CAMP0331(cmeB)</v>
          </cell>
          <cell r="J1234">
            <v>1</v>
          </cell>
        </row>
        <row r="1235">
          <cell r="A1235" t="str">
            <v>SC1548</v>
          </cell>
          <cell r="B1235" t="str">
            <v>SRR17974226</v>
          </cell>
          <cell r="C1235">
            <v>257</v>
          </cell>
          <cell r="D1235">
            <v>257</v>
          </cell>
          <cell r="E1235" t="str">
            <v>Homo sapiens</v>
          </cell>
          <cell r="F1235" t="str">
            <v>Campylobacter jejuni</v>
          </cell>
          <cell r="G1235" t="str">
            <v>exact</v>
          </cell>
          <cell r="H1235" t="str">
            <v>CAMP0331(cmeB)_51</v>
          </cell>
          <cell r="I1235" t="str">
            <v>CAMP0331(cmeB)</v>
          </cell>
          <cell r="J1235">
            <v>51</v>
          </cell>
        </row>
        <row r="1236">
          <cell r="A1236" t="str">
            <v>SC1546</v>
          </cell>
          <cell r="B1236" t="str">
            <v>SRR17974227</v>
          </cell>
          <cell r="C1236">
            <v>257</v>
          </cell>
          <cell r="D1236">
            <v>257</v>
          </cell>
          <cell r="E1236" t="str">
            <v>Homo sapiens</v>
          </cell>
          <cell r="F1236" t="str">
            <v>Campylobacter jejuni</v>
          </cell>
          <cell r="G1236" t="str">
            <v>exact</v>
          </cell>
          <cell r="H1236" t="str">
            <v>CAMP0331(cmeB)_51</v>
          </cell>
          <cell r="I1236" t="str">
            <v>CAMP0331(cmeB)</v>
          </cell>
          <cell r="J1236">
            <v>51</v>
          </cell>
        </row>
        <row r="1237">
          <cell r="A1237" t="str">
            <v>SC1544</v>
          </cell>
          <cell r="B1237" t="str">
            <v>SRR17974228</v>
          </cell>
          <cell r="C1237">
            <v>6964</v>
          </cell>
          <cell r="D1237">
            <v>354</v>
          </cell>
          <cell r="E1237" t="str">
            <v>Homo sapiens</v>
          </cell>
          <cell r="F1237" t="str">
            <v>Campylobacter jejuni</v>
          </cell>
          <cell r="G1237" t="str">
            <v>exact</v>
          </cell>
          <cell r="H1237" t="str">
            <v>CAMP0331(cmeB)_1451</v>
          </cell>
          <cell r="I1237" t="str">
            <v>CAMP0331(cmeB)</v>
          </cell>
          <cell r="J1237">
            <v>1451</v>
          </cell>
        </row>
        <row r="1238">
          <cell r="A1238" t="str">
            <v>SC1543</v>
          </cell>
          <cell r="B1238" t="str">
            <v>SRR17974229</v>
          </cell>
          <cell r="C1238">
            <v>2345</v>
          </cell>
          <cell r="D1238">
            <v>206</v>
          </cell>
          <cell r="E1238" t="str">
            <v>Homo sapiens</v>
          </cell>
          <cell r="F1238" t="str">
            <v>Campylobacter jejuni</v>
          </cell>
          <cell r="G1238" t="str">
            <v>exact</v>
          </cell>
          <cell r="H1238" t="str">
            <v>CAMP0331(cmeB)_158</v>
          </cell>
          <cell r="I1238" t="str">
            <v>CAMP0331(cmeB)</v>
          </cell>
          <cell r="J1238">
            <v>158</v>
          </cell>
        </row>
        <row r="1239">
          <cell r="A1239" t="str">
            <v>SC1542</v>
          </cell>
          <cell r="B1239" t="str">
            <v>SRR17974230</v>
          </cell>
          <cell r="C1239">
            <v>451</v>
          </cell>
          <cell r="D1239">
            <v>21</v>
          </cell>
          <cell r="E1239" t="str">
            <v>Homo sapiens</v>
          </cell>
          <cell r="F1239" t="str">
            <v>Campylobacter jejuni</v>
          </cell>
          <cell r="G1239" t="str">
            <v>exact</v>
          </cell>
          <cell r="H1239" t="str">
            <v>CAMP0331(cmeB)_604</v>
          </cell>
          <cell r="I1239" t="str">
            <v>CAMP0331(cmeB)</v>
          </cell>
          <cell r="J1239">
            <v>604</v>
          </cell>
        </row>
        <row r="1240">
          <cell r="A1240" t="str">
            <v>SC1497</v>
          </cell>
          <cell r="B1240" t="str">
            <v>SRR17974231</v>
          </cell>
          <cell r="C1240">
            <v>3072</v>
          </cell>
          <cell r="D1240">
            <v>828</v>
          </cell>
          <cell r="E1240" t="str">
            <v>Ovis aries</v>
          </cell>
          <cell r="F1240" t="str">
            <v>Campylobacter coli</v>
          </cell>
          <cell r="G1240" t="str">
            <v>exact</v>
          </cell>
          <cell r="H1240" t="str">
            <v>CAMP0331(cmeB)_1205</v>
          </cell>
          <cell r="I1240" t="str">
            <v>CAMP0331(cmeB)</v>
          </cell>
          <cell r="J1240">
            <v>1205</v>
          </cell>
        </row>
        <row r="1241">
          <cell r="A1241" t="str">
            <v>SC1496</v>
          </cell>
          <cell r="B1241" t="str">
            <v>SRR17974232</v>
          </cell>
          <cell r="C1241">
            <v>3072</v>
          </cell>
          <cell r="D1241">
            <v>828</v>
          </cell>
          <cell r="E1241" t="str">
            <v>Ovis aries</v>
          </cell>
          <cell r="F1241" t="str">
            <v>Campylobacter coli</v>
          </cell>
          <cell r="G1241" t="str">
            <v>exact</v>
          </cell>
          <cell r="H1241" t="str">
            <v>CAMP0331(cmeB)_1205</v>
          </cell>
          <cell r="I1241" t="str">
            <v>CAMP0331(cmeB)</v>
          </cell>
          <cell r="J1241">
            <v>1205</v>
          </cell>
        </row>
        <row r="1242">
          <cell r="A1242" t="str">
            <v>SC1495</v>
          </cell>
          <cell r="B1242" t="str">
            <v>SRR17974233</v>
          </cell>
          <cell r="C1242">
            <v>520</v>
          </cell>
          <cell r="D1242">
            <v>21</v>
          </cell>
          <cell r="E1242" t="str">
            <v>Ovis aries</v>
          </cell>
          <cell r="F1242" t="str">
            <v>Campylobacter jejuni</v>
          </cell>
          <cell r="G1242" t="str">
            <v>exact</v>
          </cell>
          <cell r="H1242" t="str">
            <v>CAMP0331(cmeB)_604</v>
          </cell>
          <cell r="I1242" t="str">
            <v>CAMP0331(cmeB)</v>
          </cell>
          <cell r="J1242">
            <v>604</v>
          </cell>
        </row>
        <row r="1243">
          <cell r="A1243" t="str">
            <v>SC1423</v>
          </cell>
          <cell r="B1243" t="str">
            <v>SRR17974234</v>
          </cell>
          <cell r="C1243">
            <v>3072</v>
          </cell>
          <cell r="D1243">
            <v>828</v>
          </cell>
          <cell r="E1243" t="str">
            <v>Bos taurus taurus</v>
          </cell>
          <cell r="F1243" t="str">
            <v>Campylobacter coli</v>
          </cell>
          <cell r="G1243" t="str">
            <v>exact</v>
          </cell>
          <cell r="H1243" t="str">
            <v>CAMP0331(cmeB)_1205</v>
          </cell>
          <cell r="I1243" t="str">
            <v>CAMP0331(cmeB)</v>
          </cell>
          <cell r="J1243">
            <v>1205</v>
          </cell>
        </row>
        <row r="1244">
          <cell r="A1244" t="str">
            <v>SC1494</v>
          </cell>
          <cell r="B1244" t="str">
            <v>SRR17974235</v>
          </cell>
          <cell r="C1244">
            <v>3072</v>
          </cell>
          <cell r="D1244">
            <v>828</v>
          </cell>
          <cell r="E1244" t="str">
            <v>Ovis aries</v>
          </cell>
          <cell r="F1244" t="str">
            <v>Campylobacter coli</v>
          </cell>
          <cell r="G1244" t="str">
            <v>exact</v>
          </cell>
          <cell r="H1244" t="str">
            <v>CAMP0331(cmeB)_1205</v>
          </cell>
          <cell r="I1244" t="str">
            <v>CAMP0331(cmeB)</v>
          </cell>
          <cell r="J1244">
            <v>1205</v>
          </cell>
        </row>
        <row r="1245">
          <cell r="A1245" t="str">
            <v>SC1493</v>
          </cell>
          <cell r="B1245" t="str">
            <v>SRR17974236</v>
          </cell>
          <cell r="C1245">
            <v>53</v>
          </cell>
          <cell r="D1245">
            <v>21</v>
          </cell>
          <cell r="E1245" t="str">
            <v>Ovis aries</v>
          </cell>
          <cell r="F1245" t="str">
            <v>Campylobacter jejuni</v>
          </cell>
          <cell r="G1245" t="str">
            <v>exact</v>
          </cell>
          <cell r="H1245" t="str">
            <v>CAMP0331(cmeB)_1</v>
          </cell>
          <cell r="I1245" t="str">
            <v>CAMP0331(cmeB)</v>
          </cell>
          <cell r="J1245">
            <v>1</v>
          </cell>
        </row>
        <row r="1246">
          <cell r="A1246" t="str">
            <v>SC1492</v>
          </cell>
          <cell r="B1246" t="str">
            <v>SRR17974237</v>
          </cell>
          <cell r="C1246">
            <v>45</v>
          </cell>
          <cell r="D1246">
            <v>45</v>
          </cell>
          <cell r="E1246" t="str">
            <v>Ovis aries</v>
          </cell>
          <cell r="F1246" t="str">
            <v>Campylobacter jejuni</v>
          </cell>
          <cell r="G1246" t="str">
            <v>exact</v>
          </cell>
          <cell r="H1246" t="str">
            <v>CAMP0331(cmeB)_3616</v>
          </cell>
          <cell r="I1246" t="str">
            <v>CAMP0331(cmeB)</v>
          </cell>
          <cell r="J1246">
            <v>3616</v>
          </cell>
        </row>
        <row r="1247">
          <cell r="A1247" t="str">
            <v>SC1491</v>
          </cell>
          <cell r="B1247" t="str">
            <v>SRR17974238</v>
          </cell>
          <cell r="C1247">
            <v>50</v>
          </cell>
          <cell r="D1247">
            <v>21</v>
          </cell>
          <cell r="E1247" t="str">
            <v>Ovis aries</v>
          </cell>
          <cell r="F1247" t="str">
            <v>Campylobacter jejuni</v>
          </cell>
          <cell r="G1247" t="str">
            <v>exact</v>
          </cell>
          <cell r="H1247" t="str">
            <v>CAMP0331(cmeB)_604</v>
          </cell>
          <cell r="I1247" t="str">
            <v>CAMP0331(cmeB)</v>
          </cell>
          <cell r="J1247">
            <v>604</v>
          </cell>
        </row>
        <row r="1248">
          <cell r="A1248" t="str">
            <v>SC1490</v>
          </cell>
          <cell r="B1248" t="str">
            <v>SRR17974239</v>
          </cell>
          <cell r="C1248">
            <v>677</v>
          </cell>
          <cell r="D1248">
            <v>677</v>
          </cell>
          <cell r="E1248" t="str">
            <v>Homo sapiens</v>
          </cell>
          <cell r="F1248" t="str">
            <v>Campylobacter jejuni</v>
          </cell>
          <cell r="G1248" t="str">
            <v>exact</v>
          </cell>
          <cell r="H1248" t="str">
            <v>CAMP0331(cmeB)_39</v>
          </cell>
          <cell r="I1248" t="str">
            <v>CAMP0331(cmeB)</v>
          </cell>
          <cell r="J1248">
            <v>39</v>
          </cell>
        </row>
        <row r="1249">
          <cell r="A1249" t="str">
            <v>SC1489</v>
          </cell>
          <cell r="B1249" t="str">
            <v>SRR17974240</v>
          </cell>
          <cell r="C1249">
            <v>583</v>
          </cell>
          <cell r="D1249">
            <v>45</v>
          </cell>
          <cell r="E1249" t="str">
            <v>Homo sapiens</v>
          </cell>
          <cell r="F1249" t="str">
            <v>Campylobacter jejuni</v>
          </cell>
          <cell r="G1249" t="str">
            <v>exact</v>
          </cell>
          <cell r="H1249" t="str">
            <v>CAMP0331(cmeB)_24</v>
          </cell>
          <cell r="I1249" t="str">
            <v>CAMP0331(cmeB)</v>
          </cell>
          <cell r="J1249">
            <v>24</v>
          </cell>
        </row>
        <row r="1250">
          <cell r="A1250" t="str">
            <v>SC1488</v>
          </cell>
          <cell r="B1250" t="str">
            <v>SRR17974241</v>
          </cell>
          <cell r="C1250">
            <v>45</v>
          </cell>
          <cell r="D1250">
            <v>45</v>
          </cell>
          <cell r="E1250" t="str">
            <v>Homo sapiens</v>
          </cell>
          <cell r="F1250" t="str">
            <v>Campylobacter jejuni</v>
          </cell>
          <cell r="G1250" t="str">
            <v>exact</v>
          </cell>
          <cell r="H1250" t="str">
            <v>CAMP0331(cmeB)_5</v>
          </cell>
          <cell r="I1250" t="str">
            <v>CAMP0331(cmeB)</v>
          </cell>
          <cell r="J1250">
            <v>5</v>
          </cell>
        </row>
        <row r="1251">
          <cell r="A1251" t="str">
            <v>SC1487</v>
          </cell>
          <cell r="B1251" t="str">
            <v>SRR17974242</v>
          </cell>
          <cell r="C1251">
            <v>677</v>
          </cell>
          <cell r="D1251">
            <v>677</v>
          </cell>
          <cell r="E1251" t="str">
            <v>Homo sapiens</v>
          </cell>
          <cell r="F1251" t="str">
            <v>Campylobacter jejuni</v>
          </cell>
          <cell r="G1251" t="str">
            <v>exact</v>
          </cell>
          <cell r="H1251" t="str">
            <v>CAMP0331(cmeB)_39</v>
          </cell>
          <cell r="I1251" t="str">
            <v>CAMP0331(cmeB)</v>
          </cell>
          <cell r="J1251">
            <v>39</v>
          </cell>
        </row>
        <row r="1252">
          <cell r="A1252" t="str">
            <v>SC1486</v>
          </cell>
          <cell r="B1252" t="str">
            <v>SRR17974243</v>
          </cell>
          <cell r="C1252">
            <v>38</v>
          </cell>
          <cell r="D1252">
            <v>48</v>
          </cell>
          <cell r="E1252" t="str">
            <v>Homo sapiens</v>
          </cell>
          <cell r="F1252" t="str">
            <v>Campylobacter jejuni</v>
          </cell>
          <cell r="G1252" t="str">
            <v>exact</v>
          </cell>
          <cell r="H1252" t="str">
            <v>CAMP0331(cmeB)_14</v>
          </cell>
          <cell r="I1252" t="str">
            <v>CAMP0331(cmeB)</v>
          </cell>
          <cell r="J1252">
            <v>14</v>
          </cell>
        </row>
        <row r="1253">
          <cell r="A1253" t="str">
            <v>SC1485</v>
          </cell>
          <cell r="B1253" t="str">
            <v>SRR17974244</v>
          </cell>
          <cell r="C1253">
            <v>53</v>
          </cell>
          <cell r="D1253">
            <v>21</v>
          </cell>
          <cell r="E1253" t="str">
            <v>Homo sapiens</v>
          </cell>
          <cell r="F1253" t="str">
            <v>Campylobacter jejuni</v>
          </cell>
          <cell r="G1253" t="str">
            <v>exact</v>
          </cell>
          <cell r="H1253" t="str">
            <v>CAMP0331(cmeB)_4767</v>
          </cell>
          <cell r="I1253" t="str">
            <v>CAMP0331(cmeB)</v>
          </cell>
          <cell r="J1253">
            <v>4767</v>
          </cell>
        </row>
        <row r="1254">
          <cell r="A1254" t="str">
            <v>SC1420</v>
          </cell>
          <cell r="B1254" t="str">
            <v>SRR17974245</v>
          </cell>
          <cell r="C1254">
            <v>51</v>
          </cell>
          <cell r="D1254">
            <v>443</v>
          </cell>
          <cell r="E1254" t="str">
            <v>Gallus gallus</v>
          </cell>
          <cell r="F1254" t="str">
            <v>Campylobacter jejuni</v>
          </cell>
          <cell r="G1254" t="str">
            <v>exact</v>
          </cell>
          <cell r="H1254" t="str">
            <v>CAMP0331(cmeB)_127</v>
          </cell>
          <cell r="I1254" t="str">
            <v>CAMP0331(cmeB)</v>
          </cell>
          <cell r="J1254">
            <v>127</v>
          </cell>
        </row>
        <row r="1255">
          <cell r="A1255" t="str">
            <v>SC1481</v>
          </cell>
          <cell r="B1255" t="str">
            <v>SRR17974246</v>
          </cell>
          <cell r="C1255">
            <v>53</v>
          </cell>
          <cell r="D1255">
            <v>21</v>
          </cell>
          <cell r="E1255" t="str">
            <v>Homo sapiens</v>
          </cell>
          <cell r="F1255" t="str">
            <v>Campylobacter jejuni</v>
          </cell>
          <cell r="G1255" t="str">
            <v>exact</v>
          </cell>
          <cell r="H1255" t="str">
            <v>CAMP0331(cmeB)_604</v>
          </cell>
          <cell r="I1255" t="str">
            <v>CAMP0331(cmeB)</v>
          </cell>
          <cell r="J1255">
            <v>604</v>
          </cell>
        </row>
        <row r="1256">
          <cell r="A1256" t="str">
            <v>SC1476</v>
          </cell>
          <cell r="B1256" t="str">
            <v>SRR17974247</v>
          </cell>
          <cell r="C1256">
            <v>3351</v>
          </cell>
          <cell r="D1256">
            <v>61</v>
          </cell>
          <cell r="E1256" t="str">
            <v>Homo sapiens</v>
          </cell>
          <cell r="F1256" t="str">
            <v>Campylobacter jejuni</v>
          </cell>
          <cell r="G1256" t="str">
            <v>exact</v>
          </cell>
          <cell r="H1256" t="str">
            <v>CAMP0331(cmeB)_14</v>
          </cell>
          <cell r="I1256" t="str">
            <v>CAMP0331(cmeB)</v>
          </cell>
          <cell r="J1256">
            <v>14</v>
          </cell>
        </row>
        <row r="1257">
          <cell r="A1257" t="str">
            <v>SC1475</v>
          </cell>
          <cell r="B1257" t="str">
            <v>SRR17974248</v>
          </cell>
          <cell r="C1257">
            <v>53</v>
          </cell>
          <cell r="D1257">
            <v>21</v>
          </cell>
          <cell r="E1257" t="str">
            <v>Homo sapiens</v>
          </cell>
          <cell r="F1257" t="str">
            <v>Campylobacter jejuni</v>
          </cell>
          <cell r="G1257" t="str">
            <v>exact</v>
          </cell>
          <cell r="H1257" t="str">
            <v>CAMP0331(cmeB)_4767</v>
          </cell>
          <cell r="I1257" t="str">
            <v>CAMP0331(cmeB)</v>
          </cell>
          <cell r="J1257">
            <v>4767</v>
          </cell>
        </row>
        <row r="1258">
          <cell r="A1258" t="str">
            <v>SC1474</v>
          </cell>
          <cell r="B1258" t="str">
            <v>SRR17974249</v>
          </cell>
          <cell r="C1258">
            <v>618</v>
          </cell>
          <cell r="D1258">
            <v>61</v>
          </cell>
          <cell r="E1258" t="str">
            <v>Homo sapiens</v>
          </cell>
          <cell r="F1258" t="str">
            <v>Campylobacter jejuni</v>
          </cell>
          <cell r="G1258" t="str">
            <v>exact</v>
          </cell>
          <cell r="H1258" t="str">
            <v>CAMP0331(cmeB)_14</v>
          </cell>
          <cell r="I1258" t="str">
            <v>CAMP0331(cmeB)</v>
          </cell>
          <cell r="J1258">
            <v>14</v>
          </cell>
        </row>
        <row r="1259">
          <cell r="A1259" t="str">
            <v>SC1473</v>
          </cell>
          <cell r="B1259" t="str">
            <v>SRR17974250</v>
          </cell>
          <cell r="C1259">
            <v>45</v>
          </cell>
          <cell r="D1259">
            <v>45</v>
          </cell>
          <cell r="E1259" t="str">
            <v>Homo sapiens</v>
          </cell>
          <cell r="F1259" t="str">
            <v>Campylobacter jejuni</v>
          </cell>
          <cell r="G1259" t="str">
            <v>exact</v>
          </cell>
          <cell r="H1259" t="str">
            <v>CAMP0331(cmeB)_3633</v>
          </cell>
          <cell r="I1259" t="str">
            <v>CAMP0331(cmeB)</v>
          </cell>
          <cell r="J1259">
            <v>3633</v>
          </cell>
        </row>
        <row r="1260">
          <cell r="A1260" t="str">
            <v>SC1472</v>
          </cell>
          <cell r="B1260" t="str">
            <v>SRR17974251</v>
          </cell>
          <cell r="C1260">
            <v>38</v>
          </cell>
          <cell r="D1260">
            <v>48</v>
          </cell>
          <cell r="E1260" t="str">
            <v>Homo sapiens</v>
          </cell>
          <cell r="F1260" t="str">
            <v>Campylobacter jejuni</v>
          </cell>
          <cell r="G1260" t="str">
            <v>exact</v>
          </cell>
          <cell r="H1260" t="str">
            <v>CAMP0331(cmeB)_14</v>
          </cell>
          <cell r="I1260" t="str">
            <v>CAMP0331(cmeB)</v>
          </cell>
          <cell r="J1260">
            <v>14</v>
          </cell>
        </row>
        <row r="1261">
          <cell r="A1261" t="str">
            <v>SC1470</v>
          </cell>
          <cell r="B1261" t="str">
            <v>SRR17974252</v>
          </cell>
          <cell r="C1261">
            <v>422</v>
          </cell>
          <cell r="D1261">
            <v>21</v>
          </cell>
          <cell r="E1261" t="str">
            <v>Homo sapiens</v>
          </cell>
          <cell r="F1261" t="str">
            <v>Campylobacter jejuni</v>
          </cell>
          <cell r="G1261" t="str">
            <v>exact</v>
          </cell>
          <cell r="H1261" t="str">
            <v>CAMP0331(cmeB)_604</v>
          </cell>
          <cell r="I1261" t="str">
            <v>CAMP0331(cmeB)</v>
          </cell>
          <cell r="J1261">
            <v>604</v>
          </cell>
        </row>
        <row r="1262">
          <cell r="A1262" t="str">
            <v>SC1467</v>
          </cell>
          <cell r="B1262" t="str">
            <v>SRR17974253</v>
          </cell>
          <cell r="C1262">
            <v>45</v>
          </cell>
          <cell r="D1262">
            <v>45</v>
          </cell>
          <cell r="E1262" t="str">
            <v>Homo sapiens</v>
          </cell>
          <cell r="F1262" t="str">
            <v>Campylobacter jejuni</v>
          </cell>
          <cell r="G1262" t="str">
            <v>exact</v>
          </cell>
          <cell r="H1262" t="str">
            <v>CAMP0331(cmeB)_5</v>
          </cell>
          <cell r="I1262" t="str">
            <v>CAMP0331(cmeB)</v>
          </cell>
          <cell r="J1262">
            <v>5</v>
          </cell>
        </row>
        <row r="1263">
          <cell r="A1263" t="str">
            <v>SC1466</v>
          </cell>
          <cell r="B1263" t="str">
            <v>SRR17974254</v>
          </cell>
          <cell r="C1263">
            <v>45</v>
          </cell>
          <cell r="D1263">
            <v>45</v>
          </cell>
          <cell r="E1263" t="str">
            <v>Homo sapiens</v>
          </cell>
          <cell r="F1263" t="str">
            <v>Campylobacter jejuni</v>
          </cell>
          <cell r="G1263" t="str">
            <v>exact</v>
          </cell>
          <cell r="H1263" t="str">
            <v>CAMP0331(cmeB)_5</v>
          </cell>
          <cell r="I1263" t="str">
            <v>CAMP0331(cmeB)</v>
          </cell>
          <cell r="J1263">
            <v>5</v>
          </cell>
        </row>
        <row r="1264">
          <cell r="A1264" t="str">
            <v>SC1465</v>
          </cell>
          <cell r="B1264" t="str">
            <v>SRR17974255</v>
          </cell>
          <cell r="C1264">
            <v>3538</v>
          </cell>
          <cell r="D1264">
            <v>0</v>
          </cell>
          <cell r="E1264" t="str">
            <v>Homo sapiens</v>
          </cell>
          <cell r="F1264" t="str">
            <v>Campylobacter jejuni</v>
          </cell>
          <cell r="G1264" t="str">
            <v>exact</v>
          </cell>
          <cell r="H1264" t="str">
            <v>CAMP0331(cmeB)_14</v>
          </cell>
          <cell r="I1264" t="str">
            <v>CAMP0331(cmeB)</v>
          </cell>
          <cell r="J1264">
            <v>14</v>
          </cell>
        </row>
        <row r="1265">
          <cell r="A1265" t="str">
            <v>SC1419</v>
          </cell>
          <cell r="B1265" t="str">
            <v>SRR17974256</v>
          </cell>
          <cell r="C1265">
            <v>3711</v>
          </cell>
          <cell r="D1265">
            <v>257</v>
          </cell>
          <cell r="E1265" t="str">
            <v>Bos taurus taurus</v>
          </cell>
          <cell r="F1265" t="str">
            <v>Campylobacter jejuni</v>
          </cell>
          <cell r="G1265" t="str">
            <v>exact</v>
          </cell>
          <cell r="H1265" t="str">
            <v>CAMP0331(cmeB)_51</v>
          </cell>
          <cell r="I1265" t="str">
            <v>CAMP0331(cmeB)</v>
          </cell>
          <cell r="J1265">
            <v>51</v>
          </cell>
        </row>
        <row r="1266">
          <cell r="A1266" t="str">
            <v>SC1464</v>
          </cell>
          <cell r="B1266" t="str">
            <v>SRR17974257</v>
          </cell>
          <cell r="C1266">
            <v>45</v>
          </cell>
          <cell r="D1266">
            <v>45</v>
          </cell>
          <cell r="E1266" t="str">
            <v>Homo sapiens</v>
          </cell>
          <cell r="F1266" t="str">
            <v>Campylobacter jejuni</v>
          </cell>
          <cell r="G1266" t="str">
            <v>exact</v>
          </cell>
          <cell r="H1266" t="str">
            <v>CAMP0331(cmeB)_5</v>
          </cell>
          <cell r="I1266" t="str">
            <v>CAMP0331(cmeB)</v>
          </cell>
          <cell r="J1266">
            <v>5</v>
          </cell>
        </row>
        <row r="1267">
          <cell r="A1267" t="str">
            <v>SC1460</v>
          </cell>
          <cell r="B1267" t="str">
            <v>SRR17974258</v>
          </cell>
          <cell r="C1267">
            <v>53</v>
          </cell>
          <cell r="D1267">
            <v>21</v>
          </cell>
          <cell r="E1267" t="str">
            <v>Homo sapiens</v>
          </cell>
          <cell r="F1267" t="str">
            <v>Campylobacter jejuni</v>
          </cell>
          <cell r="G1267" t="str">
            <v>exact</v>
          </cell>
          <cell r="H1267" t="str">
            <v>CAMP0331(cmeB)_604</v>
          </cell>
          <cell r="I1267" t="str">
            <v>CAMP0331(cmeB)</v>
          </cell>
          <cell r="J1267">
            <v>604</v>
          </cell>
        </row>
        <row r="1268">
          <cell r="A1268" t="str">
            <v>SC1459</v>
          </cell>
          <cell r="B1268" t="str">
            <v>SRR17974259</v>
          </cell>
          <cell r="C1268">
            <v>422</v>
          </cell>
          <cell r="D1268">
            <v>21</v>
          </cell>
          <cell r="E1268" t="str">
            <v>Ovis aries</v>
          </cell>
          <cell r="F1268" t="str">
            <v>Campylobacter jejuni</v>
          </cell>
          <cell r="G1268" t="str">
            <v>exact</v>
          </cell>
          <cell r="H1268" t="str">
            <v>CAMP0331(cmeB)_604</v>
          </cell>
          <cell r="I1268" t="str">
            <v>CAMP0331(cmeB)</v>
          </cell>
          <cell r="J1268">
            <v>604</v>
          </cell>
        </row>
        <row r="1269">
          <cell r="A1269" t="str">
            <v>SC1458</v>
          </cell>
          <cell r="B1269" t="str">
            <v>SRR17974260</v>
          </cell>
          <cell r="C1269">
            <v>422</v>
          </cell>
          <cell r="D1269">
            <v>21</v>
          </cell>
          <cell r="E1269" t="str">
            <v>Ovis aries</v>
          </cell>
          <cell r="F1269" t="str">
            <v>Campylobacter jejuni</v>
          </cell>
          <cell r="G1269" t="str">
            <v>exact</v>
          </cell>
          <cell r="H1269" t="str">
            <v>CAMP0331(cmeB)_604</v>
          </cell>
          <cell r="I1269" t="str">
            <v>CAMP0331(cmeB)</v>
          </cell>
          <cell r="J1269">
            <v>604</v>
          </cell>
        </row>
        <row r="1270">
          <cell r="A1270" t="str">
            <v>SC1457</v>
          </cell>
          <cell r="B1270" t="str">
            <v>SRR17974261</v>
          </cell>
          <cell r="C1270">
            <v>422</v>
          </cell>
          <cell r="D1270">
            <v>21</v>
          </cell>
          <cell r="E1270" t="str">
            <v>Ovis aries</v>
          </cell>
          <cell r="F1270" t="str">
            <v>Campylobacter jejuni</v>
          </cell>
          <cell r="G1270" t="str">
            <v>exact</v>
          </cell>
          <cell r="H1270" t="str">
            <v>CAMP0331(cmeB)_604</v>
          </cell>
          <cell r="I1270" t="str">
            <v>CAMP0331(cmeB)</v>
          </cell>
          <cell r="J1270">
            <v>604</v>
          </cell>
        </row>
        <row r="1271">
          <cell r="A1271" t="str">
            <v>SC1456</v>
          </cell>
          <cell r="B1271" t="str">
            <v>SRR17974262</v>
          </cell>
          <cell r="C1271">
            <v>422</v>
          </cell>
          <cell r="D1271">
            <v>21</v>
          </cell>
          <cell r="E1271" t="str">
            <v>Ovis aries</v>
          </cell>
          <cell r="F1271" t="str">
            <v>Campylobacter jejuni</v>
          </cell>
          <cell r="G1271" t="str">
            <v>exact</v>
          </cell>
          <cell r="H1271" t="str">
            <v>CAMP0331(cmeB)_604</v>
          </cell>
          <cell r="I1271" t="str">
            <v>CAMP0331(cmeB)</v>
          </cell>
          <cell r="J1271">
            <v>604</v>
          </cell>
        </row>
        <row r="1272">
          <cell r="A1272" t="str">
            <v>SC1678</v>
          </cell>
          <cell r="B1272" t="str">
            <v>SRR17974263</v>
          </cell>
          <cell r="C1272">
            <v>1517</v>
          </cell>
          <cell r="D1272">
            <v>354</v>
          </cell>
          <cell r="E1272" t="str">
            <v>Homo sapiens</v>
          </cell>
          <cell r="F1272" t="str">
            <v>Campylobacter jejuni</v>
          </cell>
          <cell r="G1272" t="str">
            <v>exact</v>
          </cell>
          <cell r="H1272" t="str">
            <v>CAMP0331(cmeB)_233</v>
          </cell>
          <cell r="I1272" t="str">
            <v>CAMP0331(cmeB)</v>
          </cell>
          <cell r="J1272">
            <v>233</v>
          </cell>
        </row>
        <row r="1273">
          <cell r="A1273" t="str">
            <v>SC1676</v>
          </cell>
          <cell r="B1273" t="str">
            <v>SRR17974264</v>
          </cell>
          <cell r="C1273">
            <v>50</v>
          </cell>
          <cell r="D1273">
            <v>21</v>
          </cell>
          <cell r="E1273" t="str">
            <v>Homo sapiens</v>
          </cell>
          <cell r="F1273" t="str">
            <v>Campylobacter jejuni</v>
          </cell>
          <cell r="G1273" t="str">
            <v>exact</v>
          </cell>
          <cell r="H1273" t="str">
            <v>CAMP0331(cmeB)_1</v>
          </cell>
          <cell r="I1273" t="str">
            <v>CAMP0331(cmeB)</v>
          </cell>
          <cell r="J1273">
            <v>1</v>
          </cell>
        </row>
        <row r="1274">
          <cell r="A1274" t="str">
            <v>SC1675</v>
          </cell>
          <cell r="B1274" t="str">
            <v>SRR17974265</v>
          </cell>
          <cell r="C1274">
            <v>61</v>
          </cell>
          <cell r="D1274">
            <v>61</v>
          </cell>
          <cell r="E1274" t="str">
            <v>Bos taurus taurus</v>
          </cell>
          <cell r="F1274" t="str">
            <v>Campylobacter jejuni</v>
          </cell>
          <cell r="G1274" t="str">
            <v>exact</v>
          </cell>
          <cell r="H1274" t="str">
            <v>CAMP0331(cmeB)_14</v>
          </cell>
          <cell r="I1274" t="str">
            <v>CAMP0331(cmeB)</v>
          </cell>
          <cell r="J1274">
            <v>14</v>
          </cell>
        </row>
        <row r="1275">
          <cell r="A1275" t="str">
            <v>SC1674</v>
          </cell>
          <cell r="B1275" t="str">
            <v>SRR17974266</v>
          </cell>
          <cell r="C1275">
            <v>422</v>
          </cell>
          <cell r="D1275">
            <v>21</v>
          </cell>
          <cell r="E1275" t="str">
            <v>Bos taurus taurus</v>
          </cell>
          <cell r="F1275" t="str">
            <v>Campylobacter jejuni</v>
          </cell>
          <cell r="G1275" t="str">
            <v>exact</v>
          </cell>
          <cell r="H1275" t="str">
            <v>CAMP0331(cmeB)_604</v>
          </cell>
          <cell r="I1275" t="str">
            <v>CAMP0331(cmeB)</v>
          </cell>
          <cell r="J1275">
            <v>604</v>
          </cell>
        </row>
        <row r="1276">
          <cell r="A1276" t="str">
            <v>SC1673</v>
          </cell>
          <cell r="B1276" t="str">
            <v>SRR17974267</v>
          </cell>
          <cell r="C1276">
            <v>890</v>
          </cell>
          <cell r="D1276">
            <v>828</v>
          </cell>
          <cell r="E1276" t="str">
            <v>Bos taurus taurus</v>
          </cell>
          <cell r="F1276" t="str">
            <v>Campylobacter coli</v>
          </cell>
          <cell r="G1276" t="str">
            <v>exact</v>
          </cell>
          <cell r="H1276" t="str">
            <v>CAMP0331(cmeB)_490</v>
          </cell>
          <cell r="I1276" t="str">
            <v>CAMP0331(cmeB)</v>
          </cell>
          <cell r="J1276">
            <v>490</v>
          </cell>
        </row>
        <row r="1277">
          <cell r="A1277" t="str">
            <v>SC1439</v>
          </cell>
          <cell r="B1277" t="str">
            <v>SRR17974268</v>
          </cell>
          <cell r="C1277">
            <v>3072</v>
          </cell>
          <cell r="D1277">
            <v>828</v>
          </cell>
          <cell r="E1277" t="str">
            <v>Ovis aries</v>
          </cell>
          <cell r="F1277" t="str">
            <v>Campylobacter coli</v>
          </cell>
          <cell r="G1277" t="str">
            <v>exact</v>
          </cell>
          <cell r="H1277" t="str">
            <v>CAMP0331(cmeB)_1205</v>
          </cell>
          <cell r="I1277" t="str">
            <v>CAMP0331(cmeB)</v>
          </cell>
          <cell r="J1277">
            <v>1205</v>
          </cell>
        </row>
        <row r="1278">
          <cell r="A1278" t="str">
            <v>SC1672</v>
          </cell>
          <cell r="B1278" t="str">
            <v>SRR17974269</v>
          </cell>
          <cell r="C1278">
            <v>2350</v>
          </cell>
          <cell r="D1278">
            <v>48</v>
          </cell>
          <cell r="E1278" t="str">
            <v>Bos taurus taurus</v>
          </cell>
          <cell r="F1278" t="str">
            <v>Campylobacter jejuni</v>
          </cell>
          <cell r="G1278" t="str">
            <v>exact</v>
          </cell>
          <cell r="H1278" t="str">
            <v>CAMP0331(cmeB)_1</v>
          </cell>
          <cell r="I1278" t="str">
            <v>CAMP0331(cmeB)</v>
          </cell>
          <cell r="J1278">
            <v>1</v>
          </cell>
        </row>
        <row r="1279">
          <cell r="A1279" t="str">
            <v>SC1671</v>
          </cell>
          <cell r="B1279" t="str">
            <v>SRR17974270</v>
          </cell>
          <cell r="C1279">
            <v>42</v>
          </cell>
          <cell r="D1279">
            <v>42</v>
          </cell>
          <cell r="E1279" t="str">
            <v>Bos taurus taurus</v>
          </cell>
          <cell r="F1279" t="str">
            <v>Campylobacter jejuni</v>
          </cell>
          <cell r="G1279" t="str">
            <v>exact</v>
          </cell>
          <cell r="H1279" t="str">
            <v>CAMP0331(cmeB)_22</v>
          </cell>
          <cell r="I1279" t="str">
            <v>CAMP0331(cmeB)</v>
          </cell>
          <cell r="J1279">
            <v>22</v>
          </cell>
        </row>
        <row r="1280">
          <cell r="A1280" t="str">
            <v>SC1670</v>
          </cell>
          <cell r="B1280" t="str">
            <v>SRR17974271</v>
          </cell>
          <cell r="C1280">
            <v>61</v>
          </cell>
          <cell r="D1280">
            <v>61</v>
          </cell>
          <cell r="E1280" t="str">
            <v>Bos taurus taurus</v>
          </cell>
          <cell r="F1280" t="str">
            <v>Campylobacter jejuni</v>
          </cell>
          <cell r="G1280" t="str">
            <v>exact</v>
          </cell>
          <cell r="H1280" t="str">
            <v>CAMP0331(cmeB)_14</v>
          </cell>
          <cell r="I1280" t="str">
            <v>CAMP0331(cmeB)</v>
          </cell>
          <cell r="J1280">
            <v>14</v>
          </cell>
        </row>
        <row r="1281">
          <cell r="A1281" t="str">
            <v>SC1669</v>
          </cell>
          <cell r="B1281" t="str">
            <v>SRR17974272</v>
          </cell>
          <cell r="C1281">
            <v>3222</v>
          </cell>
          <cell r="D1281">
            <v>0</v>
          </cell>
          <cell r="E1281" t="str">
            <v>Bos taurus taurus</v>
          </cell>
          <cell r="F1281" t="str">
            <v>Campylobacter coli</v>
          </cell>
          <cell r="G1281" t="str">
            <v>exact</v>
          </cell>
          <cell r="H1281" t="str">
            <v>CAMP0331(cmeB)_1205</v>
          </cell>
          <cell r="I1281" t="str">
            <v>CAMP0331(cmeB)</v>
          </cell>
          <cell r="J1281">
            <v>1205</v>
          </cell>
        </row>
        <row r="1282">
          <cell r="A1282" t="str">
            <v>SC1668</v>
          </cell>
          <cell r="B1282" t="str">
            <v>SRR17974273</v>
          </cell>
          <cell r="C1282">
            <v>42</v>
          </cell>
          <cell r="D1282">
            <v>42</v>
          </cell>
          <cell r="E1282" t="str">
            <v>Bos taurus taurus</v>
          </cell>
          <cell r="F1282" t="str">
            <v>Campylobacter jejuni</v>
          </cell>
          <cell r="G1282" t="str">
            <v>exact</v>
          </cell>
          <cell r="H1282" t="str">
            <v>CAMP0331(cmeB)_22</v>
          </cell>
          <cell r="I1282" t="str">
            <v>CAMP0331(cmeB)</v>
          </cell>
          <cell r="J1282">
            <v>22</v>
          </cell>
        </row>
        <row r="1283">
          <cell r="A1283" t="str">
            <v>SC1667</v>
          </cell>
          <cell r="B1283" t="str">
            <v>SRR17974274</v>
          </cell>
          <cell r="C1283">
            <v>2357</v>
          </cell>
          <cell r="D1283">
            <v>61</v>
          </cell>
          <cell r="E1283" t="str">
            <v>Bos taurus taurus</v>
          </cell>
          <cell r="F1283" t="str">
            <v>Campylobacter jejuni</v>
          </cell>
          <cell r="G1283" t="str">
            <v>exact</v>
          </cell>
          <cell r="H1283" t="str">
            <v>CAMP0331(cmeB)_14</v>
          </cell>
          <cell r="I1283" t="str">
            <v>CAMP0331(cmeB)</v>
          </cell>
          <cell r="J1283">
            <v>14</v>
          </cell>
        </row>
        <row r="1284">
          <cell r="A1284" t="str">
            <v>SC1666</v>
          </cell>
          <cell r="B1284" t="str">
            <v>SRR17974275</v>
          </cell>
          <cell r="C1284">
            <v>53</v>
          </cell>
          <cell r="D1284">
            <v>21</v>
          </cell>
          <cell r="E1284" t="str">
            <v>Homo sapiens</v>
          </cell>
          <cell r="F1284" t="str">
            <v>Campylobacter jejuni</v>
          </cell>
          <cell r="G1284" t="str">
            <v>exact</v>
          </cell>
          <cell r="H1284" t="str">
            <v>CAMP0331(cmeB)_604</v>
          </cell>
          <cell r="I1284" t="str">
            <v>CAMP0331(cmeB)</v>
          </cell>
          <cell r="J1284">
            <v>604</v>
          </cell>
        </row>
        <row r="1285">
          <cell r="A1285" t="str">
            <v>SC1664</v>
          </cell>
          <cell r="B1285" t="str">
            <v>SRR17974276</v>
          </cell>
          <cell r="C1285">
            <v>474</v>
          </cell>
          <cell r="D1285">
            <v>48</v>
          </cell>
          <cell r="E1285" t="str">
            <v>Homo sapiens</v>
          </cell>
          <cell r="F1285" t="str">
            <v>Campylobacter jejuni</v>
          </cell>
          <cell r="G1285" t="str">
            <v>exact</v>
          </cell>
          <cell r="H1285" t="str">
            <v>CAMP0331(cmeB)_1</v>
          </cell>
          <cell r="I1285" t="str">
            <v>CAMP0331(cmeB)</v>
          </cell>
          <cell r="J1285">
            <v>1</v>
          </cell>
        </row>
        <row r="1286">
          <cell r="A1286" t="str">
            <v>SC1660</v>
          </cell>
          <cell r="B1286" t="str">
            <v>SRR17974277</v>
          </cell>
          <cell r="C1286">
            <v>474</v>
          </cell>
          <cell r="D1286">
            <v>48</v>
          </cell>
          <cell r="E1286" t="str">
            <v>Homo sapiens</v>
          </cell>
          <cell r="F1286" t="str">
            <v>Campylobacter jejuni</v>
          </cell>
          <cell r="G1286" t="str">
            <v>exact</v>
          </cell>
          <cell r="H1286" t="str">
            <v>CAMP0331(cmeB)_1</v>
          </cell>
          <cell r="I1286" t="str">
            <v>CAMP0331(cmeB)</v>
          </cell>
          <cell r="J1286">
            <v>1</v>
          </cell>
        </row>
        <row r="1287">
          <cell r="A1287" t="str">
            <v>SC1659</v>
          </cell>
          <cell r="B1287" t="str">
            <v>SRR17974278</v>
          </cell>
          <cell r="C1287">
            <v>45</v>
          </cell>
          <cell r="D1287">
            <v>45</v>
          </cell>
          <cell r="E1287" t="str">
            <v>Homo sapiens</v>
          </cell>
          <cell r="F1287" t="str">
            <v>Campylobacter jejuni</v>
          </cell>
          <cell r="G1287" t="str">
            <v>exact</v>
          </cell>
          <cell r="H1287" t="str">
            <v>CAMP0331(cmeB)_5</v>
          </cell>
          <cell r="I1287" t="str">
            <v>CAMP0331(cmeB)</v>
          </cell>
          <cell r="J1287">
            <v>5</v>
          </cell>
        </row>
        <row r="1288">
          <cell r="A1288" t="str">
            <v>SC1438</v>
          </cell>
          <cell r="B1288" t="str">
            <v>SRR17974279</v>
          </cell>
          <cell r="C1288">
            <v>42</v>
          </cell>
          <cell r="D1288">
            <v>42</v>
          </cell>
          <cell r="E1288" t="str">
            <v>Ovis aries</v>
          </cell>
          <cell r="F1288" t="str">
            <v>Campylobacter jejuni</v>
          </cell>
          <cell r="G1288" t="str">
            <v>exact</v>
          </cell>
          <cell r="H1288" t="str">
            <v>CAMP0331(cmeB)_22</v>
          </cell>
          <cell r="I1288" t="str">
            <v>CAMP0331(cmeB)</v>
          </cell>
          <cell r="J1288">
            <v>22</v>
          </cell>
        </row>
        <row r="1289">
          <cell r="A1289" t="str">
            <v>SC1658</v>
          </cell>
          <cell r="B1289" t="str">
            <v>SRR17974280</v>
          </cell>
          <cell r="C1289">
            <v>53</v>
          </cell>
          <cell r="D1289">
            <v>21</v>
          </cell>
          <cell r="E1289" t="str">
            <v>Homo sapiens</v>
          </cell>
          <cell r="F1289" t="str">
            <v>Campylobacter jejuni</v>
          </cell>
          <cell r="G1289" t="str">
            <v>exact</v>
          </cell>
          <cell r="H1289" t="str">
            <v>CAMP0331(cmeB)_604</v>
          </cell>
          <cell r="I1289" t="str">
            <v>CAMP0331(cmeB)</v>
          </cell>
          <cell r="J1289">
            <v>604</v>
          </cell>
        </row>
        <row r="1290">
          <cell r="A1290" t="str">
            <v>SC1656</v>
          </cell>
          <cell r="B1290" t="str">
            <v>SRR17974281</v>
          </cell>
          <cell r="C1290">
            <v>508</v>
          </cell>
          <cell r="D1290">
            <v>508</v>
          </cell>
          <cell r="E1290" t="str">
            <v>Homo sapiens</v>
          </cell>
          <cell r="F1290" t="str">
            <v>Campylobacter jejuni</v>
          </cell>
          <cell r="G1290" t="str">
            <v>exact</v>
          </cell>
          <cell r="H1290" t="str">
            <v>CAMP0331(cmeB)_43</v>
          </cell>
          <cell r="I1290" t="str">
            <v>CAMP0331(cmeB)</v>
          </cell>
          <cell r="J1290">
            <v>43</v>
          </cell>
        </row>
        <row r="1291">
          <cell r="A1291" t="str">
            <v>SC1655</v>
          </cell>
          <cell r="B1291" t="str">
            <v>SRR17974282</v>
          </cell>
          <cell r="C1291">
            <v>6964</v>
          </cell>
          <cell r="D1291">
            <v>354</v>
          </cell>
          <cell r="E1291" t="str">
            <v>Homo sapiens</v>
          </cell>
          <cell r="F1291" t="str">
            <v>Campylobacter jejuni</v>
          </cell>
          <cell r="G1291" t="str">
            <v>exact</v>
          </cell>
          <cell r="H1291" t="str">
            <v>CAMP0331(cmeB)_1451</v>
          </cell>
          <cell r="I1291" t="str">
            <v>CAMP0331(cmeB)</v>
          </cell>
          <cell r="J1291">
            <v>1451</v>
          </cell>
        </row>
        <row r="1292">
          <cell r="A1292" t="str">
            <v>SC1654</v>
          </cell>
          <cell r="B1292" t="str">
            <v>SRR17974283</v>
          </cell>
          <cell r="C1292">
            <v>190</v>
          </cell>
          <cell r="D1292">
            <v>21</v>
          </cell>
          <cell r="E1292" t="str">
            <v>Homo sapiens</v>
          </cell>
          <cell r="F1292" t="str">
            <v>Campylobacter jejuni</v>
          </cell>
          <cell r="G1292" t="str">
            <v>exact</v>
          </cell>
          <cell r="H1292" t="str">
            <v>CAMP0331(cmeB)_604</v>
          </cell>
          <cell r="I1292" t="str">
            <v>CAMP0331(cmeB)</v>
          </cell>
          <cell r="J1292">
            <v>604</v>
          </cell>
        </row>
        <row r="1293">
          <cell r="A1293" t="str">
            <v>SC1651</v>
          </cell>
          <cell r="B1293" t="str">
            <v>SRR17974284</v>
          </cell>
          <cell r="C1293">
            <v>45</v>
          </cell>
          <cell r="D1293">
            <v>45</v>
          </cell>
          <cell r="E1293" t="str">
            <v>Homo sapiens</v>
          </cell>
          <cell r="F1293" t="str">
            <v>Campylobacter jejuni</v>
          </cell>
          <cell r="G1293" t="str">
            <v>exact</v>
          </cell>
          <cell r="H1293" t="str">
            <v>CAMP0331(cmeB)_5</v>
          </cell>
          <cell r="I1293" t="str">
            <v>CAMP0331(cmeB)</v>
          </cell>
          <cell r="J1293">
            <v>5</v>
          </cell>
        </row>
        <row r="1294">
          <cell r="A1294" t="str">
            <v>SC1650</v>
          </cell>
          <cell r="B1294" t="str">
            <v>SRR17974285</v>
          </cell>
          <cell r="C1294">
            <v>486</v>
          </cell>
          <cell r="D1294">
            <v>21</v>
          </cell>
          <cell r="E1294" t="str">
            <v>Homo sapiens</v>
          </cell>
          <cell r="F1294" t="str">
            <v>Campylobacter jejuni</v>
          </cell>
          <cell r="G1294" t="str">
            <v>exact</v>
          </cell>
          <cell r="H1294" t="str">
            <v>CAMP0331(cmeB)_1</v>
          </cell>
          <cell r="I1294" t="str">
            <v>CAMP0331(cmeB)</v>
          </cell>
          <cell r="J1294">
            <v>1</v>
          </cell>
        </row>
        <row r="1295">
          <cell r="A1295" t="str">
            <v>SC1648</v>
          </cell>
          <cell r="B1295" t="str">
            <v>SRR17974286</v>
          </cell>
          <cell r="C1295">
            <v>2026</v>
          </cell>
          <cell r="D1295">
            <v>403</v>
          </cell>
          <cell r="E1295" t="str">
            <v>Homo sapiens</v>
          </cell>
          <cell r="F1295" t="str">
            <v>Campylobacter jejuni</v>
          </cell>
          <cell r="G1295" t="str">
            <v>exact</v>
          </cell>
          <cell r="H1295" t="str">
            <v>CAMP0331(cmeB)_54</v>
          </cell>
          <cell r="I1295" t="str">
            <v>CAMP0331(cmeB)</v>
          </cell>
          <cell r="J1295">
            <v>54</v>
          </cell>
        </row>
        <row r="1296">
          <cell r="A1296" t="str">
            <v>SC1642</v>
          </cell>
          <cell r="B1296" t="str">
            <v>SRR17974287</v>
          </cell>
          <cell r="C1296">
            <v>61</v>
          </cell>
          <cell r="D1296">
            <v>61</v>
          </cell>
          <cell r="E1296" t="str">
            <v>Homo sapiens</v>
          </cell>
          <cell r="F1296" t="str">
            <v>Campylobacter jejuni</v>
          </cell>
          <cell r="G1296" t="str">
            <v>exact</v>
          </cell>
          <cell r="H1296" t="str">
            <v>CAMP0331(cmeB)_14</v>
          </cell>
          <cell r="I1296" t="str">
            <v>CAMP0331(cmeB)</v>
          </cell>
          <cell r="J1296">
            <v>14</v>
          </cell>
        </row>
        <row r="1297">
          <cell r="A1297" t="str">
            <v>SC1639</v>
          </cell>
          <cell r="B1297" t="str">
            <v>SRR17974288</v>
          </cell>
          <cell r="C1297">
            <v>48</v>
          </cell>
          <cell r="D1297">
            <v>48</v>
          </cell>
          <cell r="E1297" t="str">
            <v>Homo sapiens</v>
          </cell>
          <cell r="F1297" t="str">
            <v>Campylobacter jejuni</v>
          </cell>
          <cell r="G1297" t="str">
            <v>exact</v>
          </cell>
          <cell r="H1297" t="str">
            <v>CAMP0331(cmeB)_94</v>
          </cell>
          <cell r="I1297" t="str">
            <v>CAMP0331(cmeB)</v>
          </cell>
          <cell r="J1297">
            <v>94</v>
          </cell>
        </row>
        <row r="1298">
          <cell r="A1298" t="str">
            <v>SC1637</v>
          </cell>
          <cell r="B1298" t="str">
            <v>SRR17974289</v>
          </cell>
          <cell r="C1298">
            <v>474</v>
          </cell>
          <cell r="D1298">
            <v>48</v>
          </cell>
          <cell r="E1298" t="str">
            <v>Homo sapiens</v>
          </cell>
          <cell r="F1298" t="str">
            <v>Campylobacter jejuni</v>
          </cell>
          <cell r="G1298" t="str">
            <v>exact</v>
          </cell>
          <cell r="H1298" t="str">
            <v>CAMP0331(cmeB)_1</v>
          </cell>
          <cell r="I1298" t="str">
            <v>CAMP0331(cmeB)</v>
          </cell>
          <cell r="J1298">
            <v>1</v>
          </cell>
        </row>
        <row r="1299">
          <cell r="A1299" t="str">
            <v>SC1437</v>
          </cell>
          <cell r="B1299" t="str">
            <v>SRR17974290</v>
          </cell>
          <cell r="C1299">
            <v>2392</v>
          </cell>
          <cell r="D1299">
            <v>52</v>
          </cell>
          <cell r="E1299" t="str">
            <v>Ovis aries</v>
          </cell>
          <cell r="F1299" t="str">
            <v>Campylobacter jejuni</v>
          </cell>
          <cell r="G1299" t="str">
            <v>exact</v>
          </cell>
          <cell r="H1299" t="str">
            <v>CAMP0331(cmeB)_4945</v>
          </cell>
          <cell r="I1299" t="str">
            <v>CAMP0331(cmeB)</v>
          </cell>
          <cell r="J1299">
            <v>4945</v>
          </cell>
        </row>
        <row r="1300">
          <cell r="A1300" t="str">
            <v>SC1633</v>
          </cell>
          <cell r="B1300" t="str">
            <v>SRR17974291</v>
          </cell>
          <cell r="C1300">
            <v>3072</v>
          </cell>
          <cell r="D1300">
            <v>828</v>
          </cell>
          <cell r="E1300" t="str">
            <v>Ovis aries</v>
          </cell>
          <cell r="F1300" t="str">
            <v>Campylobacter coli</v>
          </cell>
          <cell r="G1300" t="str">
            <v>exact</v>
          </cell>
          <cell r="H1300" t="str">
            <v>CAMP0331(cmeB)_1205</v>
          </cell>
          <cell r="I1300" t="str">
            <v>CAMP0331(cmeB)</v>
          </cell>
          <cell r="J1300">
            <v>1205</v>
          </cell>
        </row>
        <row r="1301">
          <cell r="A1301" t="str">
            <v>SC1631</v>
          </cell>
          <cell r="B1301" t="str">
            <v>SRR17974293</v>
          </cell>
          <cell r="C1301">
            <v>3072</v>
          </cell>
          <cell r="D1301">
            <v>828</v>
          </cell>
          <cell r="E1301" t="str">
            <v>Ovis aries</v>
          </cell>
          <cell r="F1301" t="str">
            <v>Campylobacter coli</v>
          </cell>
          <cell r="G1301" t="str">
            <v>exact</v>
          </cell>
          <cell r="H1301" t="str">
            <v>CAMP0331(cmeB)_1205</v>
          </cell>
          <cell r="I1301" t="str">
            <v>CAMP0331(cmeB)</v>
          </cell>
          <cell r="J1301">
            <v>1205</v>
          </cell>
        </row>
        <row r="1302">
          <cell r="A1302" t="str">
            <v>SC1630</v>
          </cell>
          <cell r="B1302" t="str">
            <v>SRR17974294</v>
          </cell>
          <cell r="C1302">
            <v>61</v>
          </cell>
          <cell r="D1302">
            <v>61</v>
          </cell>
          <cell r="E1302" t="str">
            <v>Ovis aries</v>
          </cell>
          <cell r="F1302" t="str">
            <v>Campylobacter jejuni</v>
          </cell>
          <cell r="G1302" t="str">
            <v>exact</v>
          </cell>
          <cell r="H1302" t="str">
            <v>CAMP0331(cmeB)_14</v>
          </cell>
          <cell r="I1302" t="str">
            <v>CAMP0331(cmeB)</v>
          </cell>
          <cell r="J1302">
            <v>14</v>
          </cell>
        </row>
        <row r="1303">
          <cell r="A1303" t="str">
            <v>SC1629</v>
          </cell>
          <cell r="B1303" t="str">
            <v>SRR17974295</v>
          </cell>
          <cell r="C1303">
            <v>61</v>
          </cell>
          <cell r="D1303">
            <v>61</v>
          </cell>
          <cell r="E1303" t="str">
            <v>Ovis aries</v>
          </cell>
          <cell r="F1303" t="str">
            <v>Campylobacter jejuni</v>
          </cell>
          <cell r="G1303" t="str">
            <v>exact</v>
          </cell>
          <cell r="H1303" t="str">
            <v>CAMP0331(cmeB)_14</v>
          </cell>
          <cell r="I1303" t="str">
            <v>CAMP0331(cmeB)</v>
          </cell>
          <cell r="J1303">
            <v>14</v>
          </cell>
        </row>
        <row r="1304">
          <cell r="A1304" t="str">
            <v>SC1628</v>
          </cell>
          <cell r="B1304" t="str">
            <v>SRR17974296</v>
          </cell>
          <cell r="C1304">
            <v>2397</v>
          </cell>
          <cell r="D1304">
            <v>828</v>
          </cell>
          <cell r="E1304" t="str">
            <v>Ovis aries</v>
          </cell>
          <cell r="F1304" t="str">
            <v>Campylobacter coli</v>
          </cell>
          <cell r="G1304" t="str">
            <v>exact</v>
          </cell>
          <cell r="H1304" t="str">
            <v>CAMP0331(cmeB)_219</v>
          </cell>
          <cell r="I1304" t="str">
            <v>CAMP0331(cmeB)</v>
          </cell>
          <cell r="J1304">
            <v>219</v>
          </cell>
        </row>
        <row r="1305">
          <cell r="A1305" t="str">
            <v>SC1627</v>
          </cell>
          <cell r="B1305" t="str">
            <v>SRR17974297</v>
          </cell>
          <cell r="C1305">
            <v>42</v>
          </cell>
          <cell r="D1305">
            <v>42</v>
          </cell>
          <cell r="E1305" t="str">
            <v>Ovis aries</v>
          </cell>
          <cell r="F1305" t="str">
            <v>Campylobacter jejuni</v>
          </cell>
          <cell r="G1305" t="str">
            <v>exact</v>
          </cell>
          <cell r="H1305" t="str">
            <v>CAMP0331(cmeB)_22</v>
          </cell>
          <cell r="I1305" t="str">
            <v>CAMP0331(cmeB)</v>
          </cell>
          <cell r="J1305">
            <v>22</v>
          </cell>
        </row>
        <row r="1306">
          <cell r="A1306" t="str">
            <v>SC1626</v>
          </cell>
          <cell r="B1306" t="str">
            <v>SRR17974298</v>
          </cell>
          <cell r="C1306">
            <v>50</v>
          </cell>
          <cell r="D1306">
            <v>21</v>
          </cell>
          <cell r="E1306" t="str">
            <v>Ovis aries</v>
          </cell>
          <cell r="F1306" t="str">
            <v>Campylobacter jejuni</v>
          </cell>
          <cell r="G1306" t="str">
            <v>exact</v>
          </cell>
          <cell r="H1306" t="str">
            <v>CAMP0331(cmeB)_1</v>
          </cell>
          <cell r="I1306" t="str">
            <v>CAMP0331(cmeB)</v>
          </cell>
          <cell r="J1306">
            <v>1</v>
          </cell>
        </row>
        <row r="1307">
          <cell r="A1307" t="str">
            <v>SC1625</v>
          </cell>
          <cell r="B1307" t="str">
            <v>SRR17974299</v>
          </cell>
          <cell r="C1307">
            <v>2026</v>
          </cell>
          <cell r="D1307">
            <v>403</v>
          </cell>
          <cell r="E1307" t="str">
            <v>Ovis aries</v>
          </cell>
          <cell r="F1307" t="str">
            <v>Campylobacter jejuni</v>
          </cell>
          <cell r="G1307" t="str">
            <v>exact</v>
          </cell>
          <cell r="H1307" t="str">
            <v>CAMP0331(cmeB)_54</v>
          </cell>
          <cell r="I1307" t="str">
            <v>CAMP0331(cmeB)</v>
          </cell>
          <cell r="J1307">
            <v>54</v>
          </cell>
        </row>
        <row r="1308">
          <cell r="A1308" t="str">
            <v>SC1624</v>
          </cell>
          <cell r="B1308" t="str">
            <v>SRR17974300</v>
          </cell>
          <cell r="C1308">
            <v>3072</v>
          </cell>
          <cell r="D1308">
            <v>828</v>
          </cell>
          <cell r="E1308" t="str">
            <v>Ovis aries</v>
          </cell>
          <cell r="F1308" t="str">
            <v>Campylobacter coli</v>
          </cell>
          <cell r="G1308" t="str">
            <v>exact</v>
          </cell>
          <cell r="H1308" t="str">
            <v>CAMP0331(cmeB)_1205</v>
          </cell>
          <cell r="I1308" t="str">
            <v>CAMP0331(cmeB)</v>
          </cell>
          <cell r="J1308">
            <v>1205</v>
          </cell>
        </row>
        <row r="1309">
          <cell r="A1309" t="str">
            <v>SC1435</v>
          </cell>
          <cell r="B1309" t="str">
            <v>SRR17974301</v>
          </cell>
          <cell r="C1309">
            <v>21</v>
          </cell>
          <cell r="D1309">
            <v>21</v>
          </cell>
          <cell r="E1309" t="str">
            <v>Homo sapiens</v>
          </cell>
          <cell r="F1309" t="str">
            <v>Campylobacter jejuni</v>
          </cell>
          <cell r="G1309" t="str">
            <v>exact</v>
          </cell>
          <cell r="H1309" t="str">
            <v>CAMP0331(cmeB)_604</v>
          </cell>
          <cell r="I1309" t="str">
            <v>CAMP0331(cmeB)</v>
          </cell>
          <cell r="J1309">
            <v>604</v>
          </cell>
        </row>
        <row r="1310">
          <cell r="A1310" t="str">
            <v>SC1623</v>
          </cell>
          <cell r="B1310" t="str">
            <v>SRR17974302</v>
          </cell>
          <cell r="C1310">
            <v>618</v>
          </cell>
          <cell r="D1310">
            <v>61</v>
          </cell>
          <cell r="E1310" t="str">
            <v>Ovis aries</v>
          </cell>
          <cell r="F1310" t="str">
            <v>Campylobacter jejuni</v>
          </cell>
          <cell r="G1310" t="str">
            <v>exact</v>
          </cell>
          <cell r="H1310" t="str">
            <v>CAMP0331(cmeB)_14</v>
          </cell>
          <cell r="I1310" t="str">
            <v>CAMP0331(cmeB)</v>
          </cell>
          <cell r="J1310">
            <v>14</v>
          </cell>
        </row>
        <row r="1311">
          <cell r="A1311" t="str">
            <v>SC1622</v>
          </cell>
          <cell r="B1311" t="str">
            <v>SRR17974303</v>
          </cell>
          <cell r="C1311">
            <v>50</v>
          </cell>
          <cell r="D1311">
            <v>21</v>
          </cell>
          <cell r="E1311" t="str">
            <v>Ovis aries</v>
          </cell>
          <cell r="F1311" t="str">
            <v>Campylobacter jejuni</v>
          </cell>
          <cell r="G1311" t="str">
            <v>exact</v>
          </cell>
          <cell r="H1311" t="str">
            <v>CAMP0331(cmeB)_637</v>
          </cell>
          <cell r="I1311" t="str">
            <v>CAMP0331(cmeB)</v>
          </cell>
          <cell r="J1311">
            <v>637</v>
          </cell>
        </row>
        <row r="1312">
          <cell r="A1312" t="str">
            <v>SC1621</v>
          </cell>
          <cell r="B1312" t="str">
            <v>SRR17974304</v>
          </cell>
          <cell r="C1312">
            <v>50</v>
          </cell>
          <cell r="D1312">
            <v>21</v>
          </cell>
          <cell r="E1312" t="str">
            <v>Ovis aries</v>
          </cell>
          <cell r="F1312" t="str">
            <v>Campylobacter jejuni</v>
          </cell>
          <cell r="G1312" t="str">
            <v>exact</v>
          </cell>
          <cell r="H1312" t="str">
            <v>CAMP0331(cmeB)_637</v>
          </cell>
          <cell r="I1312" t="str">
            <v>CAMP0331(cmeB)</v>
          </cell>
          <cell r="J1312">
            <v>637</v>
          </cell>
        </row>
        <row r="1313">
          <cell r="A1313" t="str">
            <v>SC1620</v>
          </cell>
          <cell r="B1313" t="str">
            <v>SRR17974305</v>
          </cell>
          <cell r="C1313">
            <v>61</v>
          </cell>
          <cell r="D1313">
            <v>61</v>
          </cell>
          <cell r="E1313" t="str">
            <v>Ovis aries</v>
          </cell>
          <cell r="F1313" t="str">
            <v>Campylobacter jejuni</v>
          </cell>
          <cell r="G1313" t="str">
            <v>exact</v>
          </cell>
          <cell r="H1313" t="str">
            <v>CAMP0331(cmeB)_14</v>
          </cell>
          <cell r="I1313" t="str">
            <v>CAMP0331(cmeB)</v>
          </cell>
          <cell r="J1313">
            <v>14</v>
          </cell>
        </row>
        <row r="1314">
          <cell r="A1314" t="str">
            <v>SC1619</v>
          </cell>
          <cell r="B1314" t="str">
            <v>SRR17974306</v>
          </cell>
          <cell r="C1314">
            <v>50</v>
          </cell>
          <cell r="D1314">
            <v>21</v>
          </cell>
          <cell r="E1314" t="str">
            <v>Ovis aries</v>
          </cell>
          <cell r="F1314" t="str">
            <v>Campylobacter jejuni</v>
          </cell>
          <cell r="G1314" t="str">
            <v>exact</v>
          </cell>
          <cell r="H1314" t="str">
            <v>CAMP0331(cmeB)_637</v>
          </cell>
          <cell r="I1314" t="str">
            <v>CAMP0331(cmeB)</v>
          </cell>
          <cell r="J1314">
            <v>637</v>
          </cell>
        </row>
        <row r="1315">
          <cell r="A1315" t="str">
            <v>SC1618</v>
          </cell>
          <cell r="B1315" t="str">
            <v>SRR17974307</v>
          </cell>
          <cell r="C1315">
            <v>3072</v>
          </cell>
          <cell r="D1315">
            <v>828</v>
          </cell>
          <cell r="E1315" t="str">
            <v>Ovis aries</v>
          </cell>
          <cell r="F1315" t="str">
            <v>Campylobacter coli</v>
          </cell>
          <cell r="G1315" t="str">
            <v>exact</v>
          </cell>
          <cell r="H1315" t="str">
            <v>CAMP0331(cmeB)_1205</v>
          </cell>
          <cell r="I1315" t="str">
            <v>CAMP0331(cmeB)</v>
          </cell>
          <cell r="J1315">
            <v>1205</v>
          </cell>
        </row>
        <row r="1316">
          <cell r="A1316" t="str">
            <v>SC1617</v>
          </cell>
          <cell r="B1316" t="str">
            <v>SRR17974308</v>
          </cell>
          <cell r="C1316">
            <v>3072</v>
          </cell>
          <cell r="D1316">
            <v>828</v>
          </cell>
          <cell r="E1316" t="str">
            <v>Ovis aries</v>
          </cell>
          <cell r="F1316" t="str">
            <v>Campylobacter coli</v>
          </cell>
          <cell r="G1316" t="str">
            <v>exact</v>
          </cell>
          <cell r="H1316" t="str">
            <v>CAMP0331(cmeB)_1205</v>
          </cell>
          <cell r="I1316" t="str">
            <v>CAMP0331(cmeB)</v>
          </cell>
          <cell r="J1316">
            <v>1205</v>
          </cell>
        </row>
        <row r="1317">
          <cell r="A1317" t="str">
            <v>SC1615</v>
          </cell>
          <cell r="B1317" t="str">
            <v>SRR17974310</v>
          </cell>
          <cell r="C1317">
            <v>42</v>
          </cell>
          <cell r="D1317">
            <v>42</v>
          </cell>
          <cell r="E1317" t="str">
            <v>Bos taurus taurus</v>
          </cell>
          <cell r="F1317" t="str">
            <v>Campylobacter jejuni</v>
          </cell>
          <cell r="G1317" t="str">
            <v>exact</v>
          </cell>
          <cell r="H1317" t="str">
            <v>CAMP0331(cmeB)_22</v>
          </cell>
          <cell r="I1317" t="str">
            <v>CAMP0331(cmeB)</v>
          </cell>
          <cell r="J1317">
            <v>22</v>
          </cell>
        </row>
        <row r="1318">
          <cell r="A1318" t="str">
            <v>SC1614</v>
          </cell>
          <cell r="B1318" t="str">
            <v>SRR17974311</v>
          </cell>
          <cell r="C1318">
            <v>4337</v>
          </cell>
          <cell r="D1318">
            <v>21</v>
          </cell>
          <cell r="E1318" t="str">
            <v>Bos taurus taurus</v>
          </cell>
          <cell r="F1318" t="str">
            <v>Campylobacter jejuni</v>
          </cell>
          <cell r="G1318" t="str">
            <v>exact</v>
          </cell>
          <cell r="H1318" t="str">
            <v>CAMP0331(cmeB)_604</v>
          </cell>
          <cell r="I1318" t="str">
            <v>CAMP0331(cmeB)</v>
          </cell>
          <cell r="J1318">
            <v>604</v>
          </cell>
        </row>
        <row r="1319">
          <cell r="A1319" t="str">
            <v>SC1433</v>
          </cell>
          <cell r="B1319" t="str">
            <v>SRR17974312</v>
          </cell>
          <cell r="C1319">
            <v>45</v>
          </cell>
          <cell r="D1319">
            <v>45</v>
          </cell>
          <cell r="E1319" t="str">
            <v>Homo sapiens</v>
          </cell>
          <cell r="F1319" t="str">
            <v>Campylobacter jejuni</v>
          </cell>
          <cell r="G1319" t="str">
            <v>exact</v>
          </cell>
          <cell r="H1319" t="str">
            <v>CAMP0331(cmeB)_5</v>
          </cell>
          <cell r="I1319" t="str">
            <v>CAMP0331(cmeB)</v>
          </cell>
          <cell r="J1319">
            <v>5</v>
          </cell>
        </row>
        <row r="1320">
          <cell r="A1320" t="str">
            <v>SC1613</v>
          </cell>
          <cell r="B1320" t="str">
            <v>SRR17974313</v>
          </cell>
          <cell r="C1320">
            <v>42</v>
          </cell>
          <cell r="D1320">
            <v>42</v>
          </cell>
          <cell r="E1320" t="str">
            <v>Bos taurus taurus</v>
          </cell>
          <cell r="F1320" t="str">
            <v>Campylobacter jejuni</v>
          </cell>
          <cell r="G1320" t="str">
            <v>exact</v>
          </cell>
          <cell r="H1320" t="str">
            <v>CAMP0331(cmeB)_22</v>
          </cell>
          <cell r="I1320" t="str">
            <v>CAMP0331(cmeB)</v>
          </cell>
          <cell r="J1320">
            <v>22</v>
          </cell>
        </row>
        <row r="1321">
          <cell r="A1321" t="str">
            <v>SC1612</v>
          </cell>
          <cell r="B1321" t="str">
            <v>SRR17974314</v>
          </cell>
          <cell r="C1321">
            <v>0</v>
          </cell>
          <cell r="D1321">
            <v>0</v>
          </cell>
          <cell r="E1321" t="str">
            <v>Bos taurus taurus</v>
          </cell>
          <cell r="F1321" t="str">
            <v>Campylobacter coli</v>
          </cell>
          <cell r="G1321" t="str">
            <v>exact</v>
          </cell>
          <cell r="H1321" t="str">
            <v>CAMP0331(cmeB)_1205</v>
          </cell>
          <cell r="I1321" t="str">
            <v>CAMP0331(cmeB)</v>
          </cell>
          <cell r="J1321">
            <v>1205</v>
          </cell>
        </row>
        <row r="1322">
          <cell r="A1322" t="str">
            <v>SC1609</v>
          </cell>
          <cell r="B1322" t="str">
            <v>SRR17974315</v>
          </cell>
          <cell r="C1322">
            <v>474</v>
          </cell>
          <cell r="D1322">
            <v>48</v>
          </cell>
          <cell r="E1322" t="str">
            <v>Homo sapiens</v>
          </cell>
          <cell r="F1322" t="str">
            <v>Campylobacter jejuni</v>
          </cell>
          <cell r="G1322" t="str">
            <v>exact</v>
          </cell>
          <cell r="H1322" t="str">
            <v>CAMP0331(cmeB)_1</v>
          </cell>
          <cell r="I1322" t="str">
            <v>CAMP0331(cmeB)</v>
          </cell>
          <cell r="J1322">
            <v>1</v>
          </cell>
        </row>
        <row r="1323">
          <cell r="A1323" t="str">
            <v>SC1607</v>
          </cell>
          <cell r="B1323" t="str">
            <v>SRR17974316</v>
          </cell>
          <cell r="C1323">
            <v>53</v>
          </cell>
          <cell r="D1323">
            <v>21</v>
          </cell>
          <cell r="E1323" t="str">
            <v>Homo sapiens</v>
          </cell>
          <cell r="F1323" t="str">
            <v>Campylobacter jejuni</v>
          </cell>
          <cell r="G1323" t="str">
            <v>exact</v>
          </cell>
          <cell r="H1323" t="str">
            <v>CAMP0331(cmeB)_604</v>
          </cell>
          <cell r="I1323" t="str">
            <v>CAMP0331(cmeB)</v>
          </cell>
          <cell r="J1323">
            <v>604</v>
          </cell>
        </row>
        <row r="1324">
          <cell r="A1324" t="str">
            <v>SC1606</v>
          </cell>
          <cell r="B1324" t="str">
            <v>SRR17974317</v>
          </cell>
          <cell r="C1324">
            <v>42</v>
          </cell>
          <cell r="D1324">
            <v>42</v>
          </cell>
          <cell r="E1324" t="str">
            <v>Homo sapiens</v>
          </cell>
          <cell r="F1324" t="str">
            <v>Campylobacter jejuni</v>
          </cell>
          <cell r="G1324" t="str">
            <v>exact</v>
          </cell>
          <cell r="H1324" t="str">
            <v>CAMP0331(cmeB)_22</v>
          </cell>
          <cell r="I1324" t="str">
            <v>CAMP0331(cmeB)</v>
          </cell>
          <cell r="J1324">
            <v>22</v>
          </cell>
        </row>
        <row r="1325">
          <cell r="A1325" t="str">
            <v>SC1605</v>
          </cell>
          <cell r="B1325" t="str">
            <v>SRR17974318</v>
          </cell>
          <cell r="C1325">
            <v>45</v>
          </cell>
          <cell r="D1325">
            <v>45</v>
          </cell>
          <cell r="E1325" t="str">
            <v>Homo sapiens</v>
          </cell>
          <cell r="F1325" t="str">
            <v>Campylobacter jejuni</v>
          </cell>
          <cell r="G1325" t="str">
            <v>exact</v>
          </cell>
          <cell r="H1325" t="str">
            <v>CAMP0331(cmeB)_3616</v>
          </cell>
          <cell r="I1325" t="str">
            <v>CAMP0331(cmeB)</v>
          </cell>
          <cell r="J1325">
            <v>3616</v>
          </cell>
        </row>
        <row r="1326">
          <cell r="A1326" t="str">
            <v>SC1604</v>
          </cell>
          <cell r="B1326" t="str">
            <v>SRR17974319</v>
          </cell>
          <cell r="C1326">
            <v>474</v>
          </cell>
          <cell r="D1326">
            <v>48</v>
          </cell>
          <cell r="E1326" t="str">
            <v>Homo sapiens</v>
          </cell>
          <cell r="F1326" t="str">
            <v>Campylobacter jejuni</v>
          </cell>
          <cell r="G1326" t="str">
            <v>exact</v>
          </cell>
          <cell r="H1326" t="str">
            <v>CAMP0331(cmeB)_1</v>
          </cell>
          <cell r="I1326" t="str">
            <v>CAMP0331(cmeB)</v>
          </cell>
          <cell r="J1326">
            <v>1</v>
          </cell>
        </row>
        <row r="1327">
          <cell r="A1327" t="str">
            <v>SC1599</v>
          </cell>
          <cell r="B1327" t="str">
            <v>SRR17974320</v>
          </cell>
          <cell r="C1327">
            <v>3072</v>
          </cell>
          <cell r="D1327">
            <v>828</v>
          </cell>
          <cell r="E1327" t="str">
            <v>Bos taurus taurus</v>
          </cell>
          <cell r="F1327" t="str">
            <v>Campylobacter coli</v>
          </cell>
          <cell r="G1327" t="str">
            <v>exact</v>
          </cell>
          <cell r="H1327" t="str">
            <v>CAMP0331(cmeB)_1205</v>
          </cell>
          <cell r="I1327" t="str">
            <v>CAMP0331(cmeB)</v>
          </cell>
          <cell r="J1327">
            <v>1205</v>
          </cell>
        </row>
        <row r="1328">
          <cell r="A1328" t="str">
            <v>SC1598</v>
          </cell>
          <cell r="B1328" t="str">
            <v>SRR17974321</v>
          </cell>
          <cell r="C1328">
            <v>436</v>
          </cell>
          <cell r="D1328">
            <v>0</v>
          </cell>
          <cell r="E1328" t="str">
            <v>Bos taurus taurus</v>
          </cell>
          <cell r="F1328" t="str">
            <v>Campylobacter jejuni</v>
          </cell>
          <cell r="G1328" t="str">
            <v>exact</v>
          </cell>
          <cell r="H1328" t="str">
            <v>CAMP0331(cmeB)_252</v>
          </cell>
          <cell r="I1328" t="str">
            <v>CAMP0331(cmeB)</v>
          </cell>
          <cell r="J1328">
            <v>252</v>
          </cell>
        </row>
        <row r="1329">
          <cell r="A1329" t="str">
            <v>SC1597</v>
          </cell>
          <cell r="B1329" t="str">
            <v>SRR17974322</v>
          </cell>
          <cell r="C1329">
            <v>61</v>
          </cell>
          <cell r="D1329">
            <v>61</v>
          </cell>
          <cell r="E1329" t="str">
            <v>Bos taurus taurus</v>
          </cell>
          <cell r="F1329" t="str">
            <v>Campylobacter jejuni</v>
          </cell>
          <cell r="G1329" t="str">
            <v>exact</v>
          </cell>
          <cell r="H1329" t="str">
            <v>CAMP0331(cmeB)_14</v>
          </cell>
          <cell r="I1329" t="str">
            <v>CAMP0331(cmeB)</v>
          </cell>
          <cell r="J1329">
            <v>14</v>
          </cell>
        </row>
        <row r="1330">
          <cell r="A1330" t="str">
            <v>SC1432</v>
          </cell>
          <cell r="B1330" t="str">
            <v>SRR17974323</v>
          </cell>
          <cell r="C1330">
            <v>48</v>
          </cell>
          <cell r="D1330">
            <v>48</v>
          </cell>
          <cell r="E1330" t="str">
            <v>Homo sapiens</v>
          </cell>
          <cell r="F1330" t="str">
            <v>Campylobacter jejuni</v>
          </cell>
          <cell r="G1330" t="str">
            <v>exact</v>
          </cell>
          <cell r="H1330" t="str">
            <v>CAMP0331(cmeB)_94</v>
          </cell>
          <cell r="I1330" t="str">
            <v>CAMP0331(cmeB)</v>
          </cell>
          <cell r="J1330">
            <v>94</v>
          </cell>
        </row>
        <row r="1331">
          <cell r="A1331" t="str">
            <v>SC1596</v>
          </cell>
          <cell r="B1331" t="str">
            <v>SRR17974324</v>
          </cell>
          <cell r="C1331">
            <v>3676</v>
          </cell>
          <cell r="D1331">
            <v>42</v>
          </cell>
          <cell r="E1331" t="str">
            <v>Bos taurus taurus</v>
          </cell>
          <cell r="F1331" t="str">
            <v>Campylobacter jejuni</v>
          </cell>
          <cell r="G1331" t="str">
            <v>exact</v>
          </cell>
          <cell r="H1331" t="str">
            <v>CAMP0331(cmeB)_22</v>
          </cell>
          <cell r="I1331" t="str">
            <v>CAMP0331(cmeB)</v>
          </cell>
          <cell r="J1331">
            <v>22</v>
          </cell>
        </row>
        <row r="1332">
          <cell r="A1332" t="str">
            <v>SC1595</v>
          </cell>
          <cell r="B1332" t="str">
            <v>SRR17974325</v>
          </cell>
          <cell r="C1332">
            <v>1517</v>
          </cell>
          <cell r="D1332">
            <v>354</v>
          </cell>
          <cell r="E1332" t="str">
            <v>Bos taurus taurus</v>
          </cell>
          <cell r="F1332" t="str">
            <v>Campylobacter jejuni</v>
          </cell>
          <cell r="G1332" t="str">
            <v>exact</v>
          </cell>
          <cell r="H1332" t="str">
            <v>CAMP0331(cmeB)_233</v>
          </cell>
          <cell r="I1332" t="str">
            <v>CAMP0331(cmeB)</v>
          </cell>
          <cell r="J1332">
            <v>233</v>
          </cell>
        </row>
        <row r="1333">
          <cell r="A1333" t="str">
            <v>SC1594</v>
          </cell>
          <cell r="B1333" t="str">
            <v>SRR17974326</v>
          </cell>
          <cell r="C1333">
            <v>1581</v>
          </cell>
          <cell r="D1333">
            <v>0</v>
          </cell>
          <cell r="E1333" t="str">
            <v>Bos taurus taurus</v>
          </cell>
          <cell r="F1333" t="str">
            <v>Campylobacter coli</v>
          </cell>
          <cell r="G1333" t="str">
            <v>exact</v>
          </cell>
          <cell r="H1333" t="str">
            <v>CAMP0331(cmeB)_690</v>
          </cell>
          <cell r="I1333" t="str">
            <v>CAMP0331(cmeB)</v>
          </cell>
          <cell r="J1333">
            <v>690</v>
          </cell>
        </row>
        <row r="1334">
          <cell r="A1334" t="str">
            <v>SC1593</v>
          </cell>
          <cell r="B1334" t="str">
            <v>SRR17974327</v>
          </cell>
          <cell r="C1334">
            <v>38</v>
          </cell>
          <cell r="D1334">
            <v>48</v>
          </cell>
          <cell r="E1334" t="str">
            <v>Bos taurus taurus</v>
          </cell>
          <cell r="F1334" t="str">
            <v>Campylobacter jejuni</v>
          </cell>
          <cell r="G1334" t="str">
            <v>exact</v>
          </cell>
          <cell r="H1334" t="str">
            <v>CAMP0331(cmeB)_14</v>
          </cell>
          <cell r="I1334" t="str">
            <v>CAMP0331(cmeB)</v>
          </cell>
          <cell r="J1334">
            <v>14</v>
          </cell>
        </row>
        <row r="1335">
          <cell r="A1335" t="str">
            <v>SC0010</v>
          </cell>
          <cell r="B1335" t="str">
            <v>SRR17898856</v>
          </cell>
          <cell r="C1335">
            <v>3222</v>
          </cell>
          <cell r="D1335">
            <v>0</v>
          </cell>
          <cell r="E1335" t="str">
            <v>Ovis aries</v>
          </cell>
          <cell r="F1335" t="str">
            <v>Campylobacter coli</v>
          </cell>
          <cell r="G1335" t="str">
            <v>NEW</v>
          </cell>
          <cell r="H1335" t="str">
            <v>NEW</v>
          </cell>
          <cell r="I1335" t="str">
            <v>CAMP0331 (cmeB)</v>
          </cell>
          <cell r="J1335">
            <v>1205</v>
          </cell>
        </row>
        <row r="1336">
          <cell r="A1336" t="str">
            <v>SC0009</v>
          </cell>
          <cell r="B1336" t="str">
            <v>SRR17898857</v>
          </cell>
          <cell r="C1336">
            <v>3222</v>
          </cell>
          <cell r="D1336">
            <v>0</v>
          </cell>
          <cell r="E1336" t="str">
            <v>Ovis aries</v>
          </cell>
          <cell r="F1336" t="str">
            <v>Campylobacter coli</v>
          </cell>
          <cell r="G1336" t="str">
            <v>NEW</v>
          </cell>
          <cell r="H1336" t="str">
            <v>NEW</v>
          </cell>
          <cell r="I1336" t="str">
            <v>CAMP0331 (cmeB)</v>
          </cell>
          <cell r="J1336">
            <v>1205</v>
          </cell>
        </row>
        <row r="1337">
          <cell r="A1337" t="str">
            <v>SC0486</v>
          </cell>
          <cell r="B1337" t="str">
            <v>SRR17900381</v>
          </cell>
          <cell r="C1337">
            <v>3232</v>
          </cell>
          <cell r="D1337">
            <v>828</v>
          </cell>
          <cell r="E1337" t="str">
            <v>Ovis aries</v>
          </cell>
          <cell r="F1337" t="str">
            <v>Campylobacter coli</v>
          </cell>
          <cell r="G1337" t="str">
            <v>NEW</v>
          </cell>
          <cell r="H1337" t="str">
            <v>NEW</v>
          </cell>
          <cell r="I1337" t="str">
            <v>CAMP0331 (cmeB)</v>
          </cell>
          <cell r="J1337">
            <v>85</v>
          </cell>
        </row>
        <row r="1338">
          <cell r="A1338" t="str">
            <v>SC0476</v>
          </cell>
          <cell r="B1338" t="str">
            <v>SRR17900392</v>
          </cell>
          <cell r="C1338">
            <v>2256</v>
          </cell>
          <cell r="D1338">
            <v>828</v>
          </cell>
          <cell r="E1338" t="str">
            <v>Gallus gallus</v>
          </cell>
          <cell r="F1338" t="str">
            <v>Campylobacter coli</v>
          </cell>
          <cell r="G1338" t="str">
            <v>NEW</v>
          </cell>
          <cell r="H1338" t="str">
            <v>NEW</v>
          </cell>
          <cell r="I1338" t="str">
            <v>CAMP0331 (cmeB)</v>
          </cell>
          <cell r="J1338">
            <v>4483</v>
          </cell>
        </row>
        <row r="1339">
          <cell r="A1339" t="str">
            <v>SC0454</v>
          </cell>
          <cell r="B1339" t="str">
            <v>SRR17900576</v>
          </cell>
          <cell r="C1339">
            <v>2256</v>
          </cell>
          <cell r="D1339">
            <v>828</v>
          </cell>
          <cell r="E1339" t="str">
            <v>Gallus gallus</v>
          </cell>
          <cell r="F1339" t="str">
            <v>Campylobacter coli</v>
          </cell>
          <cell r="G1339" t="str">
            <v>NEW</v>
          </cell>
          <cell r="H1339" t="str">
            <v>NEW</v>
          </cell>
          <cell r="I1339" t="str">
            <v>CAMP0331 (cmeB)</v>
          </cell>
          <cell r="J1339">
            <v>4483</v>
          </cell>
        </row>
        <row r="1340">
          <cell r="A1340" t="str">
            <v>SC0861</v>
          </cell>
          <cell r="B1340" t="str">
            <v>SRR17925216</v>
          </cell>
          <cell r="C1340">
            <v>7677</v>
          </cell>
          <cell r="D1340">
            <v>0</v>
          </cell>
          <cell r="E1340" t="str">
            <v>Ovis aries</v>
          </cell>
          <cell r="F1340" t="str">
            <v>Campylobacter coli</v>
          </cell>
          <cell r="G1340" t="str">
            <v>NEW</v>
          </cell>
          <cell r="H1340" t="str">
            <v>NEW</v>
          </cell>
          <cell r="I1340" t="str">
            <v>CAMP0331 (cmeB)</v>
          </cell>
          <cell r="J1340">
            <v>3089</v>
          </cell>
        </row>
        <row r="1341">
          <cell r="A1341" t="str">
            <v>SC0853</v>
          </cell>
          <cell r="B1341" t="str">
            <v>SRR17925225</v>
          </cell>
          <cell r="C1341">
            <v>3232</v>
          </cell>
          <cell r="D1341">
            <v>828</v>
          </cell>
          <cell r="E1341" t="str">
            <v>Ovis aries</v>
          </cell>
          <cell r="F1341" t="str">
            <v>Campylobacter coli</v>
          </cell>
          <cell r="G1341" t="str">
            <v>NEW</v>
          </cell>
          <cell r="H1341" t="str">
            <v>NEW</v>
          </cell>
          <cell r="I1341" t="str">
            <v>CAMP0331 (cmeB)</v>
          </cell>
          <cell r="J1341">
            <v>85</v>
          </cell>
        </row>
        <row r="1342">
          <cell r="A1342" t="str">
            <v>SC0742</v>
          </cell>
          <cell r="B1342" t="str">
            <v>SRR17925238</v>
          </cell>
          <cell r="C1342">
            <v>8926</v>
          </cell>
          <cell r="D1342">
            <v>828</v>
          </cell>
          <cell r="E1342" t="str">
            <v>Gallus gallus</v>
          </cell>
          <cell r="F1342" t="str">
            <v>Campylobacter coli</v>
          </cell>
          <cell r="G1342" t="str">
            <v>NEW</v>
          </cell>
          <cell r="H1342" t="str">
            <v>NEW</v>
          </cell>
          <cell r="I1342" t="str">
            <v>CAMP0331 (cmeB)</v>
          </cell>
          <cell r="J1342">
            <v>4483</v>
          </cell>
        </row>
        <row r="1343">
          <cell r="A1343" t="str">
            <v>SC0504</v>
          </cell>
          <cell r="B1343" t="str">
            <v>SRR17925266</v>
          </cell>
          <cell r="C1343">
            <v>8926</v>
          </cell>
          <cell r="D1343">
            <v>828</v>
          </cell>
          <cell r="E1343" t="str">
            <v>Gallus gallus</v>
          </cell>
          <cell r="F1343" t="str">
            <v>Campylobacter coli</v>
          </cell>
          <cell r="G1343" t="str">
            <v>NEW</v>
          </cell>
          <cell r="H1343" t="str">
            <v>NEW</v>
          </cell>
          <cell r="I1343" t="str">
            <v>CAMP0331 (cmeB)</v>
          </cell>
          <cell r="J1343">
            <v>4483</v>
          </cell>
        </row>
        <row r="1344">
          <cell r="A1344" t="str">
            <v>SC0760</v>
          </cell>
          <cell r="B1344" t="str">
            <v>SRR17925314</v>
          </cell>
          <cell r="C1344">
            <v>854</v>
          </cell>
          <cell r="D1344">
            <v>828</v>
          </cell>
          <cell r="E1344" t="str">
            <v>Homo sapiens</v>
          </cell>
          <cell r="F1344" t="str">
            <v>Campylobacter coli</v>
          </cell>
          <cell r="G1344" t="str">
            <v>NEW</v>
          </cell>
          <cell r="H1344" t="str">
            <v>NEW</v>
          </cell>
          <cell r="I1344" t="str">
            <v>CAMP0331 (cmeB)</v>
          </cell>
          <cell r="J1344">
            <v>4483</v>
          </cell>
        </row>
        <row r="1345">
          <cell r="A1345" t="str">
            <v>SC0632</v>
          </cell>
          <cell r="B1345" t="str">
            <v>SRR17925356</v>
          </cell>
          <cell r="C1345">
            <v>8926</v>
          </cell>
          <cell r="D1345">
            <v>828</v>
          </cell>
          <cell r="E1345" t="str">
            <v>Homo sapiens</v>
          </cell>
          <cell r="F1345" t="str">
            <v>Campylobacter coli</v>
          </cell>
          <cell r="G1345" t="str">
            <v>NEW</v>
          </cell>
          <cell r="H1345" t="str">
            <v>NEW</v>
          </cell>
          <cell r="I1345" t="str">
            <v>CAMP0331 (cmeB)</v>
          </cell>
          <cell r="J1345">
            <v>4483</v>
          </cell>
        </row>
        <row r="1346">
          <cell r="A1346" t="str">
            <v>SC1703</v>
          </cell>
          <cell r="B1346" t="str">
            <v>SRR17974135</v>
          </cell>
          <cell r="C1346">
            <v>854</v>
          </cell>
          <cell r="D1346">
            <v>828</v>
          </cell>
          <cell r="E1346" t="str">
            <v>Gallus gallus</v>
          </cell>
          <cell r="F1346" t="str">
            <v>Campylobacter coli</v>
          </cell>
          <cell r="G1346" t="str">
            <v>NEW</v>
          </cell>
          <cell r="H1346" t="str">
            <v>NEW</v>
          </cell>
          <cell r="I1346" t="str">
            <v>CAMP0331 (cmeB)</v>
          </cell>
          <cell r="J1346">
            <v>4483</v>
          </cell>
        </row>
        <row r="1347">
          <cell r="A1347" t="str">
            <v>SC1689</v>
          </cell>
          <cell r="B1347" t="str">
            <v>SRR17974151</v>
          </cell>
          <cell r="C1347">
            <v>1096</v>
          </cell>
          <cell r="D1347">
            <v>828</v>
          </cell>
          <cell r="E1347" t="str">
            <v>Bos taurus taurus</v>
          </cell>
          <cell r="F1347" t="str">
            <v>Campylobacter coli</v>
          </cell>
          <cell r="G1347" t="str">
            <v>NEW</v>
          </cell>
          <cell r="H1347" t="str">
            <v>NEW</v>
          </cell>
          <cell r="I1347" t="str">
            <v>CAMP0331 (cmeB)</v>
          </cell>
          <cell r="J1347">
            <v>3388</v>
          </cell>
        </row>
        <row r="1348">
          <cell r="A1348" t="str">
            <v>SC0235</v>
          </cell>
          <cell r="B1348" t="str">
            <v>SRR17900553</v>
          </cell>
          <cell r="C1348">
            <v>2081</v>
          </cell>
          <cell r="D1348">
            <v>0</v>
          </cell>
          <cell r="E1348" t="str">
            <v>Homo sapiens</v>
          </cell>
          <cell r="F1348" t="str">
            <v>Campylobacter jejuni</v>
          </cell>
          <cell r="G1348" t="str">
            <v>NEW</v>
          </cell>
          <cell r="H1348" t="str">
            <v>NEW</v>
          </cell>
          <cell r="I1348" t="str">
            <v>CAMP0331 (cmeB)</v>
          </cell>
          <cell r="J1348">
            <v>1092</v>
          </cell>
        </row>
        <row r="1349">
          <cell r="A1349" t="str">
            <v>SC0963</v>
          </cell>
          <cell r="B1349" t="str">
            <v>SRR17929533</v>
          </cell>
          <cell r="C1349">
            <v>0</v>
          </cell>
          <cell r="D1349">
            <v>0</v>
          </cell>
          <cell r="E1349" t="str">
            <v>Bos taurus taurus</v>
          </cell>
          <cell r="F1349" t="str">
            <v>Campylobacter jejuni</v>
          </cell>
          <cell r="G1349" t="str">
            <v>NEW</v>
          </cell>
          <cell r="H1349" t="str">
            <v>NEW</v>
          </cell>
          <cell r="I1349" t="str">
            <v>CAMP0331 (cmeB)</v>
          </cell>
          <cell r="J1349">
            <v>1</v>
          </cell>
        </row>
        <row r="1350">
          <cell r="A1350" t="str">
            <v>SC0950</v>
          </cell>
          <cell r="B1350" t="str">
            <v>SRR17929547</v>
          </cell>
          <cell r="C1350">
            <v>53</v>
          </cell>
          <cell r="D1350">
            <v>21</v>
          </cell>
          <cell r="E1350" t="str">
            <v>Gallus gallus</v>
          </cell>
          <cell r="F1350" t="str">
            <v>Campylobacter jejuni</v>
          </cell>
          <cell r="G1350" t="str">
            <v>NEW</v>
          </cell>
          <cell r="H1350" t="str">
            <v>NEW</v>
          </cell>
          <cell r="I1350" t="str">
            <v>CAMP0331 (cmeB)</v>
          </cell>
          <cell r="J1350">
            <v>1</v>
          </cell>
        </row>
        <row r="1351">
          <cell r="A1351" t="str">
            <v>SC1711</v>
          </cell>
          <cell r="B1351" t="str">
            <v>SRR17974222</v>
          </cell>
          <cell r="C1351">
            <v>8187</v>
          </cell>
          <cell r="D1351">
            <v>0</v>
          </cell>
          <cell r="E1351" t="str">
            <v>Gallus gallus</v>
          </cell>
          <cell r="F1351" t="str">
            <v>Campylobacter jejuni</v>
          </cell>
          <cell r="G1351" t="str">
            <v>NEW</v>
          </cell>
          <cell r="H1351" t="str">
            <v>NEW</v>
          </cell>
          <cell r="I1351" t="str">
            <v>CAMP0331 (cmeB)</v>
          </cell>
          <cell r="J1351">
            <v>142</v>
          </cell>
        </row>
        <row r="1352">
          <cell r="A1352" t="str">
            <v>SC1616</v>
          </cell>
          <cell r="B1352" t="str">
            <v>SRR17974309</v>
          </cell>
          <cell r="C1352">
            <v>3538</v>
          </cell>
          <cell r="D1352">
            <v>0</v>
          </cell>
          <cell r="E1352" t="str">
            <v>Ovis aries</v>
          </cell>
          <cell r="F1352" t="str">
            <v>Campylobacter jejuni</v>
          </cell>
          <cell r="G1352" t="str">
            <v>NEW</v>
          </cell>
          <cell r="H1352" t="str">
            <v>NEW</v>
          </cell>
          <cell r="I1352" t="str">
            <v>CAMP0331 (cmeB)</v>
          </cell>
          <cell r="J1352">
            <v>14</v>
          </cell>
        </row>
        <row r="1353">
          <cell r="A1353" t="str">
            <v>SC0008</v>
          </cell>
          <cell r="B1353" t="str">
            <v>SRR17898858</v>
          </cell>
          <cell r="C1353">
            <v>3222</v>
          </cell>
          <cell r="D1353">
            <v>0</v>
          </cell>
          <cell r="E1353" t="str">
            <v>Ovis aries</v>
          </cell>
          <cell r="F1353" t="str">
            <v>Campylobacter coli</v>
          </cell>
          <cell r="G1353" t="str">
            <v>NEW</v>
          </cell>
          <cell r="H1353" t="str">
            <v>NEW</v>
          </cell>
          <cell r="I1353" t="str">
            <v>CAMP0331 (cmeB)</v>
          </cell>
          <cell r="J1353">
            <v>1205</v>
          </cell>
        </row>
        <row r="1354">
          <cell r="A1354" t="str">
            <v>SC0083</v>
          </cell>
          <cell r="B1354" t="str">
            <v>SRR17926707</v>
          </cell>
          <cell r="C1354">
            <v>704</v>
          </cell>
          <cell r="D1354">
            <v>0</v>
          </cell>
          <cell r="E1354" t="str">
            <v>Bos taurus taurus</v>
          </cell>
          <cell r="F1354" t="str">
            <v>Campylobacter jejuni</v>
          </cell>
          <cell r="G1354" t="str">
            <v>NEW</v>
          </cell>
          <cell r="H1354" t="str">
            <v>NEW</v>
          </cell>
          <cell r="I1354" t="str">
            <v>CAMP0331 (cmeB)</v>
          </cell>
          <cell r="J1354">
            <v>2294</v>
          </cell>
        </row>
        <row r="1355">
          <cell r="A1355" t="str">
            <v>SC0098</v>
          </cell>
          <cell r="B1355" t="str">
            <v>SRR17926691</v>
          </cell>
          <cell r="C1355">
            <v>2256</v>
          </cell>
          <cell r="D1355">
            <v>828</v>
          </cell>
          <cell r="E1355" t="str">
            <v>Homo sapiens</v>
          </cell>
          <cell r="F1355" t="str">
            <v>Campylobacter coli</v>
          </cell>
          <cell r="G1355" t="str">
            <v>NEW</v>
          </cell>
          <cell r="H1355" t="str">
            <v>NEW</v>
          </cell>
          <cell r="I1355" t="str">
            <v>CAMP0331 (cmeB)</v>
          </cell>
          <cell r="J1355">
            <v>4483</v>
          </cell>
        </row>
        <row r="1356">
          <cell r="A1356" t="str">
            <v>SC0176</v>
          </cell>
          <cell r="B1356" t="str">
            <v>SRR17899206</v>
          </cell>
          <cell r="C1356">
            <v>4009</v>
          </cell>
          <cell r="D1356">
            <v>828</v>
          </cell>
          <cell r="E1356" t="str">
            <v>Homo sapiens</v>
          </cell>
          <cell r="F1356" t="str">
            <v>Campylobacter coli</v>
          </cell>
          <cell r="G1356" t="str">
            <v>NEW</v>
          </cell>
          <cell r="H1356" t="str">
            <v>NEW</v>
          </cell>
          <cell r="I1356" t="str">
            <v>CAMP0331 (cmeB)</v>
          </cell>
          <cell r="J1356">
            <v>4483</v>
          </cell>
        </row>
        <row r="1357">
          <cell r="A1357" t="str">
            <v>SC0280</v>
          </cell>
          <cell r="B1357" t="str">
            <v>SRR17900313</v>
          </cell>
          <cell r="C1357">
            <v>2256</v>
          </cell>
          <cell r="D1357">
            <v>828</v>
          </cell>
          <cell r="E1357" t="str">
            <v>Homo sapiens</v>
          </cell>
          <cell r="F1357" t="str">
            <v>Campylobacter coli</v>
          </cell>
          <cell r="G1357" t="str">
            <v>NEW</v>
          </cell>
          <cell r="H1357" t="str">
            <v>NEW</v>
          </cell>
          <cell r="I1357" t="str">
            <v>CAMP0331 (cmeB)</v>
          </cell>
          <cell r="J1357">
            <v>4483</v>
          </cell>
        </row>
        <row r="1358">
          <cell r="A1358" t="str">
            <v>SC0286</v>
          </cell>
          <cell r="B1358" t="str">
            <v>SRR17900306</v>
          </cell>
          <cell r="C1358">
            <v>8926</v>
          </cell>
          <cell r="D1358">
            <v>828</v>
          </cell>
          <cell r="E1358" t="str">
            <v>Homo sapiens</v>
          </cell>
          <cell r="F1358" t="str">
            <v>Campylobacter coli</v>
          </cell>
          <cell r="G1358" t="str">
            <v>NEW</v>
          </cell>
          <cell r="H1358" t="str">
            <v>NEW</v>
          </cell>
          <cell r="I1358" t="str">
            <v>CAMP0331 (cmeB)</v>
          </cell>
          <cell r="J1358">
            <v>4483</v>
          </cell>
        </row>
        <row r="1359">
          <cell r="A1359" t="str">
            <v>SC0341</v>
          </cell>
          <cell r="B1359" t="str">
            <v>SRR17900477</v>
          </cell>
          <cell r="C1359">
            <v>1115</v>
          </cell>
          <cell r="D1359">
            <v>0</v>
          </cell>
          <cell r="E1359" t="str">
            <v>Bos taurus taurus</v>
          </cell>
          <cell r="F1359" t="str">
            <v>Campylobacter coli</v>
          </cell>
          <cell r="G1359" t="str">
            <v>NEW</v>
          </cell>
          <cell r="H1359" t="str">
            <v>NEW</v>
          </cell>
          <cell r="I1359" t="str">
            <v>CAMP0331 (cmeB)</v>
          </cell>
          <cell r="J1359">
            <v>131</v>
          </cell>
        </row>
        <row r="1360">
          <cell r="A1360" t="str">
            <v>SC0346</v>
          </cell>
          <cell r="B1360" t="str">
            <v>SRR17900471</v>
          </cell>
          <cell r="C1360">
            <v>890</v>
          </cell>
          <cell r="D1360">
            <v>828</v>
          </cell>
          <cell r="E1360" t="str">
            <v>Bos taurus taurus</v>
          </cell>
          <cell r="F1360" t="str">
            <v>Campylobacter coli</v>
          </cell>
          <cell r="G1360" t="str">
            <v>NEW</v>
          </cell>
          <cell r="H1360" t="str">
            <v>NEW</v>
          </cell>
          <cell r="I1360" t="str">
            <v>CAMP0331 (cmeB)</v>
          </cell>
          <cell r="J1360">
            <v>3353</v>
          </cell>
        </row>
        <row r="1361">
          <cell r="A1361" t="str">
            <v>SC0352</v>
          </cell>
          <cell r="B1361" t="str">
            <v>SRR17900464</v>
          </cell>
          <cell r="C1361">
            <v>0</v>
          </cell>
          <cell r="D1361">
            <v>0</v>
          </cell>
          <cell r="E1361" t="str">
            <v>Homo sapiens</v>
          </cell>
          <cell r="F1361" t="str">
            <v>Campylobacter coli</v>
          </cell>
          <cell r="G1361" t="str">
            <v>NEW</v>
          </cell>
          <cell r="H1361" t="str">
            <v>NEW</v>
          </cell>
          <cell r="I1361" t="str">
            <v>CAMP0331 (cmeB)</v>
          </cell>
          <cell r="J1361">
            <v>4483</v>
          </cell>
        </row>
        <row r="1362">
          <cell r="A1362" t="str">
            <v>SC0377</v>
          </cell>
          <cell r="B1362" t="str">
            <v>SRR17900437</v>
          </cell>
          <cell r="C1362">
            <v>393</v>
          </cell>
          <cell r="D1362">
            <v>443</v>
          </cell>
          <cell r="E1362" t="str">
            <v>Ovis aries</v>
          </cell>
          <cell r="F1362" t="str">
            <v>Campylobacter jejuni</v>
          </cell>
          <cell r="G1362" t="str">
            <v>NEW</v>
          </cell>
          <cell r="H1362" t="str">
            <v>NEW</v>
          </cell>
          <cell r="I1362" t="str">
            <v>CAMP0331 (cmeB)</v>
          </cell>
          <cell r="J1362">
            <v>4977</v>
          </cell>
        </row>
        <row r="1363">
          <cell r="A1363" t="str">
            <v>SC0391</v>
          </cell>
          <cell r="B1363" t="str">
            <v>SRR17900359</v>
          </cell>
          <cell r="C1363">
            <v>4009</v>
          </cell>
          <cell r="D1363">
            <v>828</v>
          </cell>
          <cell r="E1363" t="str">
            <v>Homo sapiens</v>
          </cell>
          <cell r="F1363" t="str">
            <v>Campylobacter coli</v>
          </cell>
          <cell r="G1363" t="str">
            <v>NEW</v>
          </cell>
          <cell r="H1363" t="str">
            <v>NEW</v>
          </cell>
          <cell r="I1363" t="str">
            <v>CAMP0331 (cmeB)</v>
          </cell>
          <cell r="J1363">
            <v>4483</v>
          </cell>
        </row>
        <row r="1364">
          <cell r="A1364" t="str">
            <v>SC0408</v>
          </cell>
          <cell r="B1364" t="str">
            <v>SRR17900339</v>
          </cell>
          <cell r="C1364">
            <v>2256</v>
          </cell>
          <cell r="D1364">
            <v>828</v>
          </cell>
          <cell r="E1364" t="str">
            <v>Gallus gallus</v>
          </cell>
          <cell r="F1364" t="str">
            <v>Campylobacter coli</v>
          </cell>
          <cell r="G1364" t="str">
            <v>NEW</v>
          </cell>
          <cell r="H1364" t="str">
            <v>NEW</v>
          </cell>
          <cell r="I1364" t="str">
            <v>CAMP0331 (cmeB)</v>
          </cell>
          <cell r="J1364">
            <v>4483</v>
          </cell>
        </row>
        <row r="1365">
          <cell r="A1365" t="str">
            <v>SC0408</v>
          </cell>
          <cell r="B1365" t="str">
            <v>SRR17900339</v>
          </cell>
          <cell r="C1365">
            <v>2256</v>
          </cell>
          <cell r="D1365">
            <v>828</v>
          </cell>
          <cell r="E1365" t="str">
            <v>Gallus gallus</v>
          </cell>
          <cell r="F1365" t="str">
            <v>Campylobacter coli</v>
          </cell>
          <cell r="G1365" t="str">
            <v>NEW</v>
          </cell>
          <cell r="H1365" t="str">
            <v>NEW</v>
          </cell>
          <cell r="I1365" t="str">
            <v>CAMP0331 (cmeB)</v>
          </cell>
          <cell r="J1365">
            <v>4483</v>
          </cell>
        </row>
        <row r="1366">
          <cell r="A1366" t="str">
            <v>SC0453</v>
          </cell>
          <cell r="B1366" t="str">
            <v>SRR17900577</v>
          </cell>
          <cell r="C1366">
            <v>2256</v>
          </cell>
          <cell r="D1366">
            <v>828</v>
          </cell>
          <cell r="E1366" t="str">
            <v>Gallus gallus</v>
          </cell>
          <cell r="F1366" t="str">
            <v>Campylobacter coli</v>
          </cell>
          <cell r="G1366" t="str">
            <v>NEW</v>
          </cell>
          <cell r="H1366" t="str">
            <v>NEW</v>
          </cell>
          <cell r="I1366" t="str">
            <v>CAMP0331 (cmeB)</v>
          </cell>
          <cell r="J1366">
            <v>4483</v>
          </cell>
        </row>
        <row r="1367">
          <cell r="A1367" t="str">
            <v>SC0475</v>
          </cell>
          <cell r="B1367" t="str">
            <v>SRR17900393</v>
          </cell>
          <cell r="C1367">
            <v>8712</v>
          </cell>
          <cell r="D1367">
            <v>828</v>
          </cell>
          <cell r="E1367" t="str">
            <v>Gallus gallus</v>
          </cell>
          <cell r="F1367" t="str">
            <v>Campylobacter coli</v>
          </cell>
          <cell r="G1367" t="str">
            <v>NEW</v>
          </cell>
          <cell r="H1367" t="str">
            <v>NEW</v>
          </cell>
          <cell r="I1367" t="str">
            <v>CAMP0331 (cmeB)</v>
          </cell>
          <cell r="J1367">
            <v>1561</v>
          </cell>
        </row>
        <row r="1368">
          <cell r="A1368" t="str">
            <v>SC0477</v>
          </cell>
          <cell r="B1368" t="str">
            <v>SRR17900391</v>
          </cell>
          <cell r="C1368">
            <v>3232</v>
          </cell>
          <cell r="D1368">
            <v>828</v>
          </cell>
          <cell r="E1368" t="str">
            <v>Ovis aries</v>
          </cell>
          <cell r="F1368" t="str">
            <v>Campylobacter coli</v>
          </cell>
          <cell r="G1368" t="str">
            <v>NEW</v>
          </cell>
          <cell r="H1368" t="str">
            <v>NEW</v>
          </cell>
          <cell r="I1368" t="str">
            <v>CAMP0331 (cmeB)</v>
          </cell>
          <cell r="J1368">
            <v>85</v>
          </cell>
        </row>
        <row r="1369">
          <cell r="A1369" t="str">
            <v>SC0484</v>
          </cell>
          <cell r="B1369" t="str">
            <v>SRR17900383</v>
          </cell>
          <cell r="C1369">
            <v>3232</v>
          </cell>
          <cell r="D1369">
            <v>828</v>
          </cell>
          <cell r="E1369" t="str">
            <v>Ovis aries</v>
          </cell>
          <cell r="F1369" t="str">
            <v>Campylobacter coli</v>
          </cell>
          <cell r="G1369" t="str">
            <v>NEW</v>
          </cell>
          <cell r="H1369" t="str">
            <v>NEW</v>
          </cell>
          <cell r="I1369" t="str">
            <v>CAMP0331 (cmeB)</v>
          </cell>
          <cell r="J1369">
            <v>85</v>
          </cell>
        </row>
        <row r="1370">
          <cell r="A1370" t="str">
            <v>SC0494</v>
          </cell>
          <cell r="B1370" t="str">
            <v>SRR17900373</v>
          </cell>
          <cell r="C1370">
            <v>8926</v>
          </cell>
          <cell r="D1370">
            <v>828</v>
          </cell>
          <cell r="E1370" t="str">
            <v>Homo sapiens</v>
          </cell>
          <cell r="F1370" t="str">
            <v>Campylobacter coli</v>
          </cell>
          <cell r="G1370" t="str">
            <v>NEW</v>
          </cell>
          <cell r="H1370" t="str">
            <v>NEW</v>
          </cell>
          <cell r="I1370" t="str">
            <v>CAMP0331 (cmeB)</v>
          </cell>
          <cell r="J1370">
            <v>4483</v>
          </cell>
        </row>
        <row r="1371">
          <cell r="A1371" t="str">
            <v>SC0594</v>
          </cell>
          <cell r="B1371" t="str">
            <v>SRR17925118</v>
          </cell>
          <cell r="C1371">
            <v>8926</v>
          </cell>
          <cell r="D1371">
            <v>828</v>
          </cell>
          <cell r="E1371" t="str">
            <v>Homo sapiens</v>
          </cell>
          <cell r="F1371" t="str">
            <v>Campylobacter coli</v>
          </cell>
          <cell r="G1371" t="str">
            <v>NEW</v>
          </cell>
          <cell r="H1371" t="str">
            <v>NEW</v>
          </cell>
          <cell r="I1371" t="str">
            <v>CAMP0331 (cmeB)</v>
          </cell>
          <cell r="J1371">
            <v>4483</v>
          </cell>
        </row>
        <row r="1372">
          <cell r="A1372" t="str">
            <v>SC0618</v>
          </cell>
          <cell r="B1372" t="str">
            <v>SRR17925468</v>
          </cell>
          <cell r="C1372">
            <v>8926</v>
          </cell>
          <cell r="D1372">
            <v>828</v>
          </cell>
          <cell r="E1372" t="str">
            <v>Gallus gallus</v>
          </cell>
          <cell r="F1372" t="str">
            <v>Campylobacter coli</v>
          </cell>
          <cell r="G1372" t="str">
            <v>NEW</v>
          </cell>
          <cell r="H1372" t="str">
            <v>NEW</v>
          </cell>
          <cell r="I1372" t="str">
            <v>CAMP0331 (cmeB)</v>
          </cell>
          <cell r="J1372">
            <v>4483</v>
          </cell>
        </row>
        <row r="1373">
          <cell r="A1373" t="str">
            <v>SC0677</v>
          </cell>
          <cell r="B1373" t="str">
            <v>SRR17925404</v>
          </cell>
          <cell r="C1373">
            <v>8926</v>
          </cell>
          <cell r="D1373">
            <v>828</v>
          </cell>
          <cell r="E1373" t="str">
            <v>Gallus gallus</v>
          </cell>
          <cell r="F1373" t="str">
            <v>Campylobacter coli</v>
          </cell>
          <cell r="G1373" t="str">
            <v>NEW</v>
          </cell>
          <cell r="H1373" t="str">
            <v>NEW</v>
          </cell>
          <cell r="I1373" t="str">
            <v>CAMP0331 (cmeB)</v>
          </cell>
          <cell r="J1373">
            <v>4483</v>
          </cell>
        </row>
        <row r="1374">
          <cell r="A1374" t="str">
            <v>SC0682</v>
          </cell>
          <cell r="B1374" t="str">
            <v>SRR17925398</v>
          </cell>
          <cell r="C1374">
            <v>830</v>
          </cell>
          <cell r="D1374">
            <v>828</v>
          </cell>
          <cell r="E1374" t="str">
            <v>Homo sapiens</v>
          </cell>
          <cell r="F1374" t="str">
            <v>Campylobacter coli</v>
          </cell>
          <cell r="G1374" t="str">
            <v>NEW</v>
          </cell>
          <cell r="H1374" t="str">
            <v>NEW</v>
          </cell>
          <cell r="I1374" t="str">
            <v>CAMP0331 (cmeB)</v>
          </cell>
          <cell r="J1374">
            <v>3072</v>
          </cell>
        </row>
        <row r="1375">
          <cell r="A1375" t="str">
            <v>SC0708</v>
          </cell>
          <cell r="B1375" t="str">
            <v>SRR17925369</v>
          </cell>
          <cell r="C1375">
            <v>7677</v>
          </cell>
          <cell r="D1375">
            <v>0</v>
          </cell>
          <cell r="E1375" t="str">
            <v>Ovis aries</v>
          </cell>
          <cell r="F1375" t="str">
            <v>Campylobacter coli</v>
          </cell>
          <cell r="G1375" t="str">
            <v>NEW</v>
          </cell>
          <cell r="H1375" t="str">
            <v>NEW</v>
          </cell>
          <cell r="I1375" t="str">
            <v>CAMP0331 (cmeB)</v>
          </cell>
          <cell r="J1375">
            <v>3089</v>
          </cell>
        </row>
        <row r="1376">
          <cell r="A1376" t="str">
            <v>SC0761</v>
          </cell>
          <cell r="B1376" t="str">
            <v>SRR17925313</v>
          </cell>
          <cell r="C1376">
            <v>8712</v>
          </cell>
          <cell r="D1376">
            <v>828</v>
          </cell>
          <cell r="E1376" t="str">
            <v>Gallus gallus</v>
          </cell>
          <cell r="F1376" t="str">
            <v>Campylobacter coli</v>
          </cell>
          <cell r="G1376" t="str">
            <v>NEW</v>
          </cell>
          <cell r="H1376" t="str">
            <v>NEW</v>
          </cell>
          <cell r="I1376" t="str">
            <v>CAMP0331 (cmeB)</v>
          </cell>
          <cell r="J1376">
            <v>1561</v>
          </cell>
        </row>
        <row r="1377">
          <cell r="A1377" t="str">
            <v>SC0776</v>
          </cell>
          <cell r="B1377" t="str">
            <v>SRR17925296</v>
          </cell>
          <cell r="C1377">
            <v>8926</v>
          </cell>
          <cell r="D1377">
            <v>828</v>
          </cell>
          <cell r="E1377" t="str">
            <v>Homo sapiens</v>
          </cell>
          <cell r="F1377" t="str">
            <v>Campylobacter coli</v>
          </cell>
          <cell r="G1377" t="str">
            <v>NEW</v>
          </cell>
          <cell r="H1377" t="str">
            <v>NEW</v>
          </cell>
          <cell r="I1377" t="str">
            <v>CAMP0331 (cmeB)</v>
          </cell>
          <cell r="J1377">
            <v>4483</v>
          </cell>
        </row>
        <row r="1378">
          <cell r="A1378" t="str">
            <v>SC0859</v>
          </cell>
          <cell r="B1378" t="str">
            <v>SRR17925218</v>
          </cell>
          <cell r="C1378">
            <v>3232</v>
          </cell>
          <cell r="D1378">
            <v>828</v>
          </cell>
          <cell r="E1378" t="str">
            <v>Ovis aries</v>
          </cell>
          <cell r="F1378" t="str">
            <v>Campylobacter coli</v>
          </cell>
          <cell r="G1378" t="str">
            <v>NEW</v>
          </cell>
          <cell r="H1378" t="str">
            <v>NEW</v>
          </cell>
          <cell r="I1378" t="str">
            <v>CAMP0331 (cmeB)</v>
          </cell>
          <cell r="J1378">
            <v>85</v>
          </cell>
        </row>
        <row r="1379">
          <cell r="A1379" t="str">
            <v>SC0948</v>
          </cell>
          <cell r="B1379" t="str">
            <v>SRR17929549</v>
          </cell>
          <cell r="C1379">
            <v>2256</v>
          </cell>
          <cell r="D1379">
            <v>828</v>
          </cell>
          <cell r="E1379" t="str">
            <v>Gallus gallus</v>
          </cell>
          <cell r="F1379" t="str">
            <v>Campylobacter coli</v>
          </cell>
          <cell r="G1379" t="str">
            <v>NEW</v>
          </cell>
          <cell r="H1379" t="str">
            <v>NEW</v>
          </cell>
          <cell r="I1379" t="str">
            <v>CAMP0331 (cmeB)</v>
          </cell>
          <cell r="J1379">
            <v>4483</v>
          </cell>
        </row>
        <row r="1380">
          <cell r="A1380" t="str">
            <v>SC0949</v>
          </cell>
          <cell r="B1380" t="str">
            <v>SRR17929548</v>
          </cell>
          <cell r="C1380">
            <v>2256</v>
          </cell>
          <cell r="D1380">
            <v>828</v>
          </cell>
          <cell r="E1380" t="str">
            <v>Gallus gallus</v>
          </cell>
          <cell r="F1380" t="str">
            <v>Campylobacter coli</v>
          </cell>
          <cell r="G1380" t="str">
            <v>NEW</v>
          </cell>
          <cell r="H1380" t="str">
            <v>NEW</v>
          </cell>
          <cell r="I1380" t="str">
            <v>CAMP0331 (cmeB)</v>
          </cell>
          <cell r="J1380">
            <v>4483</v>
          </cell>
        </row>
        <row r="1381">
          <cell r="A1381" t="str">
            <v>SC1073</v>
          </cell>
          <cell r="B1381" t="str">
            <v>SRR17929610</v>
          </cell>
          <cell r="C1381">
            <v>8926</v>
          </cell>
          <cell r="D1381">
            <v>828</v>
          </cell>
          <cell r="E1381" t="str">
            <v>Homo sapiens</v>
          </cell>
          <cell r="F1381" t="str">
            <v>Campylobacter coli</v>
          </cell>
          <cell r="G1381" t="str">
            <v>NEW</v>
          </cell>
          <cell r="H1381" t="str">
            <v>NEW</v>
          </cell>
          <cell r="I1381" t="str">
            <v>CAMP0331 (cmeB)</v>
          </cell>
          <cell r="J1381">
            <v>4483</v>
          </cell>
        </row>
        <row r="1382">
          <cell r="A1382" t="str">
            <v>SC1207</v>
          </cell>
          <cell r="B1382" t="str">
            <v>SRR17964883</v>
          </cell>
          <cell r="C1382">
            <v>890</v>
          </cell>
          <cell r="D1382">
            <v>828</v>
          </cell>
          <cell r="E1382" t="str">
            <v>Bos taurus taurus</v>
          </cell>
          <cell r="F1382" t="str">
            <v>Campylobacter coli</v>
          </cell>
          <cell r="G1382" t="str">
            <v>NEW</v>
          </cell>
          <cell r="H1382" t="str">
            <v>NEW</v>
          </cell>
          <cell r="I1382" t="str">
            <v>CAMP0331 (cmeB)</v>
          </cell>
          <cell r="J1382">
            <v>3353</v>
          </cell>
        </row>
        <row r="1383">
          <cell r="A1383" t="str">
            <v>SC1319</v>
          </cell>
          <cell r="B1383" t="str">
            <v>SRR17965024</v>
          </cell>
          <cell r="C1383">
            <v>4009</v>
          </cell>
          <cell r="D1383">
            <v>828</v>
          </cell>
          <cell r="E1383" t="str">
            <v>Gallus gallus</v>
          </cell>
          <cell r="F1383" t="str">
            <v>Campylobacter coli</v>
          </cell>
          <cell r="G1383" t="str">
            <v>NEW</v>
          </cell>
          <cell r="H1383" t="str">
            <v>NEW</v>
          </cell>
          <cell r="I1383" t="str">
            <v>CAMP0331 (cmeB)</v>
          </cell>
          <cell r="J1383">
            <v>4483</v>
          </cell>
        </row>
        <row r="1384">
          <cell r="A1384" t="str">
            <v>SC1380</v>
          </cell>
          <cell r="B1384" t="str">
            <v>SRR17964945</v>
          </cell>
          <cell r="C1384">
            <v>8926</v>
          </cell>
          <cell r="D1384">
            <v>828</v>
          </cell>
          <cell r="E1384" t="str">
            <v>Homo sapiens</v>
          </cell>
          <cell r="F1384" t="str">
            <v>Campylobacter coli</v>
          </cell>
          <cell r="G1384" t="str">
            <v>NEW</v>
          </cell>
          <cell r="H1384" t="str">
            <v>NEW</v>
          </cell>
          <cell r="I1384" t="str">
            <v>CAMP0331 (cmeB)</v>
          </cell>
          <cell r="J1384">
            <v>4483</v>
          </cell>
        </row>
        <row r="1385">
          <cell r="A1385" t="str">
            <v>SC1443</v>
          </cell>
          <cell r="B1385" t="str">
            <v>SRR17974215</v>
          </cell>
          <cell r="C1385">
            <v>3232</v>
          </cell>
          <cell r="D1385">
            <v>828</v>
          </cell>
          <cell r="E1385" t="str">
            <v>Ovis aries</v>
          </cell>
          <cell r="F1385" t="str">
            <v>Campylobacter coli</v>
          </cell>
          <cell r="G1385" t="str">
            <v>NEW</v>
          </cell>
          <cell r="H1385" t="str">
            <v>NEW</v>
          </cell>
          <cell r="I1385" t="str">
            <v>CAMP0331 (cmeB)</v>
          </cell>
          <cell r="J1385">
            <v>85</v>
          </cell>
        </row>
        <row r="1386">
          <cell r="A1386" t="str">
            <v>SC1632</v>
          </cell>
          <cell r="B1386" t="str">
            <v>SRR17974292</v>
          </cell>
          <cell r="C1386">
            <v>3232</v>
          </cell>
          <cell r="D1386">
            <v>828</v>
          </cell>
          <cell r="E1386" t="str">
            <v>Ovis aries</v>
          </cell>
          <cell r="F1386" t="str">
            <v>Campylobacter coli</v>
          </cell>
          <cell r="G1386" t="str">
            <v>NEW</v>
          </cell>
          <cell r="H1386" t="str">
            <v>NEW</v>
          </cell>
          <cell r="I1386" t="str">
            <v>CAMP0331 (cmeB)</v>
          </cell>
          <cell r="J1386">
            <v>85</v>
          </cell>
        </row>
        <row r="1387">
          <cell r="A1387" t="str">
            <v>SC1694</v>
          </cell>
          <cell r="B1387" t="str">
            <v>SRR17974146</v>
          </cell>
          <cell r="C1387">
            <v>2256</v>
          </cell>
          <cell r="D1387">
            <v>828</v>
          </cell>
          <cell r="E1387" t="str">
            <v>Gallus gallus</v>
          </cell>
          <cell r="F1387" t="str">
            <v>Campylobacter coli</v>
          </cell>
          <cell r="G1387" t="str">
            <v>NEW</v>
          </cell>
          <cell r="H1387" t="str">
            <v>NEW</v>
          </cell>
          <cell r="I1387" t="str">
            <v>CAMP0331 (cmeB)</v>
          </cell>
          <cell r="J1387">
            <v>4483</v>
          </cell>
        </row>
        <row r="1388">
          <cell r="A1388" t="str">
            <v>SC1697</v>
          </cell>
          <cell r="B1388" t="str">
            <v>SRR17974143</v>
          </cell>
          <cell r="C1388">
            <v>2256</v>
          </cell>
          <cell r="D1388">
            <v>828</v>
          </cell>
          <cell r="E1388" t="str">
            <v>Gallus gallus</v>
          </cell>
          <cell r="F1388" t="str">
            <v>Campylobacter coli</v>
          </cell>
          <cell r="G1388" t="str">
            <v>NEW</v>
          </cell>
          <cell r="H1388" t="str">
            <v>NEW</v>
          </cell>
          <cell r="I1388" t="str">
            <v>CAMP0331 (cmeB)</v>
          </cell>
          <cell r="J1388">
            <v>4483</v>
          </cell>
        </row>
        <row r="1389">
          <cell r="A1389" t="str">
            <v>SC1705</v>
          </cell>
          <cell r="B1389" t="str">
            <v>SRR17974133</v>
          </cell>
          <cell r="C1389">
            <v>2256</v>
          </cell>
          <cell r="D1389">
            <v>828</v>
          </cell>
          <cell r="E1389" t="str">
            <v>Gallus gallus</v>
          </cell>
          <cell r="F1389" t="str">
            <v>Campylobacter coli</v>
          </cell>
          <cell r="G1389" t="str">
            <v>NEW</v>
          </cell>
          <cell r="H1389" t="str">
            <v>NEW</v>
          </cell>
          <cell r="I1389" t="str">
            <v>CAMP0331 (cmeB)</v>
          </cell>
          <cell r="J1389">
            <v>4483</v>
          </cell>
        </row>
        <row r="1390">
          <cell r="A1390" t="str">
            <v>SC1706</v>
          </cell>
          <cell r="B1390" t="str">
            <v>SRR17974132</v>
          </cell>
          <cell r="C1390">
            <v>2256</v>
          </cell>
          <cell r="D1390">
            <v>828</v>
          </cell>
          <cell r="E1390" t="str">
            <v>Gallus gallus</v>
          </cell>
          <cell r="F1390" t="str">
            <v>Campylobacter coli</v>
          </cell>
          <cell r="G1390" t="str">
            <v>NEW</v>
          </cell>
          <cell r="H1390" t="str">
            <v>NEW</v>
          </cell>
          <cell r="I1390" t="str">
            <v>CAMP0331 (cmeB)</v>
          </cell>
          <cell r="J1390">
            <v>4483</v>
          </cell>
        </row>
        <row r="1391">
          <cell r="A1391" t="str">
            <v>SC1707</v>
          </cell>
          <cell r="B1391" t="str">
            <v>SRR17974131</v>
          </cell>
          <cell r="C1391">
            <v>2256</v>
          </cell>
          <cell r="D1391">
            <v>828</v>
          </cell>
          <cell r="E1391" t="str">
            <v>Gallus gallus</v>
          </cell>
          <cell r="F1391" t="str">
            <v>Campylobacter coli</v>
          </cell>
          <cell r="G1391" t="str">
            <v>NEW</v>
          </cell>
          <cell r="H1391" t="str">
            <v>NEW</v>
          </cell>
          <cell r="I1391" t="str">
            <v>CAMP0331 (cmeB)</v>
          </cell>
          <cell r="J1391">
            <v>4483</v>
          </cell>
        </row>
        <row r="1392">
          <cell r="A1392" t="str">
            <v>SC1708</v>
          </cell>
          <cell r="B1392" t="str">
            <v>SRR17974129</v>
          </cell>
          <cell r="C1392">
            <v>2256</v>
          </cell>
          <cell r="D1392">
            <v>828</v>
          </cell>
          <cell r="E1392" t="str">
            <v>Gallus gallus</v>
          </cell>
          <cell r="F1392" t="str">
            <v>Campylobacter coli</v>
          </cell>
          <cell r="G1392" t="str">
            <v>NEW</v>
          </cell>
          <cell r="H1392" t="str">
            <v>NEW</v>
          </cell>
          <cell r="I1392" t="str">
            <v>CAMP0331 (cmeB)</v>
          </cell>
          <cell r="J1392">
            <v>4483</v>
          </cell>
        </row>
        <row r="1393">
          <cell r="A1393" t="str">
            <v>SC1716</v>
          </cell>
          <cell r="B1393" t="str">
            <v>SRR17974217</v>
          </cell>
          <cell r="C1393">
            <v>2256</v>
          </cell>
          <cell r="D1393">
            <v>828</v>
          </cell>
          <cell r="E1393" t="str">
            <v>Gallus gallus</v>
          </cell>
          <cell r="F1393" t="str">
            <v>Campylobacter coli</v>
          </cell>
          <cell r="G1393" t="str">
            <v>NEW</v>
          </cell>
          <cell r="H1393" t="str">
            <v>NEW</v>
          </cell>
          <cell r="I1393" t="str">
            <v>CAMP0331 (cmeB)</v>
          </cell>
          <cell r="J1393">
            <v>4483</v>
          </cell>
        </row>
        <row r="1394">
          <cell r="A1394" t="str">
            <v>SC1717</v>
          </cell>
          <cell r="B1394" t="str">
            <v>SRR17974216</v>
          </cell>
          <cell r="C1394">
            <v>2256</v>
          </cell>
          <cell r="D1394">
            <v>828</v>
          </cell>
          <cell r="E1394" t="str">
            <v>Gallus gallus</v>
          </cell>
          <cell r="F1394" t="str">
            <v>Campylobacter coli</v>
          </cell>
          <cell r="G1394" t="str">
            <v>NEW</v>
          </cell>
          <cell r="H1394" t="str">
            <v>NEW</v>
          </cell>
          <cell r="I1394" t="str">
            <v>CAMP0331 (cmeB)</v>
          </cell>
          <cell r="J1394">
            <v>4483</v>
          </cell>
        </row>
        <row r="1395">
          <cell r="A1395" t="str">
            <v>SC1725</v>
          </cell>
          <cell r="B1395" t="str">
            <v>SRR17974207</v>
          </cell>
          <cell r="C1395">
            <v>2256</v>
          </cell>
          <cell r="D1395">
            <v>828</v>
          </cell>
          <cell r="E1395" t="str">
            <v>Gallus gallus</v>
          </cell>
          <cell r="F1395" t="str">
            <v>Campylobacter coli</v>
          </cell>
          <cell r="G1395" t="str">
            <v>NEW</v>
          </cell>
          <cell r="H1395" t="str">
            <v>NEW</v>
          </cell>
          <cell r="I1395" t="str">
            <v>CAMP0331 (cmeB)</v>
          </cell>
          <cell r="J1395">
            <v>4483</v>
          </cell>
        </row>
        <row r="1396">
          <cell r="A1396" t="str">
            <v>SC0094</v>
          </cell>
          <cell r="B1396" t="str">
            <v>SRR17926695</v>
          </cell>
          <cell r="C1396">
            <v>474</v>
          </cell>
          <cell r="D1396">
            <v>48</v>
          </cell>
          <cell r="E1396" t="str">
            <v>Homo sapiens</v>
          </cell>
          <cell r="F1396" t="str">
            <v>Campylobacter jejuni</v>
          </cell>
          <cell r="G1396" t="str">
            <v>exact</v>
          </cell>
          <cell r="H1396" t="str">
            <v>CAMP0331 (cmeB)_1</v>
          </cell>
          <cell r="I1396" t="str">
            <v>CAMP0331 (cmeB)</v>
          </cell>
          <cell r="J1396">
            <v>1</v>
          </cell>
        </row>
        <row r="1397">
          <cell r="A1397" t="str">
            <v>SC0142</v>
          </cell>
          <cell r="B1397" t="str">
            <v>SRR17899212</v>
          </cell>
          <cell r="C1397">
            <v>0</v>
          </cell>
          <cell r="D1397">
            <v>0</v>
          </cell>
          <cell r="E1397" t="str">
            <v>Homo sapiens</v>
          </cell>
          <cell r="F1397" t="str">
            <v>Campylobacter jejuni</v>
          </cell>
          <cell r="G1397" t="str">
            <v>exact</v>
          </cell>
          <cell r="H1397" t="str">
            <v>CAMP0331 (cmeB)_4693</v>
          </cell>
          <cell r="I1397" t="str">
            <v>CAMP0331 (cmeB)</v>
          </cell>
          <cell r="J1397">
            <v>4693</v>
          </cell>
        </row>
        <row r="1398">
          <cell r="A1398" t="str">
            <v>SC0412</v>
          </cell>
          <cell r="B1398" t="str">
            <v>SRR17900335</v>
          </cell>
          <cell r="C1398">
            <v>2031</v>
          </cell>
          <cell r="D1398">
            <v>574</v>
          </cell>
          <cell r="E1398" t="str">
            <v>Homo sapiens</v>
          </cell>
          <cell r="F1398" t="str">
            <v>Campylobacter jejuni</v>
          </cell>
          <cell r="G1398" t="str">
            <v>exact</v>
          </cell>
          <cell r="H1398" t="str">
            <v>CAMP0331 (cmeB)_4629</v>
          </cell>
          <cell r="I1398" t="str">
            <v>CAMP0331 (cmeB)</v>
          </cell>
          <cell r="J1398">
            <v>4629</v>
          </cell>
        </row>
        <row r="1399">
          <cell r="A1399" t="str">
            <v>SC0430</v>
          </cell>
          <cell r="B1399" t="str">
            <v>SRR17900411</v>
          </cell>
          <cell r="C1399">
            <v>2535</v>
          </cell>
          <cell r="D1399">
            <v>0</v>
          </cell>
          <cell r="E1399" t="str">
            <v>Homo sapiens</v>
          </cell>
          <cell r="F1399" t="str">
            <v>Campylobacter jejuni</v>
          </cell>
          <cell r="G1399" t="str">
            <v>exact</v>
          </cell>
          <cell r="H1399" t="str">
            <v>CAMP0331 (cmeB)_1667</v>
          </cell>
          <cell r="I1399" t="str">
            <v>CAMP0331 (cmeB)</v>
          </cell>
          <cell r="J1399">
            <v>1667</v>
          </cell>
        </row>
        <row r="1400">
          <cell r="A1400" t="str">
            <v>SC0457</v>
          </cell>
          <cell r="B1400" t="str">
            <v>SRR17900573</v>
          </cell>
          <cell r="C1400">
            <v>51</v>
          </cell>
          <cell r="D1400">
            <v>443</v>
          </cell>
          <cell r="E1400" t="str">
            <v>Homo sapiens</v>
          </cell>
          <cell r="F1400" t="str">
            <v>Campylobacter jejuni</v>
          </cell>
          <cell r="G1400" t="str">
            <v>exact</v>
          </cell>
          <cell r="H1400" t="str">
            <v>CAMP0331 (cmeB)_127</v>
          </cell>
          <cell r="I1400" t="str">
            <v>CAMP0331 (cmeB)</v>
          </cell>
          <cell r="J1400">
            <v>127</v>
          </cell>
        </row>
        <row r="1401">
          <cell r="A1401" t="str">
            <v>SC0459</v>
          </cell>
          <cell r="B1401" t="str">
            <v>SRR17900571</v>
          </cell>
          <cell r="C1401">
            <v>51</v>
          </cell>
          <cell r="D1401">
            <v>443</v>
          </cell>
          <cell r="E1401" t="str">
            <v>Homo sapiens</v>
          </cell>
          <cell r="F1401" t="str">
            <v>Campylobacter jejuni</v>
          </cell>
          <cell r="G1401" t="str">
            <v>exact</v>
          </cell>
          <cell r="H1401" t="str">
            <v>CAMP0331 (cmeB)_3626</v>
          </cell>
          <cell r="I1401" t="str">
            <v>CAMP0331 (cmeB)</v>
          </cell>
          <cell r="J1401">
            <v>3626</v>
          </cell>
        </row>
        <row r="1402">
          <cell r="A1402" t="str">
            <v>SC0471</v>
          </cell>
          <cell r="B1402" t="str">
            <v>SRR17900558</v>
          </cell>
          <cell r="C1402">
            <v>859</v>
          </cell>
          <cell r="D1402">
            <v>443</v>
          </cell>
          <cell r="E1402" t="str">
            <v>Homo sapiens</v>
          </cell>
          <cell r="F1402" t="str">
            <v>Campylobacter jejuni</v>
          </cell>
          <cell r="G1402" t="str">
            <v>exact</v>
          </cell>
          <cell r="H1402" t="str">
            <v>CAMP0331 (cmeB)_3624</v>
          </cell>
          <cell r="I1402" t="str">
            <v>CAMP0331 (cmeB)</v>
          </cell>
          <cell r="J1402">
            <v>3624</v>
          </cell>
        </row>
        <row r="1403">
          <cell r="A1403" t="str">
            <v>SC0559</v>
          </cell>
          <cell r="B1403" t="str">
            <v>SRR17925189</v>
          </cell>
          <cell r="C1403">
            <v>2328</v>
          </cell>
          <cell r="D1403">
            <v>0</v>
          </cell>
          <cell r="E1403" t="str">
            <v>Homo sapiens</v>
          </cell>
          <cell r="F1403" t="str">
            <v>Campylobacter jejuni</v>
          </cell>
          <cell r="G1403" t="str">
            <v>exact</v>
          </cell>
          <cell r="H1403" t="str">
            <v>CAMP0331 (cmeB)_267</v>
          </cell>
          <cell r="I1403" t="str">
            <v>CAMP0331 (cmeB)</v>
          </cell>
          <cell r="J1403">
            <v>267</v>
          </cell>
        </row>
        <row r="1404">
          <cell r="A1404" t="str">
            <v>SC0642</v>
          </cell>
          <cell r="B1404" t="str">
            <v>SRR17925345</v>
          </cell>
          <cell r="C1404">
            <v>474</v>
          </cell>
          <cell r="D1404">
            <v>48</v>
          </cell>
          <cell r="E1404" t="str">
            <v>Homo sapiens</v>
          </cell>
          <cell r="F1404" t="str">
            <v>Campylobacter jejuni</v>
          </cell>
          <cell r="G1404" t="str">
            <v>exact</v>
          </cell>
          <cell r="H1404" t="str">
            <v>CAMP0331 (cmeB)_1</v>
          </cell>
          <cell r="I1404" t="str">
            <v>CAMP0331 (cmeB)</v>
          </cell>
          <cell r="J1404">
            <v>1</v>
          </cell>
        </row>
        <row r="1405">
          <cell r="A1405" t="str">
            <v>SC0738</v>
          </cell>
          <cell r="B1405" t="str">
            <v>SRR17925242</v>
          </cell>
          <cell r="C1405">
            <v>2535</v>
          </cell>
          <cell r="D1405">
            <v>0</v>
          </cell>
          <cell r="E1405" t="str">
            <v>Homo sapiens</v>
          </cell>
          <cell r="F1405" t="str">
            <v>Campylobacter jejuni</v>
          </cell>
          <cell r="G1405" t="str">
            <v>exact</v>
          </cell>
          <cell r="H1405" t="str">
            <v>CAMP0331 (cmeB)_1667</v>
          </cell>
          <cell r="I1405" t="str">
            <v>CAMP0331 (cmeB)</v>
          </cell>
          <cell r="J1405">
            <v>1667</v>
          </cell>
        </row>
        <row r="1406">
          <cell r="A1406" t="str">
            <v>SC0759</v>
          </cell>
          <cell r="B1406" t="str">
            <v>SRR17925315</v>
          </cell>
          <cell r="C1406">
            <v>45</v>
          </cell>
          <cell r="D1406">
            <v>45</v>
          </cell>
          <cell r="E1406" t="str">
            <v>Homo sapiens</v>
          </cell>
          <cell r="F1406" t="str">
            <v>Campylobacter jejuni</v>
          </cell>
          <cell r="G1406" t="str">
            <v>exact</v>
          </cell>
          <cell r="H1406" t="str">
            <v>CAMP0331 (cmeB)_3616</v>
          </cell>
          <cell r="I1406" t="str">
            <v>CAMP0331 (cmeB)</v>
          </cell>
          <cell r="J1406">
            <v>3616</v>
          </cell>
        </row>
        <row r="1407">
          <cell r="A1407" t="str">
            <v>SC0810</v>
          </cell>
          <cell r="B1407" t="str">
            <v>SRR17925162</v>
          </cell>
          <cell r="C1407">
            <v>8185</v>
          </cell>
          <cell r="D1407">
            <v>21</v>
          </cell>
          <cell r="E1407" t="str">
            <v>Homo sapiens</v>
          </cell>
          <cell r="F1407" t="str">
            <v>Campylobacter jejuni</v>
          </cell>
          <cell r="G1407" t="str">
            <v>exact</v>
          </cell>
          <cell r="H1407" t="str">
            <v>CAMP0331 (cmeB)_3615</v>
          </cell>
          <cell r="I1407" t="str">
            <v>CAMP0331 (cmeB)</v>
          </cell>
          <cell r="J1407">
            <v>3615</v>
          </cell>
        </row>
        <row r="1408">
          <cell r="A1408" t="str">
            <v>SC0187</v>
          </cell>
          <cell r="B1408" t="str">
            <v>SRR17899194</v>
          </cell>
          <cell r="C1408">
            <v>2256</v>
          </cell>
          <cell r="D1408">
            <v>828</v>
          </cell>
          <cell r="E1408" t="str">
            <v>Gallus gallus</v>
          </cell>
          <cell r="F1408" t="str">
            <v>Campylobacter coli</v>
          </cell>
          <cell r="G1408" t="str">
            <v>NEW</v>
          </cell>
          <cell r="H1408" t="str">
            <v>NEW</v>
          </cell>
          <cell r="I1408" t="str">
            <v>CAMP0331 (cmeB)</v>
          </cell>
          <cell r="J1408">
            <v>4483</v>
          </cell>
        </row>
        <row r="1409">
          <cell r="A1409" t="str">
            <v>SC0429</v>
          </cell>
          <cell r="B1409" t="str">
            <v>SRR17900412</v>
          </cell>
          <cell r="C1409">
            <v>2256</v>
          </cell>
          <cell r="D1409">
            <v>828</v>
          </cell>
          <cell r="E1409" t="str">
            <v>Homo sapiens</v>
          </cell>
          <cell r="F1409" t="str">
            <v>Campylobacter coli</v>
          </cell>
          <cell r="G1409" t="str">
            <v>NEW</v>
          </cell>
          <cell r="H1409" t="str">
            <v>NEW</v>
          </cell>
          <cell r="I1409" t="str">
            <v>CAMP0331 (cmeB)</v>
          </cell>
          <cell r="J1409">
            <v>4483</v>
          </cell>
        </row>
        <row r="1410">
          <cell r="A1410" t="str">
            <v>SC0456</v>
          </cell>
          <cell r="B1410" t="str">
            <v>SRR17900574</v>
          </cell>
          <cell r="C1410">
            <v>0</v>
          </cell>
          <cell r="D1410">
            <v>0</v>
          </cell>
          <cell r="E1410" t="str">
            <v>Homo sapiens</v>
          </cell>
          <cell r="F1410" t="str">
            <v>Campylobacter coli</v>
          </cell>
          <cell r="G1410" t="str">
            <v>NEW</v>
          </cell>
          <cell r="H1410" t="str">
            <v>NEW</v>
          </cell>
          <cell r="I1410" t="str">
            <v>CAMP0331 (cmeB)</v>
          </cell>
          <cell r="J1410">
            <v>4868</v>
          </cell>
        </row>
        <row r="1411">
          <cell r="A1411" t="str">
            <v>SC0456</v>
          </cell>
          <cell r="B1411" t="str">
            <v>SRR17900574</v>
          </cell>
          <cell r="C1411">
            <v>0</v>
          </cell>
          <cell r="D1411">
            <v>0</v>
          </cell>
          <cell r="E1411" t="str">
            <v>Homo sapiens</v>
          </cell>
          <cell r="F1411" t="str">
            <v>Campylobacter coli</v>
          </cell>
          <cell r="G1411" t="str">
            <v>NEW</v>
          </cell>
          <cell r="H1411" t="str">
            <v>NEW</v>
          </cell>
          <cell r="I1411" t="str">
            <v>CAMP0331 (cmeB)</v>
          </cell>
          <cell r="J1411">
            <v>4868</v>
          </cell>
        </row>
        <row r="1412">
          <cell r="A1412" t="str">
            <v>SC0456</v>
          </cell>
          <cell r="B1412" t="str">
            <v>SRR17900574</v>
          </cell>
          <cell r="C1412">
            <v>0</v>
          </cell>
          <cell r="D1412">
            <v>0</v>
          </cell>
          <cell r="E1412" t="str">
            <v>Homo sapiens</v>
          </cell>
          <cell r="F1412" t="str">
            <v>Campylobacter coli</v>
          </cell>
          <cell r="G1412" t="str">
            <v>NEW</v>
          </cell>
          <cell r="H1412" t="str">
            <v>NEW</v>
          </cell>
          <cell r="I1412" t="str">
            <v>CAMP0331 (cmeB)</v>
          </cell>
          <cell r="J1412">
            <v>4868</v>
          </cell>
        </row>
        <row r="1413">
          <cell r="A1413" t="str">
            <v>SC0456</v>
          </cell>
          <cell r="B1413" t="str">
            <v>SRR17900574</v>
          </cell>
          <cell r="C1413">
            <v>0</v>
          </cell>
          <cell r="D1413">
            <v>0</v>
          </cell>
          <cell r="E1413" t="str">
            <v>Homo sapiens</v>
          </cell>
          <cell r="F1413" t="str">
            <v>Campylobacter coli</v>
          </cell>
          <cell r="G1413" t="str">
            <v>NEW</v>
          </cell>
          <cell r="H1413" t="str">
            <v>NEW</v>
          </cell>
          <cell r="I1413" t="str">
            <v>CAMP0331 (cmeB)</v>
          </cell>
          <cell r="J1413">
            <v>4868</v>
          </cell>
        </row>
        <row r="1414">
          <cell r="A1414" t="str">
            <v>SC0456</v>
          </cell>
          <cell r="B1414" t="str">
            <v>SRR17900574</v>
          </cell>
          <cell r="C1414">
            <v>0</v>
          </cell>
          <cell r="D1414">
            <v>0</v>
          </cell>
          <cell r="E1414" t="str">
            <v>Homo sapiens</v>
          </cell>
          <cell r="F1414" t="str">
            <v>Campylobacter coli</v>
          </cell>
          <cell r="G1414" t="str">
            <v>NEW</v>
          </cell>
          <cell r="H1414" t="str">
            <v>NEW</v>
          </cell>
          <cell r="I1414" t="str">
            <v>CAMP0331 (cmeB)</v>
          </cell>
          <cell r="J1414">
            <v>4868</v>
          </cell>
        </row>
        <row r="1415">
          <cell r="A1415" t="str">
            <v>SC0456</v>
          </cell>
          <cell r="B1415" t="str">
            <v>SRR17900574</v>
          </cell>
          <cell r="C1415">
            <v>0</v>
          </cell>
          <cell r="D1415">
            <v>0</v>
          </cell>
          <cell r="E1415" t="str">
            <v>Homo sapiens</v>
          </cell>
          <cell r="F1415" t="str">
            <v>Campylobacter coli</v>
          </cell>
          <cell r="G1415" t="str">
            <v>NEW</v>
          </cell>
          <cell r="H1415" t="str">
            <v>NEW</v>
          </cell>
          <cell r="I1415" t="str">
            <v>CAMP0331 (cmeB)</v>
          </cell>
          <cell r="J1415">
            <v>4868</v>
          </cell>
        </row>
        <row r="1416">
          <cell r="A1416" t="str">
            <v>SC0493</v>
          </cell>
          <cell r="B1416" t="str">
            <v>SRR17900375</v>
          </cell>
          <cell r="C1416">
            <v>0</v>
          </cell>
          <cell r="D1416">
            <v>0</v>
          </cell>
          <cell r="E1416" t="str">
            <v>Homo sapiens</v>
          </cell>
          <cell r="F1416" t="str">
            <v>Campylobacter coli</v>
          </cell>
          <cell r="G1416" t="str">
            <v>NEW</v>
          </cell>
          <cell r="H1416" t="str">
            <v>NEW</v>
          </cell>
          <cell r="I1416" t="str">
            <v>CAMP0331 (cmeB)</v>
          </cell>
          <cell r="J1416">
            <v>998</v>
          </cell>
        </row>
        <row r="1417">
          <cell r="A1417" t="str">
            <v>SC0496</v>
          </cell>
          <cell r="B1417" t="str">
            <v>SRR17900371</v>
          </cell>
          <cell r="C1417">
            <v>3753</v>
          </cell>
          <cell r="D1417">
            <v>828</v>
          </cell>
          <cell r="E1417" t="str">
            <v>Homo sapiens</v>
          </cell>
          <cell r="F1417" t="str">
            <v>Campylobacter coli</v>
          </cell>
          <cell r="G1417" t="str">
            <v>NEW</v>
          </cell>
          <cell r="H1417" t="str">
            <v>NEW</v>
          </cell>
          <cell r="I1417" t="str">
            <v>CAMP0331 (cmeB)</v>
          </cell>
          <cell r="J1417">
            <v>393</v>
          </cell>
        </row>
        <row r="1418">
          <cell r="A1418" t="str">
            <v>SC0599</v>
          </cell>
          <cell r="B1418" t="str">
            <v>SRR17925113</v>
          </cell>
          <cell r="C1418">
            <v>825</v>
          </cell>
          <cell r="D1418">
            <v>828</v>
          </cell>
          <cell r="E1418" t="str">
            <v>Homo sapiens</v>
          </cell>
          <cell r="F1418" t="str">
            <v>Campylobacter coli</v>
          </cell>
          <cell r="G1418" t="str">
            <v>NEW</v>
          </cell>
          <cell r="H1418" t="str">
            <v>NEW</v>
          </cell>
          <cell r="I1418" t="str">
            <v>CAMP0331 (cmeB)</v>
          </cell>
          <cell r="J1418">
            <v>892</v>
          </cell>
        </row>
        <row r="1419">
          <cell r="A1419" t="str">
            <v>SC0613</v>
          </cell>
          <cell r="B1419" t="str">
            <v>SRR17925473</v>
          </cell>
          <cell r="C1419">
            <v>828</v>
          </cell>
          <cell r="D1419">
            <v>828</v>
          </cell>
          <cell r="E1419" t="str">
            <v>Gallus gallus</v>
          </cell>
          <cell r="F1419" t="str">
            <v>Campylobacter coli</v>
          </cell>
          <cell r="G1419" t="str">
            <v>NEW</v>
          </cell>
          <cell r="H1419" t="str">
            <v>NEW</v>
          </cell>
          <cell r="I1419" t="str">
            <v>CAMP0331 (cmeB)</v>
          </cell>
          <cell r="J1419">
            <v>4483</v>
          </cell>
        </row>
        <row r="1420">
          <cell r="A1420" t="str">
            <v>SC0198</v>
          </cell>
          <cell r="B1420" t="str">
            <v>SRR17899182</v>
          </cell>
          <cell r="C1420">
            <v>530</v>
          </cell>
          <cell r="D1420">
            <v>0</v>
          </cell>
          <cell r="E1420" t="str">
            <v>Homo sapiens</v>
          </cell>
          <cell r="F1420" t="str">
            <v>Campylobacter jejuni</v>
          </cell>
          <cell r="G1420" t="str">
            <v>NEW</v>
          </cell>
          <cell r="H1420" t="str">
            <v>NEW</v>
          </cell>
          <cell r="I1420" t="str">
            <v>CAMP0331 (cmeB)</v>
          </cell>
          <cell r="J1420">
            <v>506</v>
          </cell>
        </row>
        <row r="1421">
          <cell r="A1421" t="str">
            <v>SC0794</v>
          </cell>
          <cell r="B1421" t="str">
            <v>SRR17925276</v>
          </cell>
          <cell r="C1421">
            <v>0</v>
          </cell>
          <cell r="D1421">
            <v>0</v>
          </cell>
          <cell r="E1421" t="str">
            <v>Homo sapiens</v>
          </cell>
          <cell r="F1421" t="str">
            <v>Campylobacter jejuni</v>
          </cell>
          <cell r="G1421" t="str">
            <v>NEW</v>
          </cell>
          <cell r="H1421" t="str">
            <v>NEW</v>
          </cell>
          <cell r="I1421" t="str">
            <v>CAMP0331 (cmeB)</v>
          </cell>
          <cell r="J1421">
            <v>4854</v>
          </cell>
        </row>
        <row r="1422">
          <cell r="A1422" t="str">
            <v>SC0447</v>
          </cell>
          <cell r="B1422" t="str">
            <v>SRR17900584</v>
          </cell>
          <cell r="C1422">
            <v>2256</v>
          </cell>
          <cell r="D1422">
            <v>828</v>
          </cell>
          <cell r="E1422" t="str">
            <v>Homo sapiens</v>
          </cell>
          <cell r="F1422" t="str">
            <v>Campylobacter coli</v>
          </cell>
          <cell r="G1422" t="str">
            <v>NEW</v>
          </cell>
          <cell r="H1422" t="str">
            <v>NEW</v>
          </cell>
          <cell r="I1422" t="str">
            <v>CAMP0331 (cmeB)</v>
          </cell>
          <cell r="J1422">
            <v>4483</v>
          </cell>
        </row>
        <row r="1423">
          <cell r="A1423" t="str">
            <v>SC0513</v>
          </cell>
          <cell r="B1423" t="str">
            <v>SRR17925465</v>
          </cell>
          <cell r="C1423">
            <v>890</v>
          </cell>
          <cell r="D1423">
            <v>828</v>
          </cell>
          <cell r="E1423" t="str">
            <v>Homo sapiens</v>
          </cell>
          <cell r="F1423" t="str">
            <v>Campylobacter coli</v>
          </cell>
          <cell r="G1423" t="str">
            <v>NEW</v>
          </cell>
          <cell r="H1423" t="str">
            <v>NEW</v>
          </cell>
          <cell r="I1423" t="str">
            <v>CAMP0331 (cmeB)</v>
          </cell>
          <cell r="J1423">
            <v>3353</v>
          </cell>
        </row>
        <row r="1424">
          <cell r="A1424" t="str">
            <v>SC1192</v>
          </cell>
          <cell r="B1424" t="str">
            <v>SRR17964895</v>
          </cell>
          <cell r="C1424">
            <v>8926</v>
          </cell>
          <cell r="D1424">
            <v>828</v>
          </cell>
          <cell r="E1424" t="str">
            <v>Homo sapiens</v>
          </cell>
          <cell r="F1424" t="str">
            <v>Campylobacter coli</v>
          </cell>
          <cell r="G1424" t="str">
            <v>NEW</v>
          </cell>
          <cell r="H1424" t="str">
            <v>NEW</v>
          </cell>
          <cell r="I1424" t="str">
            <v>CAMP0331 (cmeB)</v>
          </cell>
          <cell r="J1424">
            <v>4483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01B7-955F-43CC-B3D3-04ABE24C6BA0}">
  <sheetPr>
    <pageSetUpPr fitToPage="1"/>
  </sheetPr>
  <dimension ref="A1:AD129"/>
  <sheetViews>
    <sheetView zoomScale="145" zoomScaleNormal="145" workbookViewId="0">
      <selection activeCell="C31" sqref="C31"/>
    </sheetView>
  </sheetViews>
  <sheetFormatPr defaultRowHeight="15" x14ac:dyDescent="0.25"/>
  <cols>
    <col min="1" max="1" width="14.140625" style="4" customWidth="1"/>
    <col min="2" max="2" width="6.5703125" style="4" customWidth="1"/>
    <col min="3" max="3" width="10" style="4" customWidth="1"/>
    <col min="4" max="4" width="4" style="4" bestFit="1" customWidth="1"/>
    <col min="5" max="5" width="4.140625" style="4" bestFit="1" customWidth="1"/>
    <col min="6" max="6" width="3.85546875" style="4" bestFit="1" customWidth="1"/>
    <col min="7" max="7" width="4.7109375" style="4" customWidth="1"/>
    <col min="8" max="8" width="9.28515625" style="4" customWidth="1"/>
    <col min="9" max="9" width="8.5703125" style="4" bestFit="1" customWidth="1"/>
    <col min="10" max="13" width="5.5703125" style="4" customWidth="1"/>
    <col min="14" max="14" width="8.85546875" style="4" customWidth="1"/>
    <col min="15" max="18" width="5.5703125" style="4" customWidth="1"/>
    <col min="19" max="19" width="8.85546875" customWidth="1"/>
    <col min="20" max="23" width="5.5703125" customWidth="1"/>
    <col min="24" max="24" width="6.85546875" bestFit="1" customWidth="1"/>
    <col min="29" max="29" width="11.140625" bestFit="1" customWidth="1"/>
    <col min="30" max="30" width="13.140625" bestFit="1" customWidth="1"/>
  </cols>
  <sheetData>
    <row r="1" spans="1:30" x14ac:dyDescent="0.25">
      <c r="X1" s="12"/>
      <c r="AA1" s="35" t="s">
        <v>0</v>
      </c>
      <c r="AB1" s="36"/>
      <c r="AC1" s="37"/>
    </row>
    <row r="2" spans="1:30" x14ac:dyDescent="0.25">
      <c r="H2" s="41" t="s">
        <v>1</v>
      </c>
      <c r="I2" s="41"/>
      <c r="J2" s="41"/>
      <c r="K2" s="41"/>
      <c r="L2" s="41"/>
      <c r="M2" s="41"/>
      <c r="N2" s="38" t="s">
        <v>1</v>
      </c>
      <c r="O2" s="39"/>
      <c r="P2" s="39"/>
      <c r="Q2" s="39"/>
      <c r="R2" s="40"/>
      <c r="S2" s="38" t="s">
        <v>1</v>
      </c>
      <c r="T2" s="39"/>
      <c r="U2" s="39"/>
      <c r="V2" s="39"/>
      <c r="W2" s="40"/>
      <c r="X2" s="12"/>
      <c r="Z2" s="5" t="s">
        <v>2</v>
      </c>
      <c r="AA2" s="5" t="s">
        <v>3</v>
      </c>
      <c r="AB2" s="5" t="s">
        <v>4</v>
      </c>
      <c r="AC2" s="5" t="s">
        <v>5</v>
      </c>
      <c r="AD2" s="5" t="s">
        <v>6</v>
      </c>
    </row>
    <row r="3" spans="1:30" x14ac:dyDescent="0.25">
      <c r="D3" s="10" t="s">
        <v>7</v>
      </c>
      <c r="E3" s="10"/>
      <c r="F3" s="10"/>
      <c r="G3" s="11" t="s">
        <v>1</v>
      </c>
      <c r="H3" s="38" t="s">
        <v>8</v>
      </c>
      <c r="I3" s="39"/>
      <c r="J3" s="39"/>
      <c r="K3" s="39"/>
      <c r="L3" s="39"/>
      <c r="M3" s="40"/>
      <c r="N3" s="38" t="s">
        <v>9</v>
      </c>
      <c r="O3" s="39"/>
      <c r="P3" s="39"/>
      <c r="Q3" s="39"/>
      <c r="R3" s="40"/>
      <c r="S3" s="38" t="s">
        <v>10</v>
      </c>
      <c r="T3" s="39"/>
      <c r="U3" s="39"/>
      <c r="V3" s="39"/>
      <c r="W3" s="40"/>
      <c r="X3" s="12"/>
      <c r="Z3" s="10" t="s">
        <v>11</v>
      </c>
      <c r="AA3" s="10" t="s">
        <v>12</v>
      </c>
      <c r="AB3" s="10" t="s">
        <v>13</v>
      </c>
      <c r="AC3" s="10" t="s">
        <v>14</v>
      </c>
      <c r="AD3" s="10" t="s">
        <v>15</v>
      </c>
    </row>
    <row r="4" spans="1:30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6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24</v>
      </c>
      <c r="O4" s="5" t="s">
        <v>26</v>
      </c>
      <c r="P4" s="5" t="s">
        <v>27</v>
      </c>
      <c r="Q4" s="5" t="s">
        <v>28</v>
      </c>
      <c r="R4" s="5" t="s">
        <v>29</v>
      </c>
      <c r="S4" s="5" t="s">
        <v>24</v>
      </c>
      <c r="T4" s="5" t="s">
        <v>26</v>
      </c>
      <c r="U4" s="5" t="s">
        <v>27</v>
      </c>
      <c r="V4" s="5" t="s">
        <v>28</v>
      </c>
      <c r="W4" s="5" t="s">
        <v>29</v>
      </c>
      <c r="X4" s="13"/>
      <c r="Z4" s="10" t="s">
        <v>30</v>
      </c>
      <c r="AA4" s="7" t="s">
        <v>12</v>
      </c>
      <c r="AB4" s="10" t="s">
        <v>13</v>
      </c>
      <c r="AC4" s="10" t="s">
        <v>31</v>
      </c>
      <c r="AD4" s="10" t="s">
        <v>15</v>
      </c>
    </row>
    <row r="5" spans="1:30" x14ac:dyDescent="0.25">
      <c r="A5" s="1" t="s">
        <v>32</v>
      </c>
      <c r="B5" s="1">
        <v>825</v>
      </c>
      <c r="C5" s="1" t="s">
        <v>33</v>
      </c>
      <c r="D5" s="1" t="s">
        <v>34</v>
      </c>
      <c r="E5" s="2" t="s">
        <v>15</v>
      </c>
      <c r="F5" s="1" t="s">
        <v>34</v>
      </c>
      <c r="G5" s="1">
        <v>1</v>
      </c>
      <c r="H5" s="6">
        <v>45716</v>
      </c>
      <c r="I5" s="26">
        <v>68</v>
      </c>
      <c r="J5" s="7">
        <v>1</v>
      </c>
      <c r="K5" s="7">
        <v>1</v>
      </c>
      <c r="L5" s="7">
        <v>1</v>
      </c>
      <c r="M5" s="7" t="s">
        <v>34</v>
      </c>
      <c r="N5" s="6">
        <v>45716</v>
      </c>
      <c r="O5" s="7">
        <v>0.06</v>
      </c>
      <c r="P5" s="7">
        <v>0.06</v>
      </c>
      <c r="Q5" s="7">
        <v>0.06</v>
      </c>
      <c r="R5" s="7" t="s">
        <v>34</v>
      </c>
      <c r="S5" s="6">
        <v>45716</v>
      </c>
      <c r="T5" s="18">
        <v>1</v>
      </c>
      <c r="U5" s="18">
        <v>1</v>
      </c>
      <c r="V5" s="18">
        <v>1</v>
      </c>
      <c r="W5" s="18" t="s">
        <v>34</v>
      </c>
      <c r="X5" s="14"/>
      <c r="Z5" s="11" t="s">
        <v>36</v>
      </c>
      <c r="AA5" s="34" t="s">
        <v>37</v>
      </c>
      <c r="AB5" s="34"/>
      <c r="AC5" s="34"/>
      <c r="AD5" s="11" t="s">
        <v>6</v>
      </c>
    </row>
    <row r="6" spans="1:30" x14ac:dyDescent="0.25">
      <c r="A6" s="1" t="s">
        <v>32</v>
      </c>
      <c r="B6" s="1">
        <v>825</v>
      </c>
      <c r="C6" s="1" t="s">
        <v>33</v>
      </c>
      <c r="D6" s="1"/>
      <c r="E6" s="2"/>
      <c r="F6" s="1"/>
      <c r="G6" s="1">
        <v>2</v>
      </c>
      <c r="H6" s="6">
        <v>45730</v>
      </c>
      <c r="I6" s="26">
        <v>70</v>
      </c>
      <c r="J6" s="7">
        <v>1</v>
      </c>
      <c r="K6" s="7">
        <v>1</v>
      </c>
      <c r="L6" s="7">
        <v>1</v>
      </c>
      <c r="M6" s="7" t="s">
        <v>34</v>
      </c>
      <c r="N6" s="6">
        <v>45730</v>
      </c>
      <c r="O6" s="7">
        <v>0.12</v>
      </c>
      <c r="P6" s="7">
        <v>0.12</v>
      </c>
      <c r="Q6" s="7">
        <v>0.12</v>
      </c>
      <c r="R6" s="7" t="s">
        <v>34</v>
      </c>
      <c r="S6" s="6">
        <v>45730</v>
      </c>
      <c r="T6" s="18">
        <v>2</v>
      </c>
      <c r="U6" s="18">
        <v>2</v>
      </c>
      <c r="V6" s="18">
        <v>2</v>
      </c>
      <c r="W6" s="18" t="s">
        <v>15</v>
      </c>
      <c r="X6" s="14"/>
      <c r="Z6" s="7" t="s">
        <v>38</v>
      </c>
      <c r="AA6" s="7" t="s">
        <v>39</v>
      </c>
      <c r="AB6" s="7" t="s">
        <v>40</v>
      </c>
      <c r="AC6" s="7" t="s">
        <v>41</v>
      </c>
      <c r="AD6" s="7" t="s">
        <v>34</v>
      </c>
    </row>
    <row r="7" spans="1:30" x14ac:dyDescent="0.25">
      <c r="A7" s="1" t="s">
        <v>32</v>
      </c>
      <c r="B7" s="1">
        <v>825</v>
      </c>
      <c r="C7" s="1" t="s">
        <v>33</v>
      </c>
      <c r="D7" s="1"/>
      <c r="E7" s="2"/>
      <c r="F7" s="1"/>
      <c r="G7" s="1">
        <v>3</v>
      </c>
      <c r="H7" s="6">
        <v>45742</v>
      </c>
      <c r="I7" s="26">
        <v>46</v>
      </c>
      <c r="J7" s="7">
        <v>0.25</v>
      </c>
      <c r="K7" s="7">
        <v>0.25</v>
      </c>
      <c r="L7" s="7">
        <v>0.25</v>
      </c>
      <c r="M7" s="7" t="s">
        <v>34</v>
      </c>
      <c r="N7" s="6">
        <v>45742</v>
      </c>
      <c r="O7" s="7">
        <v>0.12</v>
      </c>
      <c r="P7" s="7">
        <v>0.12</v>
      </c>
      <c r="Q7" s="7">
        <v>0.12</v>
      </c>
      <c r="R7" s="7" t="s">
        <v>34</v>
      </c>
      <c r="S7" s="6">
        <v>45742</v>
      </c>
      <c r="T7" s="18">
        <v>4</v>
      </c>
      <c r="U7" s="18">
        <v>4</v>
      </c>
      <c r="V7" s="18">
        <v>4</v>
      </c>
      <c r="W7" s="18" t="s">
        <v>15</v>
      </c>
      <c r="X7" s="14"/>
      <c r="Z7" s="11"/>
      <c r="AA7" s="15"/>
      <c r="AB7" s="15"/>
      <c r="AC7" s="15"/>
      <c r="AD7" s="11"/>
    </row>
    <row r="8" spans="1:30" x14ac:dyDescent="0.25">
      <c r="A8" s="1" t="s">
        <v>32</v>
      </c>
      <c r="B8" s="1"/>
      <c r="C8" s="1"/>
      <c r="D8" s="1"/>
      <c r="E8" s="2"/>
      <c r="F8" s="1"/>
      <c r="G8" s="1"/>
      <c r="H8" s="6">
        <v>45810</v>
      </c>
      <c r="I8" s="26">
        <v>13</v>
      </c>
      <c r="J8" s="6" t="s">
        <v>91</v>
      </c>
      <c r="K8" s="6" t="s">
        <v>91</v>
      </c>
      <c r="L8" s="6" t="s">
        <v>91</v>
      </c>
      <c r="M8" s="6" t="s">
        <v>91</v>
      </c>
      <c r="N8" s="6" t="s">
        <v>91</v>
      </c>
      <c r="O8" s="6" t="s">
        <v>91</v>
      </c>
      <c r="P8" s="6" t="s">
        <v>91</v>
      </c>
      <c r="Q8" s="6" t="s">
        <v>91</v>
      </c>
      <c r="R8" s="6" t="s">
        <v>91</v>
      </c>
      <c r="S8" s="6">
        <v>45810</v>
      </c>
      <c r="T8" s="18">
        <v>2</v>
      </c>
      <c r="U8" s="18">
        <v>2</v>
      </c>
      <c r="V8" s="18">
        <v>2</v>
      </c>
      <c r="W8" s="18" t="s">
        <v>15</v>
      </c>
      <c r="X8" s="14"/>
      <c r="Z8" s="11"/>
      <c r="AA8" s="15"/>
      <c r="AB8" s="15"/>
      <c r="AC8" s="15"/>
      <c r="AD8" s="11"/>
    </row>
    <row r="9" spans="1:30" x14ac:dyDescent="0.25">
      <c r="A9" s="1"/>
      <c r="B9" s="1"/>
      <c r="C9" s="1"/>
      <c r="D9" s="1"/>
      <c r="E9" s="1"/>
      <c r="F9" s="1"/>
      <c r="G9" s="1"/>
      <c r="H9" s="6"/>
      <c r="I9" s="7"/>
      <c r="J9" s="7"/>
      <c r="K9" s="7"/>
      <c r="L9" s="7"/>
      <c r="M9" s="7"/>
      <c r="N9" s="6"/>
      <c r="O9" s="7"/>
      <c r="P9" s="7"/>
      <c r="Q9" s="7"/>
      <c r="R9" s="7"/>
      <c r="S9" s="6"/>
      <c r="T9" s="7"/>
      <c r="U9" s="7"/>
      <c r="V9" s="7"/>
      <c r="W9" s="7"/>
      <c r="X9" s="14"/>
      <c r="Z9" s="11"/>
      <c r="AA9" s="15"/>
      <c r="AB9" s="15"/>
      <c r="AC9" s="15"/>
      <c r="AD9" s="11"/>
    </row>
    <row r="10" spans="1:30" x14ac:dyDescent="0.25">
      <c r="A10" s="1" t="s">
        <v>42</v>
      </c>
      <c r="B10" s="1">
        <v>6964</v>
      </c>
      <c r="C10" s="1" t="s">
        <v>43</v>
      </c>
      <c r="D10" s="2" t="s">
        <v>15</v>
      </c>
      <c r="E10" s="1" t="s">
        <v>34</v>
      </c>
      <c r="F10" s="2" t="s">
        <v>15</v>
      </c>
      <c r="G10" s="1">
        <v>1</v>
      </c>
      <c r="H10" s="6">
        <v>45716</v>
      </c>
      <c r="I10" s="8">
        <v>140</v>
      </c>
      <c r="J10" s="7">
        <v>32</v>
      </c>
      <c r="K10" s="7">
        <v>32</v>
      </c>
      <c r="L10" s="7">
        <v>32</v>
      </c>
      <c r="M10" s="7" t="s">
        <v>15</v>
      </c>
      <c r="N10" s="6">
        <v>45716</v>
      </c>
      <c r="O10" s="7">
        <v>4</v>
      </c>
      <c r="P10" s="7">
        <v>4</v>
      </c>
      <c r="Q10" s="7">
        <v>4</v>
      </c>
      <c r="R10" s="7" t="s">
        <v>15</v>
      </c>
      <c r="S10" s="6">
        <v>45716</v>
      </c>
      <c r="T10" s="7" t="s">
        <v>44</v>
      </c>
      <c r="U10" s="7" t="s">
        <v>44</v>
      </c>
      <c r="V10" s="7" t="s">
        <v>44</v>
      </c>
      <c r="W10" s="7" t="s">
        <v>44</v>
      </c>
    </row>
    <row r="11" spans="1:30" ht="18" x14ac:dyDescent="0.25">
      <c r="A11" s="1" t="s">
        <v>42</v>
      </c>
      <c r="B11" s="1">
        <v>6964</v>
      </c>
      <c r="C11" s="1" t="s">
        <v>43</v>
      </c>
      <c r="D11" s="2" t="s">
        <v>15</v>
      </c>
      <c r="E11" s="1" t="s">
        <v>34</v>
      </c>
      <c r="F11" s="2" t="s">
        <v>15</v>
      </c>
      <c r="G11" s="1">
        <v>2</v>
      </c>
      <c r="H11" s="6">
        <v>45730</v>
      </c>
      <c r="I11" s="7">
        <v>31</v>
      </c>
      <c r="J11" s="7">
        <v>32</v>
      </c>
      <c r="K11" s="7">
        <v>32</v>
      </c>
      <c r="L11" s="7">
        <v>32</v>
      </c>
      <c r="M11" s="7" t="s">
        <v>15</v>
      </c>
      <c r="N11" s="6">
        <v>45730</v>
      </c>
      <c r="O11" s="7">
        <v>4</v>
      </c>
      <c r="P11" s="7">
        <v>4</v>
      </c>
      <c r="Q11" s="7">
        <v>4</v>
      </c>
      <c r="R11" s="7" t="s">
        <v>15</v>
      </c>
      <c r="S11" s="6">
        <v>45730</v>
      </c>
      <c r="T11" s="7" t="s">
        <v>44</v>
      </c>
      <c r="U11" s="7" t="s">
        <v>44</v>
      </c>
      <c r="V11" s="7" t="s">
        <v>44</v>
      </c>
      <c r="W11" s="7" t="s">
        <v>44</v>
      </c>
      <c r="X11" s="14"/>
      <c r="Z11" s="9" t="s">
        <v>45</v>
      </c>
      <c r="AA11" s="14"/>
      <c r="AB11" s="14"/>
      <c r="AC11" s="14"/>
      <c r="AD11" s="14"/>
    </row>
    <row r="12" spans="1:30" x14ac:dyDescent="0.25">
      <c r="A12" s="1" t="s">
        <v>42</v>
      </c>
      <c r="B12" s="1">
        <v>6964</v>
      </c>
      <c r="C12" s="1" t="s">
        <v>43</v>
      </c>
      <c r="D12" s="2" t="s">
        <v>15</v>
      </c>
      <c r="E12" s="1" t="s">
        <v>34</v>
      </c>
      <c r="F12" s="2" t="s">
        <v>15</v>
      </c>
      <c r="G12" s="1">
        <v>3</v>
      </c>
      <c r="H12" s="6">
        <v>45742</v>
      </c>
      <c r="I12" s="7">
        <v>46</v>
      </c>
      <c r="J12" s="7">
        <v>16</v>
      </c>
      <c r="K12" s="7">
        <v>16</v>
      </c>
      <c r="L12" s="7">
        <v>16</v>
      </c>
      <c r="M12" s="7" t="s">
        <v>15</v>
      </c>
      <c r="N12" s="6">
        <v>45742</v>
      </c>
      <c r="O12" s="7">
        <v>4</v>
      </c>
      <c r="P12" s="7">
        <v>4</v>
      </c>
      <c r="Q12" s="7">
        <v>4</v>
      </c>
      <c r="R12" s="7" t="s">
        <v>15</v>
      </c>
      <c r="S12" s="6">
        <v>45742</v>
      </c>
      <c r="T12" s="7" t="s">
        <v>44</v>
      </c>
      <c r="U12" s="7" t="s">
        <v>44</v>
      </c>
      <c r="V12" s="7" t="s">
        <v>44</v>
      </c>
      <c r="W12" s="7" t="s">
        <v>44</v>
      </c>
      <c r="X12" s="14"/>
      <c r="Z12" s="18" t="s">
        <v>92</v>
      </c>
      <c r="AA12" s="14"/>
      <c r="AB12" s="14"/>
      <c r="AC12" s="14"/>
      <c r="AD12" s="14"/>
    </row>
    <row r="13" spans="1:30" x14ac:dyDescent="0.25">
      <c r="A13" s="1"/>
      <c r="B13" s="1"/>
      <c r="C13" s="1"/>
      <c r="D13" s="1"/>
      <c r="E13" s="1"/>
      <c r="F13" s="1"/>
      <c r="G13" s="1"/>
      <c r="H13" s="6"/>
      <c r="I13" s="7"/>
      <c r="J13" s="7"/>
      <c r="K13" s="7"/>
      <c r="L13" s="7"/>
      <c r="M13" s="7"/>
      <c r="N13" s="6"/>
      <c r="O13" s="7"/>
      <c r="P13" s="7"/>
      <c r="Q13" s="7"/>
      <c r="R13" s="7"/>
      <c r="S13" s="6"/>
      <c r="T13" s="7"/>
      <c r="U13" s="7"/>
      <c r="V13" s="7"/>
      <c r="W13" s="7"/>
      <c r="X13" s="14"/>
      <c r="Z13" s="14"/>
      <c r="AA13" s="14"/>
      <c r="AB13" s="14"/>
      <c r="AC13" s="14"/>
      <c r="AD13" s="14"/>
    </row>
    <row r="14" spans="1:30" x14ac:dyDescent="0.25">
      <c r="A14" s="1" t="s">
        <v>46</v>
      </c>
      <c r="B14" s="1" t="s">
        <v>47</v>
      </c>
      <c r="C14" s="1" t="s">
        <v>48</v>
      </c>
      <c r="D14" s="2" t="s">
        <v>15</v>
      </c>
      <c r="E14" s="1" t="s">
        <v>34</v>
      </c>
      <c r="F14" s="2" t="s">
        <v>15</v>
      </c>
      <c r="G14" s="1">
        <v>1</v>
      </c>
      <c r="H14" s="7" t="s">
        <v>49</v>
      </c>
      <c r="I14" s="7">
        <v>65</v>
      </c>
      <c r="J14" s="18">
        <v>32</v>
      </c>
      <c r="K14" s="18">
        <v>32</v>
      </c>
      <c r="L14" s="18">
        <v>32</v>
      </c>
      <c r="M14" s="7" t="s">
        <v>50</v>
      </c>
      <c r="N14" s="7" t="s">
        <v>49</v>
      </c>
      <c r="O14" s="7">
        <v>8</v>
      </c>
      <c r="P14" s="7">
        <v>8</v>
      </c>
      <c r="Q14" s="7">
        <v>8</v>
      </c>
      <c r="R14" s="7" t="s">
        <v>50</v>
      </c>
      <c r="S14" s="7" t="s">
        <v>49</v>
      </c>
      <c r="T14" s="7" t="s">
        <v>44</v>
      </c>
      <c r="U14" s="7" t="s">
        <v>44</v>
      </c>
      <c r="V14" s="7" t="s">
        <v>44</v>
      </c>
      <c r="W14" s="7" t="s">
        <v>44</v>
      </c>
      <c r="X14" s="14"/>
    </row>
    <row r="15" spans="1:30" x14ac:dyDescent="0.25">
      <c r="A15" s="1" t="s">
        <v>46</v>
      </c>
      <c r="B15" s="1" t="s">
        <v>47</v>
      </c>
      <c r="C15" s="1" t="s">
        <v>48</v>
      </c>
      <c r="D15" s="2" t="s">
        <v>15</v>
      </c>
      <c r="E15" s="1" t="s">
        <v>34</v>
      </c>
      <c r="F15" s="2" t="s">
        <v>15</v>
      </c>
      <c r="G15" s="1">
        <v>2</v>
      </c>
      <c r="H15" s="6">
        <v>45730</v>
      </c>
      <c r="I15" s="7">
        <v>86</v>
      </c>
      <c r="J15" s="18">
        <v>64</v>
      </c>
      <c r="K15" s="18">
        <v>64</v>
      </c>
      <c r="L15" s="18">
        <v>64</v>
      </c>
      <c r="M15" s="7" t="s">
        <v>15</v>
      </c>
      <c r="N15" s="6">
        <v>45730</v>
      </c>
      <c r="O15" s="7">
        <v>1</v>
      </c>
      <c r="P15" s="7">
        <v>1</v>
      </c>
      <c r="Q15" s="7">
        <v>1</v>
      </c>
      <c r="R15" s="7" t="s">
        <v>34</v>
      </c>
      <c r="S15" s="6">
        <v>45730</v>
      </c>
      <c r="T15" s="7" t="s">
        <v>44</v>
      </c>
      <c r="U15" s="7" t="s">
        <v>44</v>
      </c>
      <c r="V15" s="7" t="s">
        <v>44</v>
      </c>
      <c r="W15" s="7" t="s">
        <v>44</v>
      </c>
      <c r="X15" s="14"/>
    </row>
    <row r="16" spans="1:30" x14ac:dyDescent="0.25">
      <c r="A16" s="1" t="s">
        <v>46</v>
      </c>
      <c r="B16" s="1" t="s">
        <v>47</v>
      </c>
      <c r="C16" s="1" t="s">
        <v>48</v>
      </c>
      <c r="D16" s="2" t="s">
        <v>15</v>
      </c>
      <c r="E16" s="1" t="s">
        <v>34</v>
      </c>
      <c r="F16" s="2" t="s">
        <v>15</v>
      </c>
      <c r="G16" s="1">
        <v>3</v>
      </c>
      <c r="H16" s="6">
        <v>45742</v>
      </c>
      <c r="I16" s="8">
        <v>100</v>
      </c>
      <c r="J16" s="18">
        <v>16</v>
      </c>
      <c r="K16" s="18">
        <v>16</v>
      </c>
      <c r="L16" s="18">
        <v>16</v>
      </c>
      <c r="M16" s="7" t="s">
        <v>15</v>
      </c>
      <c r="N16" s="6">
        <v>45742</v>
      </c>
      <c r="O16" s="7">
        <v>8</v>
      </c>
      <c r="P16" s="7">
        <v>8</v>
      </c>
      <c r="Q16" s="7">
        <v>8</v>
      </c>
      <c r="R16" s="7" t="s">
        <v>15</v>
      </c>
      <c r="S16" s="6">
        <v>45742</v>
      </c>
      <c r="T16" s="7" t="s">
        <v>44</v>
      </c>
      <c r="U16" s="7" t="s">
        <v>44</v>
      </c>
      <c r="V16" s="7" t="s">
        <v>44</v>
      </c>
      <c r="W16" s="7" t="s">
        <v>44</v>
      </c>
      <c r="X16" s="14"/>
    </row>
    <row r="17" spans="1:24" x14ac:dyDescent="0.25">
      <c r="A17" s="1" t="s">
        <v>46</v>
      </c>
      <c r="B17" s="1"/>
      <c r="C17" s="1"/>
      <c r="D17" s="2"/>
      <c r="E17" s="1"/>
      <c r="F17" s="2"/>
      <c r="G17" s="1"/>
      <c r="H17" s="6">
        <v>45838</v>
      </c>
      <c r="I17" s="8">
        <v>69</v>
      </c>
      <c r="J17" s="18">
        <v>64</v>
      </c>
      <c r="K17" s="18">
        <v>64</v>
      </c>
      <c r="L17" s="18">
        <v>64</v>
      </c>
      <c r="M17" s="7" t="s">
        <v>15</v>
      </c>
      <c r="N17" s="6" t="s">
        <v>91</v>
      </c>
      <c r="O17" s="6" t="s">
        <v>91</v>
      </c>
      <c r="P17" s="6" t="s">
        <v>91</v>
      </c>
      <c r="Q17" s="6" t="s">
        <v>91</v>
      </c>
      <c r="R17" s="6" t="s">
        <v>91</v>
      </c>
      <c r="S17" s="6" t="s">
        <v>91</v>
      </c>
      <c r="T17" s="6" t="s">
        <v>91</v>
      </c>
      <c r="U17" s="6" t="s">
        <v>91</v>
      </c>
      <c r="V17" s="6" t="s">
        <v>91</v>
      </c>
      <c r="W17" s="6" t="s">
        <v>91</v>
      </c>
      <c r="X17" s="14"/>
    </row>
    <row r="18" spans="1:24" x14ac:dyDescent="0.25">
      <c r="A18" s="1" t="s">
        <v>46</v>
      </c>
      <c r="B18" s="1"/>
      <c r="C18" s="1"/>
      <c r="D18" s="2"/>
      <c r="E18" s="1"/>
      <c r="F18" s="2"/>
      <c r="G18" s="1"/>
      <c r="H18" s="6">
        <v>45840</v>
      </c>
      <c r="I18" s="8">
        <v>72</v>
      </c>
      <c r="J18" s="18">
        <v>64</v>
      </c>
      <c r="K18" s="18">
        <v>64</v>
      </c>
      <c r="L18" s="18">
        <v>64</v>
      </c>
      <c r="M18" s="7" t="s">
        <v>15</v>
      </c>
      <c r="N18" s="6" t="s">
        <v>91</v>
      </c>
      <c r="O18" s="6" t="s">
        <v>91</v>
      </c>
      <c r="P18" s="6" t="s">
        <v>91</v>
      </c>
      <c r="Q18" s="6" t="s">
        <v>91</v>
      </c>
      <c r="R18" s="6" t="s">
        <v>91</v>
      </c>
      <c r="S18" s="6" t="s">
        <v>91</v>
      </c>
      <c r="T18" s="6" t="s">
        <v>91</v>
      </c>
      <c r="U18" s="6" t="s">
        <v>91</v>
      </c>
      <c r="V18" s="6" t="s">
        <v>91</v>
      </c>
      <c r="W18" s="6" t="s">
        <v>91</v>
      </c>
      <c r="X18" s="14"/>
    </row>
    <row r="19" spans="1:24" x14ac:dyDescent="0.25">
      <c r="A19" s="1"/>
      <c r="B19" s="1"/>
      <c r="C19" s="1"/>
      <c r="D19" s="1"/>
      <c r="E19" s="1"/>
      <c r="F19" s="1"/>
      <c r="G19" s="1"/>
      <c r="H19" s="6"/>
      <c r="I19" s="7"/>
      <c r="J19" s="7"/>
      <c r="K19" s="7"/>
      <c r="L19" s="7"/>
      <c r="M19" s="7"/>
      <c r="N19" s="6"/>
      <c r="O19" s="7"/>
      <c r="P19" s="7"/>
      <c r="Q19" s="7"/>
      <c r="R19" s="7"/>
      <c r="S19" s="6"/>
      <c r="T19" s="7"/>
      <c r="U19" s="7"/>
      <c r="V19" s="7"/>
      <c r="W19" s="7"/>
      <c r="X19" s="14"/>
    </row>
    <row r="20" spans="1:24" x14ac:dyDescent="0.25">
      <c r="A20" s="1" t="s">
        <v>51</v>
      </c>
      <c r="B20" s="1">
        <v>50</v>
      </c>
      <c r="C20" s="1" t="s">
        <v>52</v>
      </c>
      <c r="D20" s="1" t="s">
        <v>34</v>
      </c>
      <c r="E20" s="1" t="s">
        <v>34</v>
      </c>
      <c r="F20" s="2" t="s">
        <v>15</v>
      </c>
      <c r="G20" s="1">
        <v>1</v>
      </c>
      <c r="H20" s="7" t="s">
        <v>49</v>
      </c>
      <c r="I20" s="7">
        <v>32</v>
      </c>
      <c r="J20" s="7">
        <v>0.12</v>
      </c>
      <c r="K20" s="7">
        <v>0.12</v>
      </c>
      <c r="L20" s="7">
        <v>0.12</v>
      </c>
      <c r="M20" s="7" t="s">
        <v>34</v>
      </c>
      <c r="N20" s="7" t="s">
        <v>49</v>
      </c>
      <c r="O20" s="18">
        <v>8</v>
      </c>
      <c r="P20" s="18">
        <v>8</v>
      </c>
      <c r="Q20" s="18">
        <v>8</v>
      </c>
      <c r="R20" s="7" t="s">
        <v>15</v>
      </c>
      <c r="S20" s="7" t="s">
        <v>49</v>
      </c>
      <c r="T20" s="7" t="s">
        <v>44</v>
      </c>
      <c r="U20" s="7" t="s">
        <v>44</v>
      </c>
      <c r="V20" s="7" t="s">
        <v>44</v>
      </c>
      <c r="W20" s="7" t="s">
        <v>44</v>
      </c>
      <c r="X20" s="14"/>
    </row>
    <row r="21" spans="1:24" x14ac:dyDescent="0.25">
      <c r="A21" s="1" t="s">
        <v>51</v>
      </c>
      <c r="B21" s="1">
        <v>50</v>
      </c>
      <c r="C21" s="1" t="s">
        <v>52</v>
      </c>
      <c r="D21" s="1" t="s">
        <v>34</v>
      </c>
      <c r="E21" s="1" t="s">
        <v>34</v>
      </c>
      <c r="F21" s="2" t="s">
        <v>15</v>
      </c>
      <c r="G21" s="1">
        <v>2</v>
      </c>
      <c r="H21" s="6">
        <v>45730</v>
      </c>
      <c r="I21" s="7">
        <v>79</v>
      </c>
      <c r="J21" s="7">
        <v>0.25</v>
      </c>
      <c r="K21" s="7">
        <v>0.25</v>
      </c>
      <c r="L21" s="7">
        <v>0.25</v>
      </c>
      <c r="M21" s="7" t="s">
        <v>34</v>
      </c>
      <c r="N21" s="6">
        <v>45730</v>
      </c>
      <c r="O21" s="18">
        <v>0.5</v>
      </c>
      <c r="P21" s="18">
        <v>0.5</v>
      </c>
      <c r="Q21" s="18">
        <v>0.5</v>
      </c>
      <c r="R21" s="7" t="s">
        <v>15</v>
      </c>
      <c r="S21" s="6">
        <v>45730</v>
      </c>
      <c r="T21" s="7" t="s">
        <v>44</v>
      </c>
      <c r="U21" s="7" t="s">
        <v>44</v>
      </c>
      <c r="V21" s="7" t="s">
        <v>44</v>
      </c>
      <c r="W21" s="7" t="s">
        <v>44</v>
      </c>
      <c r="X21" s="14"/>
    </row>
    <row r="22" spans="1:24" x14ac:dyDescent="0.25">
      <c r="A22" s="1" t="s">
        <v>51</v>
      </c>
      <c r="B22" s="1">
        <v>50</v>
      </c>
      <c r="C22" s="1" t="s">
        <v>52</v>
      </c>
      <c r="D22" s="1" t="s">
        <v>34</v>
      </c>
      <c r="E22" s="1" t="s">
        <v>34</v>
      </c>
      <c r="F22" s="2" t="s">
        <v>15</v>
      </c>
      <c r="G22" s="1">
        <v>3</v>
      </c>
      <c r="H22" s="6">
        <v>45742</v>
      </c>
      <c r="I22" s="7">
        <v>31</v>
      </c>
      <c r="J22" s="7">
        <v>0.12</v>
      </c>
      <c r="K22" s="7">
        <v>0.12</v>
      </c>
      <c r="L22" s="7">
        <v>0.12</v>
      </c>
      <c r="M22" s="7" t="s">
        <v>34</v>
      </c>
      <c r="N22" s="6">
        <v>45742</v>
      </c>
      <c r="O22" s="18">
        <v>4</v>
      </c>
      <c r="P22" s="18">
        <v>4</v>
      </c>
      <c r="Q22" s="18">
        <v>4</v>
      </c>
      <c r="R22" s="7" t="s">
        <v>15</v>
      </c>
      <c r="S22" s="6">
        <v>45742</v>
      </c>
      <c r="T22" s="7" t="s">
        <v>44</v>
      </c>
      <c r="U22" s="7" t="s">
        <v>44</v>
      </c>
      <c r="V22" s="7" t="s">
        <v>44</v>
      </c>
      <c r="W22" s="7" t="s">
        <v>44</v>
      </c>
      <c r="X22" s="14"/>
    </row>
    <row r="23" spans="1:24" x14ac:dyDescent="0.25">
      <c r="A23" s="1" t="s">
        <v>51</v>
      </c>
      <c r="B23" s="1"/>
      <c r="C23" s="1"/>
      <c r="D23" s="1"/>
      <c r="E23" s="1"/>
      <c r="F23" s="2"/>
      <c r="G23" s="1"/>
      <c r="H23" s="6">
        <v>45810</v>
      </c>
      <c r="I23" s="7">
        <v>2</v>
      </c>
      <c r="J23" s="6" t="s">
        <v>91</v>
      </c>
      <c r="K23" s="6" t="s">
        <v>91</v>
      </c>
      <c r="L23" s="6" t="s">
        <v>91</v>
      </c>
      <c r="M23" s="6" t="s">
        <v>91</v>
      </c>
      <c r="N23" s="6">
        <v>45810</v>
      </c>
      <c r="O23" s="18">
        <v>4</v>
      </c>
      <c r="P23" s="18">
        <v>4</v>
      </c>
      <c r="Q23" s="18">
        <v>4</v>
      </c>
      <c r="R23" s="7" t="s">
        <v>15</v>
      </c>
      <c r="S23" s="6" t="s">
        <v>91</v>
      </c>
      <c r="T23" s="6" t="s">
        <v>91</v>
      </c>
      <c r="U23" s="6" t="s">
        <v>91</v>
      </c>
      <c r="V23" s="6" t="s">
        <v>91</v>
      </c>
      <c r="W23" s="6" t="s">
        <v>91</v>
      </c>
      <c r="X23" s="14"/>
    </row>
    <row r="24" spans="1:24" x14ac:dyDescent="0.25">
      <c r="A24" s="1"/>
      <c r="B24" s="1"/>
      <c r="C24" s="1"/>
      <c r="D24" s="1"/>
      <c r="E24" s="1"/>
      <c r="F24" s="1"/>
      <c r="G24" s="1"/>
      <c r="H24" s="6"/>
      <c r="I24" s="7"/>
      <c r="J24" s="7"/>
      <c r="K24" s="7"/>
      <c r="L24" s="7"/>
      <c r="M24" s="7"/>
      <c r="N24" s="6"/>
      <c r="O24" s="7"/>
      <c r="P24" s="7"/>
      <c r="Q24" s="7"/>
      <c r="R24" s="7"/>
      <c r="S24" s="6"/>
      <c r="T24" s="7"/>
      <c r="U24" s="7"/>
      <c r="V24" s="7"/>
      <c r="W24" s="7"/>
      <c r="X24" s="14"/>
    </row>
    <row r="25" spans="1:24" x14ac:dyDescent="0.25">
      <c r="A25" s="1" t="s">
        <v>53</v>
      </c>
      <c r="B25" s="1">
        <v>45</v>
      </c>
      <c r="C25" s="1" t="s">
        <v>54</v>
      </c>
      <c r="D25" s="2" t="s">
        <v>15</v>
      </c>
      <c r="E25" s="1" t="s">
        <v>34</v>
      </c>
      <c r="F25" s="1" t="s">
        <v>34</v>
      </c>
      <c r="G25" s="1">
        <v>1</v>
      </c>
      <c r="H25" s="7" t="s">
        <v>49</v>
      </c>
      <c r="I25" s="7">
        <v>15</v>
      </c>
      <c r="J25" s="18">
        <v>32</v>
      </c>
      <c r="K25" s="18">
        <v>32</v>
      </c>
      <c r="L25" s="18">
        <v>32</v>
      </c>
      <c r="M25" s="7" t="s">
        <v>15</v>
      </c>
      <c r="N25" s="7" t="s">
        <v>49</v>
      </c>
      <c r="O25" s="7">
        <v>0.03</v>
      </c>
      <c r="P25" s="7">
        <v>0.03</v>
      </c>
      <c r="Q25" s="7">
        <v>0.03</v>
      </c>
      <c r="R25" s="7" t="s">
        <v>34</v>
      </c>
      <c r="S25" s="7" t="s">
        <v>49</v>
      </c>
      <c r="T25" s="7" t="s">
        <v>44</v>
      </c>
      <c r="U25" s="7" t="s">
        <v>44</v>
      </c>
      <c r="V25" s="7" t="s">
        <v>44</v>
      </c>
      <c r="W25" s="7" t="s">
        <v>44</v>
      </c>
      <c r="X25" s="14"/>
    </row>
    <row r="26" spans="1:24" x14ac:dyDescent="0.25">
      <c r="A26" s="1" t="s">
        <v>53</v>
      </c>
      <c r="B26" s="1">
        <v>45</v>
      </c>
      <c r="C26" s="1" t="s">
        <v>54</v>
      </c>
      <c r="D26" s="2" t="s">
        <v>15</v>
      </c>
      <c r="E26" s="1" t="s">
        <v>34</v>
      </c>
      <c r="F26" s="1" t="s">
        <v>34</v>
      </c>
      <c r="G26" s="1">
        <v>2</v>
      </c>
      <c r="H26" s="6">
        <v>45730</v>
      </c>
      <c r="I26" s="7">
        <v>58</v>
      </c>
      <c r="J26" s="18">
        <v>2</v>
      </c>
      <c r="K26" s="18">
        <v>2</v>
      </c>
      <c r="L26" s="18">
        <v>2</v>
      </c>
      <c r="M26" s="7" t="s">
        <v>15</v>
      </c>
      <c r="N26" s="6">
        <v>45730</v>
      </c>
      <c r="O26" s="7">
        <v>0.06</v>
      </c>
      <c r="P26" s="7">
        <v>0.06</v>
      </c>
      <c r="Q26" s="7">
        <v>0.06</v>
      </c>
      <c r="R26" s="7" t="s">
        <v>34</v>
      </c>
      <c r="S26" s="6">
        <v>45730</v>
      </c>
      <c r="T26" s="7" t="s">
        <v>44</v>
      </c>
      <c r="U26" s="7" t="s">
        <v>44</v>
      </c>
      <c r="V26" s="7" t="s">
        <v>44</v>
      </c>
      <c r="W26" s="7" t="s">
        <v>44</v>
      </c>
      <c r="X26" s="14"/>
    </row>
    <row r="27" spans="1:24" x14ac:dyDescent="0.25">
      <c r="A27" s="1" t="s">
        <v>53</v>
      </c>
      <c r="B27" s="1">
        <v>45</v>
      </c>
      <c r="C27" s="1" t="s">
        <v>54</v>
      </c>
      <c r="D27" s="2" t="s">
        <v>15</v>
      </c>
      <c r="E27" s="1" t="s">
        <v>34</v>
      </c>
      <c r="F27" s="1" t="s">
        <v>34</v>
      </c>
      <c r="G27" s="1">
        <v>3</v>
      </c>
      <c r="H27" s="6">
        <v>45742</v>
      </c>
      <c r="I27" s="7">
        <v>40</v>
      </c>
      <c r="J27" s="18">
        <v>16</v>
      </c>
      <c r="K27" s="18">
        <v>16</v>
      </c>
      <c r="L27" s="18">
        <v>16</v>
      </c>
      <c r="M27" s="7" t="s">
        <v>15</v>
      </c>
      <c r="N27" s="6">
        <v>45742</v>
      </c>
      <c r="O27" s="7">
        <v>0.03</v>
      </c>
      <c r="P27" s="7">
        <v>0.03</v>
      </c>
      <c r="Q27" s="7">
        <v>0.03</v>
      </c>
      <c r="R27" s="7" t="s">
        <v>34</v>
      </c>
      <c r="S27" s="6">
        <v>45742</v>
      </c>
      <c r="T27" s="7" t="s">
        <v>44</v>
      </c>
      <c r="U27" s="7" t="s">
        <v>44</v>
      </c>
      <c r="V27" s="7" t="s">
        <v>44</v>
      </c>
      <c r="W27" s="7" t="s">
        <v>44</v>
      </c>
      <c r="X27" s="14"/>
    </row>
    <row r="28" spans="1:24" x14ac:dyDescent="0.25">
      <c r="A28" s="1" t="s">
        <v>53</v>
      </c>
      <c r="B28" s="1"/>
      <c r="C28" s="1"/>
      <c r="D28" s="2"/>
      <c r="E28" s="1"/>
      <c r="F28" s="1"/>
      <c r="G28" s="1"/>
      <c r="H28" s="6">
        <v>45838</v>
      </c>
      <c r="I28" s="7">
        <v>75</v>
      </c>
      <c r="J28" s="18">
        <v>64</v>
      </c>
      <c r="K28" s="18">
        <v>64</v>
      </c>
      <c r="L28" s="18">
        <v>64</v>
      </c>
      <c r="M28" s="7" t="s">
        <v>15</v>
      </c>
      <c r="N28" s="6" t="s">
        <v>91</v>
      </c>
      <c r="O28" s="6" t="s">
        <v>91</v>
      </c>
      <c r="P28" s="6" t="s">
        <v>91</v>
      </c>
      <c r="Q28" s="6" t="s">
        <v>91</v>
      </c>
      <c r="R28" s="6" t="s">
        <v>91</v>
      </c>
      <c r="S28" s="6" t="s">
        <v>91</v>
      </c>
      <c r="T28" s="6" t="s">
        <v>91</v>
      </c>
      <c r="U28" s="6" t="s">
        <v>91</v>
      </c>
      <c r="V28" s="6" t="s">
        <v>91</v>
      </c>
      <c r="W28" s="6" t="s">
        <v>91</v>
      </c>
      <c r="X28" s="14"/>
    </row>
    <row r="29" spans="1:24" x14ac:dyDescent="0.25">
      <c r="A29" s="1" t="s">
        <v>53</v>
      </c>
      <c r="B29" s="1"/>
      <c r="C29" s="1"/>
      <c r="D29" s="2"/>
      <c r="E29" s="1"/>
      <c r="F29" s="1"/>
      <c r="G29" s="1"/>
      <c r="H29" s="6">
        <v>45840</v>
      </c>
      <c r="I29" s="7">
        <v>100</v>
      </c>
      <c r="J29" s="18">
        <v>64</v>
      </c>
      <c r="K29" s="18">
        <v>64</v>
      </c>
      <c r="L29" s="18">
        <v>64</v>
      </c>
      <c r="M29" s="7" t="s">
        <v>15</v>
      </c>
      <c r="N29" s="6" t="s">
        <v>91</v>
      </c>
      <c r="O29" s="6" t="s">
        <v>91</v>
      </c>
      <c r="P29" s="6" t="s">
        <v>91</v>
      </c>
      <c r="Q29" s="6" t="s">
        <v>91</v>
      </c>
      <c r="R29" s="6" t="s">
        <v>91</v>
      </c>
      <c r="S29" s="6" t="s">
        <v>91</v>
      </c>
      <c r="T29" s="6" t="s">
        <v>91</v>
      </c>
      <c r="U29" s="6" t="s">
        <v>91</v>
      </c>
      <c r="V29" s="6" t="s">
        <v>91</v>
      </c>
      <c r="W29" s="6" t="s">
        <v>91</v>
      </c>
      <c r="X29" s="14"/>
    </row>
    <row r="30" spans="1:24" x14ac:dyDescent="0.25">
      <c r="A30" s="1"/>
      <c r="B30" s="1"/>
      <c r="C30" s="1"/>
      <c r="D30" s="1"/>
      <c r="E30" s="1"/>
      <c r="F30" s="1"/>
      <c r="G30" s="1"/>
      <c r="H30" s="6"/>
      <c r="I30" s="7"/>
      <c r="J30" s="7"/>
      <c r="K30" s="7"/>
      <c r="L30" s="7"/>
      <c r="M30" s="7"/>
      <c r="N30" s="6"/>
      <c r="O30" s="7"/>
      <c r="P30" s="7"/>
      <c r="Q30" s="7"/>
      <c r="R30" s="7"/>
      <c r="S30" s="6"/>
      <c r="T30" s="7"/>
      <c r="U30" s="7"/>
      <c r="V30" s="7"/>
      <c r="W30" s="7"/>
      <c r="X30" s="14"/>
    </row>
    <row r="31" spans="1:24" x14ac:dyDescent="0.25">
      <c r="A31" s="1" t="s">
        <v>55</v>
      </c>
      <c r="B31" s="1">
        <v>436</v>
      </c>
      <c r="C31" s="1" t="s">
        <v>33</v>
      </c>
      <c r="D31" s="2" t="s">
        <v>15</v>
      </c>
      <c r="E31" s="1" t="s">
        <v>34</v>
      </c>
      <c r="F31" s="1" t="s">
        <v>34</v>
      </c>
      <c r="G31" s="1">
        <v>1</v>
      </c>
      <c r="H31" s="7" t="s">
        <v>49</v>
      </c>
      <c r="I31" s="7">
        <v>65</v>
      </c>
      <c r="J31" s="18">
        <v>32</v>
      </c>
      <c r="K31" s="18">
        <v>32</v>
      </c>
      <c r="L31" s="18">
        <v>32</v>
      </c>
      <c r="M31" s="7" t="s">
        <v>15</v>
      </c>
      <c r="N31" s="7" t="s">
        <v>49</v>
      </c>
      <c r="O31" s="7">
        <v>0.03</v>
      </c>
      <c r="P31" s="7">
        <v>0.03</v>
      </c>
      <c r="Q31" s="7">
        <v>0.03</v>
      </c>
      <c r="R31" s="7" t="s">
        <v>34</v>
      </c>
      <c r="S31" s="7" t="s">
        <v>49</v>
      </c>
      <c r="T31" s="7" t="s">
        <v>44</v>
      </c>
      <c r="U31" s="7" t="s">
        <v>44</v>
      </c>
      <c r="V31" s="7" t="s">
        <v>44</v>
      </c>
      <c r="W31" s="7" t="s">
        <v>44</v>
      </c>
      <c r="X31" s="14"/>
    </row>
    <row r="32" spans="1:24" x14ac:dyDescent="0.25">
      <c r="A32" s="1" t="s">
        <v>55</v>
      </c>
      <c r="B32" s="1">
        <v>436</v>
      </c>
      <c r="C32" s="1" t="s">
        <v>33</v>
      </c>
      <c r="D32" s="2" t="s">
        <v>15</v>
      </c>
      <c r="E32" s="1" t="s">
        <v>34</v>
      </c>
      <c r="F32" s="1" t="s">
        <v>34</v>
      </c>
      <c r="G32" s="1">
        <v>2</v>
      </c>
      <c r="H32" s="6">
        <v>45730</v>
      </c>
      <c r="I32" s="7">
        <v>53</v>
      </c>
      <c r="J32" s="18">
        <v>16</v>
      </c>
      <c r="K32" s="18">
        <v>16</v>
      </c>
      <c r="L32" s="18">
        <v>16</v>
      </c>
      <c r="M32" s="7" t="s">
        <v>15</v>
      </c>
      <c r="N32" s="6">
        <v>45730</v>
      </c>
      <c r="O32" s="7">
        <v>0.06</v>
      </c>
      <c r="P32" s="7">
        <v>0.06</v>
      </c>
      <c r="Q32" s="7">
        <v>0.06</v>
      </c>
      <c r="R32" s="7" t="s">
        <v>34</v>
      </c>
      <c r="S32" s="6">
        <v>45730</v>
      </c>
      <c r="T32" s="7" t="s">
        <v>44</v>
      </c>
      <c r="U32" s="7" t="s">
        <v>44</v>
      </c>
      <c r="V32" s="7" t="s">
        <v>44</v>
      </c>
      <c r="W32" s="7" t="s">
        <v>44</v>
      </c>
      <c r="X32" s="14"/>
    </row>
    <row r="33" spans="1:26" x14ac:dyDescent="0.25">
      <c r="A33" s="1" t="s">
        <v>55</v>
      </c>
      <c r="B33" s="1">
        <v>436</v>
      </c>
      <c r="C33" s="1" t="s">
        <v>33</v>
      </c>
      <c r="D33" s="2" t="s">
        <v>15</v>
      </c>
      <c r="E33" s="1" t="s">
        <v>34</v>
      </c>
      <c r="F33" s="1" t="s">
        <v>34</v>
      </c>
      <c r="G33" s="1">
        <v>3</v>
      </c>
      <c r="H33" s="6">
        <v>45742</v>
      </c>
      <c r="I33" s="7">
        <v>16</v>
      </c>
      <c r="J33" s="18">
        <v>8</v>
      </c>
      <c r="K33" s="18">
        <v>8</v>
      </c>
      <c r="L33" s="18">
        <v>8</v>
      </c>
      <c r="M33" s="7" t="s">
        <v>15</v>
      </c>
      <c r="N33" s="6">
        <v>45742</v>
      </c>
      <c r="O33" s="7">
        <v>0.12</v>
      </c>
      <c r="P33" s="7">
        <v>0.12</v>
      </c>
      <c r="Q33" s="7">
        <v>0.12</v>
      </c>
      <c r="R33" s="7" t="s">
        <v>34</v>
      </c>
      <c r="S33" s="6">
        <v>45742</v>
      </c>
      <c r="T33" s="7" t="s">
        <v>44</v>
      </c>
      <c r="U33" s="7" t="s">
        <v>44</v>
      </c>
      <c r="V33" s="7" t="s">
        <v>44</v>
      </c>
      <c r="W33" s="7" t="s">
        <v>44</v>
      </c>
      <c r="X33" s="14"/>
    </row>
    <row r="34" spans="1:26" x14ac:dyDescent="0.25">
      <c r="A34" s="1" t="s">
        <v>55</v>
      </c>
      <c r="B34" s="1"/>
      <c r="C34" s="1"/>
      <c r="D34" s="2"/>
      <c r="E34" s="1"/>
      <c r="F34" s="1"/>
      <c r="G34" s="1"/>
      <c r="H34" s="6">
        <v>45838</v>
      </c>
      <c r="I34" s="7">
        <v>74</v>
      </c>
      <c r="J34" s="18">
        <v>64</v>
      </c>
      <c r="K34" s="18">
        <v>64</v>
      </c>
      <c r="L34" s="18">
        <v>64</v>
      </c>
      <c r="M34" s="7" t="s">
        <v>15</v>
      </c>
      <c r="N34" s="6" t="s">
        <v>91</v>
      </c>
      <c r="O34" s="6" t="s">
        <v>91</v>
      </c>
      <c r="P34" s="6" t="s">
        <v>91</v>
      </c>
      <c r="Q34" s="6" t="s">
        <v>91</v>
      </c>
      <c r="R34" s="6" t="s">
        <v>91</v>
      </c>
      <c r="S34" s="6" t="s">
        <v>91</v>
      </c>
      <c r="T34" s="6" t="s">
        <v>91</v>
      </c>
      <c r="U34" s="6" t="s">
        <v>91</v>
      </c>
      <c r="V34" s="6" t="s">
        <v>91</v>
      </c>
      <c r="W34" s="6" t="s">
        <v>91</v>
      </c>
      <c r="X34" s="14"/>
    </row>
    <row r="35" spans="1:26" x14ac:dyDescent="0.25">
      <c r="A35" s="1" t="s">
        <v>55</v>
      </c>
      <c r="B35" s="1"/>
      <c r="C35" s="1"/>
      <c r="D35" s="2"/>
      <c r="E35" s="1"/>
      <c r="F35" s="1"/>
      <c r="G35" s="1"/>
      <c r="H35" s="6">
        <v>45841</v>
      </c>
      <c r="I35" s="7">
        <v>91</v>
      </c>
      <c r="J35" s="18">
        <v>64</v>
      </c>
      <c r="K35" s="18">
        <v>64</v>
      </c>
      <c r="L35" s="18">
        <v>64</v>
      </c>
      <c r="M35" s="7" t="s">
        <v>15</v>
      </c>
      <c r="N35" s="6" t="s">
        <v>91</v>
      </c>
      <c r="O35" s="6" t="s">
        <v>91</v>
      </c>
      <c r="P35" s="6" t="s">
        <v>91</v>
      </c>
      <c r="Q35" s="6" t="s">
        <v>91</v>
      </c>
      <c r="R35" s="6" t="s">
        <v>91</v>
      </c>
      <c r="S35" s="6" t="s">
        <v>91</v>
      </c>
      <c r="T35" s="6" t="s">
        <v>91</v>
      </c>
      <c r="U35" s="6" t="s">
        <v>91</v>
      </c>
      <c r="V35" s="6" t="s">
        <v>91</v>
      </c>
      <c r="W35" s="6" t="s">
        <v>91</v>
      </c>
      <c r="X35" s="14"/>
    </row>
    <row r="36" spans="1:26" x14ac:dyDescent="0.25">
      <c r="A36" s="1"/>
      <c r="B36" s="1"/>
      <c r="C36" s="1"/>
      <c r="D36" s="1"/>
      <c r="E36" s="1"/>
      <c r="F36" s="1"/>
      <c r="G36" s="1"/>
      <c r="H36" s="6"/>
      <c r="I36" s="7"/>
      <c r="J36" s="7"/>
      <c r="K36" s="7"/>
      <c r="L36" s="7"/>
      <c r="M36" s="7"/>
      <c r="N36" s="6"/>
      <c r="O36" s="7"/>
      <c r="P36" s="7"/>
      <c r="Q36" s="7"/>
      <c r="R36" s="7"/>
      <c r="S36" s="6"/>
      <c r="T36" s="7"/>
      <c r="U36" s="7"/>
      <c r="V36" s="7"/>
      <c r="W36" s="7"/>
      <c r="X36" s="14"/>
    </row>
    <row r="37" spans="1:26" x14ac:dyDescent="0.25">
      <c r="A37" s="1" t="s">
        <v>56</v>
      </c>
      <c r="B37" s="1">
        <v>50</v>
      </c>
      <c r="C37" s="1" t="s">
        <v>43</v>
      </c>
      <c r="D37" s="2" t="s">
        <v>15</v>
      </c>
      <c r="E37" s="1" t="s">
        <v>34</v>
      </c>
      <c r="F37" s="2" t="s">
        <v>15</v>
      </c>
      <c r="G37" s="1">
        <v>1</v>
      </c>
      <c r="H37" s="7" t="s">
        <v>49</v>
      </c>
      <c r="I37" s="7">
        <v>10</v>
      </c>
      <c r="J37" s="18">
        <v>32</v>
      </c>
      <c r="K37" s="18">
        <v>32</v>
      </c>
      <c r="L37" s="18">
        <v>32</v>
      </c>
      <c r="M37" s="7" t="s">
        <v>15</v>
      </c>
      <c r="N37" s="7" t="s">
        <v>49</v>
      </c>
      <c r="O37" s="7">
        <v>4</v>
      </c>
      <c r="P37" s="7">
        <v>4</v>
      </c>
      <c r="Q37" s="7">
        <v>4</v>
      </c>
      <c r="R37" s="7" t="s">
        <v>15</v>
      </c>
      <c r="S37" s="7" t="s">
        <v>49</v>
      </c>
      <c r="T37" s="7" t="s">
        <v>44</v>
      </c>
      <c r="U37" s="7" t="s">
        <v>44</v>
      </c>
      <c r="V37" s="7" t="s">
        <v>44</v>
      </c>
      <c r="W37" s="7" t="s">
        <v>44</v>
      </c>
      <c r="X37" s="14"/>
    </row>
    <row r="38" spans="1:26" x14ac:dyDescent="0.25">
      <c r="A38" s="1" t="s">
        <v>56</v>
      </c>
      <c r="B38" s="1">
        <v>50</v>
      </c>
      <c r="C38" s="1" t="s">
        <v>43</v>
      </c>
      <c r="D38" s="2" t="s">
        <v>15</v>
      </c>
      <c r="E38" s="1" t="s">
        <v>34</v>
      </c>
      <c r="F38" s="2" t="s">
        <v>15</v>
      </c>
      <c r="G38" s="1">
        <v>2</v>
      </c>
      <c r="H38" s="6">
        <v>45730</v>
      </c>
      <c r="I38" s="7">
        <v>72</v>
      </c>
      <c r="J38" s="18">
        <v>64</v>
      </c>
      <c r="K38" s="18">
        <v>64</v>
      </c>
      <c r="L38" s="18">
        <v>64</v>
      </c>
      <c r="M38" s="7" t="s">
        <v>15</v>
      </c>
      <c r="N38" s="6">
        <v>45730</v>
      </c>
      <c r="O38" s="7">
        <v>4</v>
      </c>
      <c r="P38" s="7">
        <v>4</v>
      </c>
      <c r="Q38" s="7">
        <v>4</v>
      </c>
      <c r="R38" s="7" t="s">
        <v>15</v>
      </c>
      <c r="S38" s="6">
        <v>45730</v>
      </c>
      <c r="T38" s="7" t="s">
        <v>44</v>
      </c>
      <c r="U38" s="7" t="s">
        <v>44</v>
      </c>
      <c r="V38" s="7" t="s">
        <v>44</v>
      </c>
      <c r="W38" s="7" t="s">
        <v>44</v>
      </c>
      <c r="X38" s="14"/>
    </row>
    <row r="39" spans="1:26" x14ac:dyDescent="0.25">
      <c r="A39" s="1" t="s">
        <v>56</v>
      </c>
      <c r="B39" s="1">
        <v>50</v>
      </c>
      <c r="C39" s="1" t="s">
        <v>43</v>
      </c>
      <c r="D39" s="2" t="s">
        <v>15</v>
      </c>
      <c r="E39" s="1" t="s">
        <v>34</v>
      </c>
      <c r="F39" s="2" t="s">
        <v>15</v>
      </c>
      <c r="G39" s="1">
        <v>3</v>
      </c>
      <c r="H39" s="6">
        <v>45742</v>
      </c>
      <c r="I39" s="7">
        <v>31</v>
      </c>
      <c r="J39" s="18">
        <v>16</v>
      </c>
      <c r="K39" s="18">
        <v>16</v>
      </c>
      <c r="L39" s="18">
        <v>16</v>
      </c>
      <c r="M39" s="7" t="s">
        <v>15</v>
      </c>
      <c r="N39" s="6">
        <v>45742</v>
      </c>
      <c r="O39" s="7">
        <v>4</v>
      </c>
      <c r="P39" s="7">
        <v>4</v>
      </c>
      <c r="Q39" s="7">
        <v>4</v>
      </c>
      <c r="R39" s="7" t="s">
        <v>15</v>
      </c>
      <c r="S39" s="6">
        <v>45742</v>
      </c>
      <c r="T39" s="7" t="s">
        <v>44</v>
      </c>
      <c r="U39" s="7" t="s">
        <v>44</v>
      </c>
      <c r="V39" s="7" t="s">
        <v>44</v>
      </c>
      <c r="W39" s="7" t="s">
        <v>44</v>
      </c>
      <c r="X39" s="14"/>
    </row>
    <row r="40" spans="1:26" x14ac:dyDescent="0.25">
      <c r="A40" s="1" t="s">
        <v>56</v>
      </c>
      <c r="B40" s="1"/>
      <c r="C40" s="1"/>
      <c r="D40" s="2"/>
      <c r="E40" s="1"/>
      <c r="F40" s="2"/>
      <c r="G40" s="1"/>
      <c r="H40" s="6">
        <v>45838</v>
      </c>
      <c r="I40" s="7">
        <v>74</v>
      </c>
      <c r="J40" s="18">
        <v>32</v>
      </c>
      <c r="K40" s="18">
        <v>32</v>
      </c>
      <c r="L40" s="18">
        <v>32</v>
      </c>
      <c r="M40" s="7" t="s">
        <v>15</v>
      </c>
      <c r="N40" s="6" t="s">
        <v>91</v>
      </c>
      <c r="O40" s="6" t="s">
        <v>91</v>
      </c>
      <c r="P40" s="6" t="s">
        <v>91</v>
      </c>
      <c r="Q40" s="6" t="s">
        <v>91</v>
      </c>
      <c r="R40" s="6" t="s">
        <v>91</v>
      </c>
      <c r="S40" s="6" t="s">
        <v>91</v>
      </c>
      <c r="T40" s="6" t="s">
        <v>91</v>
      </c>
      <c r="U40" s="6" t="s">
        <v>91</v>
      </c>
      <c r="V40" s="6" t="s">
        <v>91</v>
      </c>
      <c r="W40" s="6" t="s">
        <v>91</v>
      </c>
      <c r="X40" s="14"/>
    </row>
    <row r="41" spans="1:26" x14ac:dyDescent="0.25">
      <c r="A41" s="1"/>
      <c r="B41" s="1"/>
      <c r="C41" s="1"/>
      <c r="D41" s="1"/>
      <c r="E41" s="1"/>
      <c r="F41" s="1"/>
      <c r="G41" s="1"/>
      <c r="H41" s="6"/>
      <c r="I41" s="7"/>
      <c r="J41" s="7"/>
      <c r="K41" s="7"/>
      <c r="L41" s="7"/>
      <c r="M41" s="7"/>
      <c r="N41" s="6"/>
      <c r="O41" s="7"/>
      <c r="P41" s="7"/>
      <c r="Q41" s="7"/>
      <c r="R41" s="7"/>
      <c r="S41" s="6"/>
      <c r="T41" s="7"/>
      <c r="U41" s="7"/>
      <c r="V41" s="7"/>
      <c r="W41" s="7"/>
      <c r="X41" s="14"/>
    </row>
    <row r="42" spans="1:26" x14ac:dyDescent="0.25">
      <c r="A42" s="1" t="s">
        <v>57</v>
      </c>
      <c r="B42" s="1">
        <v>2081</v>
      </c>
      <c r="C42" s="1" t="s">
        <v>52</v>
      </c>
      <c r="D42" s="2" t="s">
        <v>15</v>
      </c>
      <c r="E42" s="1" t="s">
        <v>34</v>
      </c>
      <c r="F42" s="2" t="s">
        <v>15</v>
      </c>
      <c r="G42" s="1">
        <v>1</v>
      </c>
      <c r="H42" s="7" t="s">
        <v>49</v>
      </c>
      <c r="I42" s="7">
        <v>10</v>
      </c>
      <c r="J42" s="7">
        <v>32</v>
      </c>
      <c r="K42" s="7">
        <v>32</v>
      </c>
      <c r="L42" s="7">
        <v>32</v>
      </c>
      <c r="M42" s="7" t="s">
        <v>15</v>
      </c>
      <c r="N42" s="7" t="s">
        <v>49</v>
      </c>
      <c r="O42" s="18">
        <v>4</v>
      </c>
      <c r="P42" s="18">
        <v>4</v>
      </c>
      <c r="Q42" s="18">
        <v>4</v>
      </c>
      <c r="R42" s="7" t="s">
        <v>15</v>
      </c>
      <c r="S42" s="7" t="s">
        <v>49</v>
      </c>
      <c r="T42" s="7" t="s">
        <v>44</v>
      </c>
      <c r="U42" s="7" t="s">
        <v>44</v>
      </c>
      <c r="V42" s="7" t="s">
        <v>44</v>
      </c>
      <c r="W42" s="7" t="s">
        <v>44</v>
      </c>
      <c r="X42" s="14" t="s">
        <v>35</v>
      </c>
    </row>
    <row r="43" spans="1:26" ht="18" x14ac:dyDescent="0.25">
      <c r="A43" s="1" t="s">
        <v>57</v>
      </c>
      <c r="B43" s="1">
        <v>2081</v>
      </c>
      <c r="C43" s="1" t="s">
        <v>52</v>
      </c>
      <c r="D43" s="2" t="s">
        <v>15</v>
      </c>
      <c r="E43" s="1" t="s">
        <v>34</v>
      </c>
      <c r="F43" s="2" t="s">
        <v>15</v>
      </c>
      <c r="G43" s="1">
        <v>2</v>
      </c>
      <c r="H43" s="6">
        <v>45730</v>
      </c>
      <c r="I43" s="7">
        <v>68</v>
      </c>
      <c r="J43" s="7">
        <v>16</v>
      </c>
      <c r="K43" s="7">
        <v>8</v>
      </c>
      <c r="L43" s="7">
        <v>8</v>
      </c>
      <c r="M43" s="7" t="s">
        <v>15</v>
      </c>
      <c r="N43" s="6">
        <v>45730</v>
      </c>
      <c r="O43" s="18">
        <v>2</v>
      </c>
      <c r="P43" s="18">
        <v>2</v>
      </c>
      <c r="Q43" s="18">
        <v>2</v>
      </c>
      <c r="R43" s="7" t="s">
        <v>15</v>
      </c>
      <c r="S43" s="6">
        <v>45730</v>
      </c>
      <c r="T43" s="7" t="s">
        <v>44</v>
      </c>
      <c r="U43" s="7" t="s">
        <v>44</v>
      </c>
      <c r="V43" s="7" t="s">
        <v>44</v>
      </c>
      <c r="W43" s="7" t="s">
        <v>44</v>
      </c>
      <c r="X43" s="14"/>
      <c r="Z43" s="9"/>
    </row>
    <row r="44" spans="1:26" ht="18" x14ac:dyDescent="0.25">
      <c r="A44" s="1" t="s">
        <v>57</v>
      </c>
      <c r="B44" s="1">
        <v>2081</v>
      </c>
      <c r="C44" s="1" t="s">
        <v>52</v>
      </c>
      <c r="D44" s="2" t="s">
        <v>15</v>
      </c>
      <c r="E44" s="1" t="s">
        <v>34</v>
      </c>
      <c r="F44" s="2" t="s">
        <v>15</v>
      </c>
      <c r="G44" s="1">
        <v>3</v>
      </c>
      <c r="H44" s="6">
        <v>45742</v>
      </c>
      <c r="I44" s="7">
        <v>41</v>
      </c>
      <c r="J44" s="7">
        <v>32</v>
      </c>
      <c r="K44" s="7">
        <v>32</v>
      </c>
      <c r="L44" s="7">
        <v>32</v>
      </c>
      <c r="M44" s="7" t="s">
        <v>15</v>
      </c>
      <c r="N44" s="6">
        <v>45742</v>
      </c>
      <c r="O44" s="18">
        <v>16</v>
      </c>
      <c r="P44" s="18">
        <v>16</v>
      </c>
      <c r="Q44" s="18">
        <v>16</v>
      </c>
      <c r="R44" s="7" t="s">
        <v>15</v>
      </c>
      <c r="S44" s="6">
        <v>45742</v>
      </c>
      <c r="T44" s="7" t="s">
        <v>44</v>
      </c>
      <c r="U44" s="7" t="s">
        <v>44</v>
      </c>
      <c r="V44" s="7" t="s">
        <v>44</v>
      </c>
      <c r="W44" s="7" t="s">
        <v>44</v>
      </c>
      <c r="X44" s="14"/>
      <c r="Z44" s="9"/>
    </row>
    <row r="45" spans="1:26" ht="18" x14ac:dyDescent="0.25">
      <c r="A45" s="1" t="s">
        <v>57</v>
      </c>
      <c r="B45" s="1"/>
      <c r="C45" s="1"/>
      <c r="D45" s="2"/>
      <c r="E45" s="1"/>
      <c r="F45" s="2"/>
      <c r="G45" s="1"/>
      <c r="H45" s="6">
        <v>45810</v>
      </c>
      <c r="I45" s="7">
        <v>3</v>
      </c>
      <c r="J45" s="6" t="s">
        <v>91</v>
      </c>
      <c r="K45" s="6" t="s">
        <v>91</v>
      </c>
      <c r="L45" s="6" t="s">
        <v>91</v>
      </c>
      <c r="M45" s="6" t="s">
        <v>91</v>
      </c>
      <c r="N45" s="6">
        <v>45810</v>
      </c>
      <c r="O45" s="18">
        <v>4</v>
      </c>
      <c r="P45" s="18">
        <v>4</v>
      </c>
      <c r="Q45" s="18">
        <v>4</v>
      </c>
      <c r="R45" s="7" t="s">
        <v>15</v>
      </c>
      <c r="S45" s="6" t="s">
        <v>91</v>
      </c>
      <c r="T45" s="6" t="s">
        <v>91</v>
      </c>
      <c r="U45" s="6" t="s">
        <v>91</v>
      </c>
      <c r="V45" s="6" t="s">
        <v>91</v>
      </c>
      <c r="W45" s="6" t="s">
        <v>91</v>
      </c>
      <c r="X45" s="14"/>
      <c r="Z45" s="9"/>
    </row>
    <row r="46" spans="1:26" ht="18" x14ac:dyDescent="0.25">
      <c r="A46" s="1"/>
      <c r="B46" s="1"/>
      <c r="C46" s="1"/>
      <c r="D46" s="1" t="s">
        <v>19</v>
      </c>
      <c r="E46" s="1" t="s">
        <v>20</v>
      </c>
      <c r="F46" s="1" t="s">
        <v>21</v>
      </c>
      <c r="G46" s="1"/>
      <c r="H46" s="6"/>
      <c r="I46" s="7"/>
      <c r="J46" s="7"/>
      <c r="K46" s="7"/>
      <c r="L46" s="7"/>
      <c r="M46" s="7"/>
      <c r="N46" s="6"/>
      <c r="O46" s="7"/>
      <c r="P46" s="7"/>
      <c r="Q46" s="7"/>
      <c r="R46" s="7"/>
      <c r="S46" s="6"/>
      <c r="T46" s="7"/>
      <c r="U46" s="7"/>
      <c r="V46" s="7"/>
      <c r="W46" s="7"/>
      <c r="X46" s="14"/>
      <c r="Z46" s="9"/>
    </row>
    <row r="47" spans="1:26" x14ac:dyDescent="0.25">
      <c r="A47" s="1" t="s">
        <v>58</v>
      </c>
      <c r="B47" s="1">
        <v>530</v>
      </c>
      <c r="C47" s="1" t="s">
        <v>52</v>
      </c>
      <c r="D47" s="2" t="s">
        <v>15</v>
      </c>
      <c r="E47" s="1" t="s">
        <v>34</v>
      </c>
      <c r="F47" s="2" t="s">
        <v>15</v>
      </c>
      <c r="G47" s="1">
        <v>1</v>
      </c>
      <c r="H47" s="7" t="s">
        <v>49</v>
      </c>
      <c r="I47" s="7">
        <v>18</v>
      </c>
      <c r="J47" s="7">
        <v>32</v>
      </c>
      <c r="K47" s="7">
        <v>32</v>
      </c>
      <c r="L47" s="7">
        <v>32</v>
      </c>
      <c r="M47" s="7" t="s">
        <v>15</v>
      </c>
      <c r="N47" s="7" t="s">
        <v>49</v>
      </c>
      <c r="O47" s="7">
        <v>4</v>
      </c>
      <c r="P47" s="7">
        <v>4</v>
      </c>
      <c r="Q47" s="7">
        <v>4</v>
      </c>
      <c r="R47" s="7" t="s">
        <v>15</v>
      </c>
      <c r="S47" s="7" t="s">
        <v>49</v>
      </c>
      <c r="T47" s="7" t="s">
        <v>44</v>
      </c>
      <c r="U47" s="7" t="s">
        <v>44</v>
      </c>
      <c r="V47" s="7" t="s">
        <v>44</v>
      </c>
      <c r="W47" s="7" t="s">
        <v>44</v>
      </c>
      <c r="X47" s="14"/>
    </row>
    <row r="48" spans="1:26" x14ac:dyDescent="0.25">
      <c r="A48" s="1" t="s">
        <v>58</v>
      </c>
      <c r="B48" s="1">
        <v>530</v>
      </c>
      <c r="C48" s="1" t="s">
        <v>52</v>
      </c>
      <c r="D48" s="2" t="s">
        <v>15</v>
      </c>
      <c r="E48" s="1" t="s">
        <v>34</v>
      </c>
      <c r="F48" s="2" t="s">
        <v>15</v>
      </c>
      <c r="G48" s="1">
        <v>2</v>
      </c>
      <c r="H48" s="6">
        <v>45730</v>
      </c>
      <c r="I48" s="8">
        <v>100</v>
      </c>
      <c r="J48" s="7">
        <v>64</v>
      </c>
      <c r="K48" s="7">
        <v>64</v>
      </c>
      <c r="L48" s="7">
        <v>64</v>
      </c>
      <c r="M48" s="7" t="s">
        <v>15</v>
      </c>
      <c r="N48" s="6">
        <v>45730</v>
      </c>
      <c r="O48" s="7">
        <v>2</v>
      </c>
      <c r="P48" s="7">
        <v>2</v>
      </c>
      <c r="Q48" s="7">
        <v>2</v>
      </c>
      <c r="R48" s="7" t="s">
        <v>15</v>
      </c>
      <c r="S48" s="6">
        <v>45730</v>
      </c>
      <c r="T48" s="7" t="s">
        <v>44</v>
      </c>
      <c r="U48" s="7" t="s">
        <v>44</v>
      </c>
      <c r="V48" s="7" t="s">
        <v>44</v>
      </c>
      <c r="W48" s="7" t="s">
        <v>44</v>
      </c>
      <c r="X48" s="14"/>
    </row>
    <row r="49" spans="1:24" x14ac:dyDescent="0.25">
      <c r="A49" s="1" t="s">
        <v>58</v>
      </c>
      <c r="B49" s="1">
        <v>530</v>
      </c>
      <c r="C49" s="1" t="s">
        <v>52</v>
      </c>
      <c r="D49" s="2" t="s">
        <v>15</v>
      </c>
      <c r="E49" s="1" t="s">
        <v>34</v>
      </c>
      <c r="F49" s="2" t="s">
        <v>15</v>
      </c>
      <c r="G49" s="1">
        <v>3</v>
      </c>
      <c r="H49" s="6">
        <v>45742</v>
      </c>
      <c r="I49" s="7">
        <v>43</v>
      </c>
      <c r="J49" s="7">
        <v>32</v>
      </c>
      <c r="K49" s="7">
        <v>32</v>
      </c>
      <c r="L49" s="7">
        <v>32</v>
      </c>
      <c r="M49" s="7" t="s">
        <v>15</v>
      </c>
      <c r="N49" s="6">
        <v>45742</v>
      </c>
      <c r="O49" s="7">
        <v>4</v>
      </c>
      <c r="P49" s="7">
        <v>4</v>
      </c>
      <c r="Q49" s="7">
        <v>4</v>
      </c>
      <c r="R49" s="7" t="s">
        <v>15</v>
      </c>
      <c r="S49" s="6">
        <v>45742</v>
      </c>
      <c r="T49" s="7" t="s">
        <v>44</v>
      </c>
      <c r="U49" s="7" t="s">
        <v>44</v>
      </c>
      <c r="V49" s="7" t="s">
        <v>44</v>
      </c>
      <c r="W49" s="7" t="s">
        <v>44</v>
      </c>
      <c r="X49" s="14"/>
    </row>
    <row r="50" spans="1:24" x14ac:dyDescent="0.25">
      <c r="A50" s="1"/>
      <c r="B50" s="1"/>
      <c r="C50" s="1"/>
      <c r="D50" s="1"/>
      <c r="E50" s="1"/>
      <c r="F50" s="1"/>
      <c r="G50" s="1"/>
      <c r="H50" s="6"/>
      <c r="I50" s="7"/>
      <c r="J50" s="7"/>
      <c r="K50" s="7"/>
      <c r="L50" s="7"/>
      <c r="M50" s="7"/>
      <c r="N50" s="6"/>
      <c r="O50" s="7"/>
      <c r="P50" s="7"/>
      <c r="Q50" s="7"/>
      <c r="R50" s="7"/>
      <c r="S50" s="6"/>
      <c r="T50" s="7"/>
      <c r="U50" s="7"/>
      <c r="V50" s="7"/>
      <c r="W50" s="7"/>
      <c r="X50" s="14"/>
    </row>
    <row r="51" spans="1:24" ht="14.25" customHeight="1" x14ac:dyDescent="0.25">
      <c r="A51" s="1" t="s">
        <v>59</v>
      </c>
      <c r="B51" s="1">
        <v>50</v>
      </c>
      <c r="C51" s="1" t="s">
        <v>43</v>
      </c>
      <c r="D51" s="2" t="s">
        <v>15</v>
      </c>
      <c r="E51" s="1" t="s">
        <v>34</v>
      </c>
      <c r="F51" s="2" t="s">
        <v>15</v>
      </c>
      <c r="G51" s="1">
        <v>1</v>
      </c>
      <c r="H51" s="7" t="s">
        <v>49</v>
      </c>
      <c r="I51" s="7">
        <v>58</v>
      </c>
      <c r="J51" s="7">
        <v>32</v>
      </c>
      <c r="K51" s="7">
        <v>32</v>
      </c>
      <c r="L51" s="7">
        <v>32</v>
      </c>
      <c r="M51" s="7" t="s">
        <v>15</v>
      </c>
      <c r="N51" s="7" t="s">
        <v>49</v>
      </c>
      <c r="O51" s="18">
        <v>8</v>
      </c>
      <c r="P51" s="18">
        <v>8</v>
      </c>
      <c r="Q51" s="18">
        <v>8</v>
      </c>
      <c r="R51" s="7" t="s">
        <v>15</v>
      </c>
      <c r="S51" s="7" t="s">
        <v>49</v>
      </c>
      <c r="T51" s="7" t="s">
        <v>44</v>
      </c>
      <c r="U51" s="7" t="s">
        <v>44</v>
      </c>
      <c r="V51" s="7" t="s">
        <v>44</v>
      </c>
      <c r="W51" s="7" t="s">
        <v>44</v>
      </c>
      <c r="X51" s="14"/>
    </row>
    <row r="52" spans="1:24" ht="14.25" customHeight="1" x14ac:dyDescent="0.25">
      <c r="A52" s="1" t="s">
        <v>59</v>
      </c>
      <c r="B52" s="1">
        <v>50</v>
      </c>
      <c r="C52" s="1" t="s">
        <v>43</v>
      </c>
      <c r="D52" s="2" t="s">
        <v>15</v>
      </c>
      <c r="E52" s="1" t="s">
        <v>34</v>
      </c>
      <c r="F52" s="2" t="s">
        <v>15</v>
      </c>
      <c r="G52" s="1">
        <v>2</v>
      </c>
      <c r="H52" s="6">
        <v>45730</v>
      </c>
      <c r="I52" s="8">
        <v>160</v>
      </c>
      <c r="J52" s="7">
        <v>64</v>
      </c>
      <c r="K52" s="7">
        <v>64</v>
      </c>
      <c r="L52" s="7">
        <v>64</v>
      </c>
      <c r="M52" s="7" t="s">
        <v>15</v>
      </c>
      <c r="N52" s="6">
        <v>45730</v>
      </c>
      <c r="O52" s="18">
        <v>2</v>
      </c>
      <c r="P52" s="18">
        <v>2</v>
      </c>
      <c r="Q52" s="18">
        <v>2</v>
      </c>
      <c r="R52" s="7" t="s">
        <v>15</v>
      </c>
      <c r="S52" s="6">
        <v>45730</v>
      </c>
      <c r="T52" s="7" t="s">
        <v>44</v>
      </c>
      <c r="U52" s="7" t="s">
        <v>44</v>
      </c>
      <c r="V52" s="7" t="s">
        <v>44</v>
      </c>
      <c r="W52" s="7" t="s">
        <v>44</v>
      </c>
      <c r="X52" s="14"/>
    </row>
    <row r="53" spans="1:24" ht="14.25" customHeight="1" x14ac:dyDescent="0.25">
      <c r="A53" s="1" t="s">
        <v>59</v>
      </c>
      <c r="B53" s="1">
        <v>50</v>
      </c>
      <c r="C53" s="1" t="s">
        <v>43</v>
      </c>
      <c r="D53" s="2" t="s">
        <v>15</v>
      </c>
      <c r="E53" s="1" t="s">
        <v>34</v>
      </c>
      <c r="F53" s="2" t="s">
        <v>15</v>
      </c>
      <c r="G53" s="1">
        <v>3</v>
      </c>
      <c r="H53" s="6">
        <v>45742</v>
      </c>
      <c r="I53" s="7">
        <v>53</v>
      </c>
      <c r="J53" s="7">
        <v>32</v>
      </c>
      <c r="K53" s="7">
        <v>32</v>
      </c>
      <c r="L53" s="7">
        <v>32</v>
      </c>
      <c r="M53" s="7" t="s">
        <v>15</v>
      </c>
      <c r="N53" s="6">
        <v>45742</v>
      </c>
      <c r="O53" s="18">
        <v>4</v>
      </c>
      <c r="P53" s="18">
        <v>4</v>
      </c>
      <c r="Q53" s="18">
        <v>4</v>
      </c>
      <c r="R53" s="7" t="s">
        <v>15</v>
      </c>
      <c r="S53" s="6">
        <v>45742</v>
      </c>
      <c r="T53" s="7" t="s">
        <v>44</v>
      </c>
      <c r="U53" s="7" t="s">
        <v>44</v>
      </c>
      <c r="V53" s="7" t="s">
        <v>44</v>
      </c>
      <c r="W53" s="7" t="s">
        <v>44</v>
      </c>
      <c r="X53" s="14"/>
    </row>
    <row r="54" spans="1:24" ht="14.25" customHeight="1" x14ac:dyDescent="0.25">
      <c r="A54" s="1" t="s">
        <v>59</v>
      </c>
      <c r="B54" s="1"/>
      <c r="C54" s="1"/>
      <c r="D54" s="2"/>
      <c r="E54" s="1"/>
      <c r="F54" s="2"/>
      <c r="G54" s="1"/>
      <c r="H54" s="6">
        <v>45810</v>
      </c>
      <c r="I54" s="7">
        <v>3</v>
      </c>
      <c r="J54" s="6" t="s">
        <v>91</v>
      </c>
      <c r="K54" s="6" t="s">
        <v>91</v>
      </c>
      <c r="L54" s="6" t="s">
        <v>91</v>
      </c>
      <c r="M54" s="6" t="s">
        <v>91</v>
      </c>
      <c r="N54" s="6">
        <v>45810</v>
      </c>
      <c r="O54" s="18">
        <v>4</v>
      </c>
      <c r="P54" s="18">
        <v>4</v>
      </c>
      <c r="Q54" s="18">
        <v>4</v>
      </c>
      <c r="R54" s="7" t="s">
        <v>15</v>
      </c>
      <c r="S54" s="6" t="s">
        <v>91</v>
      </c>
      <c r="T54" s="6" t="s">
        <v>91</v>
      </c>
      <c r="U54" s="6" t="s">
        <v>91</v>
      </c>
      <c r="V54" s="6" t="s">
        <v>91</v>
      </c>
      <c r="W54" s="6" t="s">
        <v>91</v>
      </c>
      <c r="X54" s="14"/>
    </row>
    <row r="55" spans="1:24" ht="14.25" customHeight="1" x14ac:dyDescent="0.25">
      <c r="A55" s="1"/>
      <c r="B55" s="1"/>
      <c r="C55" s="1"/>
      <c r="D55" s="1"/>
      <c r="E55" s="1"/>
      <c r="F55" s="1"/>
      <c r="G55" s="1"/>
      <c r="H55" s="6"/>
      <c r="I55" s="7"/>
      <c r="J55" s="7"/>
      <c r="K55" s="7"/>
      <c r="L55" s="7"/>
      <c r="M55" s="7"/>
      <c r="N55" s="6"/>
      <c r="O55" s="7"/>
      <c r="P55" s="7"/>
      <c r="Q55" s="7"/>
      <c r="R55" s="7"/>
      <c r="S55" s="6"/>
      <c r="T55" s="7"/>
      <c r="U55" s="7"/>
      <c r="V55" s="7"/>
      <c r="W55" s="7"/>
      <c r="X55" s="14"/>
    </row>
    <row r="56" spans="1:24" x14ac:dyDescent="0.25">
      <c r="A56" s="1" t="s">
        <v>60</v>
      </c>
      <c r="B56" s="1">
        <v>830</v>
      </c>
      <c r="C56" s="1" t="s">
        <v>54</v>
      </c>
      <c r="D56" s="2" t="s">
        <v>15</v>
      </c>
      <c r="E56" s="2" t="s">
        <v>15</v>
      </c>
      <c r="F56" s="2" t="s">
        <v>15</v>
      </c>
      <c r="G56" s="1">
        <v>1</v>
      </c>
      <c r="H56" s="6">
        <v>45716</v>
      </c>
      <c r="I56" s="7">
        <v>87</v>
      </c>
      <c r="J56" s="18">
        <v>32</v>
      </c>
      <c r="K56" s="18">
        <v>32</v>
      </c>
      <c r="L56" s="18">
        <v>32</v>
      </c>
      <c r="M56" s="7" t="s">
        <v>15</v>
      </c>
      <c r="N56" s="6">
        <v>45716</v>
      </c>
      <c r="O56" s="7">
        <v>4</v>
      </c>
      <c r="P56" s="7">
        <v>4</v>
      </c>
      <c r="Q56" s="7">
        <v>4</v>
      </c>
      <c r="R56" s="7" t="s">
        <v>15</v>
      </c>
      <c r="S56" s="6">
        <v>45716</v>
      </c>
      <c r="T56" s="7">
        <v>32</v>
      </c>
      <c r="U56" s="7">
        <v>32</v>
      </c>
      <c r="V56" s="7">
        <v>32</v>
      </c>
      <c r="W56" s="7" t="s">
        <v>50</v>
      </c>
      <c r="X56" s="14"/>
    </row>
    <row r="57" spans="1:24" x14ac:dyDescent="0.25">
      <c r="A57" s="1" t="s">
        <v>60</v>
      </c>
      <c r="B57" s="1">
        <v>830</v>
      </c>
      <c r="C57" s="1" t="s">
        <v>54</v>
      </c>
      <c r="D57" s="2" t="s">
        <v>15</v>
      </c>
      <c r="E57" s="2" t="s">
        <v>15</v>
      </c>
      <c r="F57" s="2" t="s">
        <v>15</v>
      </c>
      <c r="G57" s="1">
        <v>2</v>
      </c>
      <c r="H57" s="6">
        <v>45737</v>
      </c>
      <c r="I57" s="7">
        <v>65</v>
      </c>
      <c r="J57" s="18">
        <v>4</v>
      </c>
      <c r="K57" s="18">
        <v>4</v>
      </c>
      <c r="L57" s="18">
        <v>4</v>
      </c>
      <c r="M57" s="7" t="s">
        <v>15</v>
      </c>
      <c r="N57" s="6">
        <v>45737</v>
      </c>
      <c r="O57" s="7">
        <v>4</v>
      </c>
      <c r="P57" s="7">
        <v>4</v>
      </c>
      <c r="Q57" s="7">
        <v>4</v>
      </c>
      <c r="R57" s="7" t="s">
        <v>15</v>
      </c>
      <c r="S57" s="6">
        <v>45737</v>
      </c>
      <c r="T57" s="7">
        <v>64</v>
      </c>
      <c r="U57" s="7">
        <v>64</v>
      </c>
      <c r="V57" s="7">
        <v>64</v>
      </c>
      <c r="W57" s="7" t="s">
        <v>15</v>
      </c>
      <c r="X57" s="14"/>
    </row>
    <row r="58" spans="1:24" x14ac:dyDescent="0.25">
      <c r="A58" s="1" t="s">
        <v>60</v>
      </c>
      <c r="B58" s="1">
        <v>830</v>
      </c>
      <c r="C58" s="1" t="s">
        <v>54</v>
      </c>
      <c r="D58" s="2" t="s">
        <v>15</v>
      </c>
      <c r="E58" s="2" t="s">
        <v>15</v>
      </c>
      <c r="F58" s="2" t="s">
        <v>15</v>
      </c>
      <c r="G58" s="1">
        <v>3</v>
      </c>
      <c r="H58" s="6">
        <v>45746</v>
      </c>
      <c r="I58" s="8">
        <v>2</v>
      </c>
      <c r="J58" s="18">
        <v>16</v>
      </c>
      <c r="K58" s="18">
        <v>16</v>
      </c>
      <c r="L58" s="18">
        <v>16</v>
      </c>
      <c r="M58" s="7" t="s">
        <v>15</v>
      </c>
      <c r="N58" s="6">
        <v>45746</v>
      </c>
      <c r="O58" s="7">
        <v>4</v>
      </c>
      <c r="P58" s="7">
        <v>4</v>
      </c>
      <c r="Q58" s="7">
        <v>4</v>
      </c>
      <c r="R58" s="7" t="s">
        <v>15</v>
      </c>
      <c r="S58" s="6">
        <v>45746</v>
      </c>
      <c r="T58" s="7">
        <v>32</v>
      </c>
      <c r="U58" s="7">
        <v>32</v>
      </c>
      <c r="V58" s="7">
        <v>32</v>
      </c>
      <c r="W58" s="7" t="s">
        <v>15</v>
      </c>
      <c r="X58" s="14"/>
    </row>
    <row r="59" spans="1:24" x14ac:dyDescent="0.25">
      <c r="A59" s="1" t="s">
        <v>60</v>
      </c>
      <c r="B59" s="1"/>
      <c r="C59" s="1"/>
      <c r="D59" s="2"/>
      <c r="E59" s="2"/>
      <c r="F59" s="2"/>
      <c r="G59" s="1"/>
      <c r="H59" s="6">
        <v>45838</v>
      </c>
      <c r="I59" s="8">
        <v>96</v>
      </c>
      <c r="J59" s="18">
        <v>32</v>
      </c>
      <c r="K59" s="18">
        <v>32</v>
      </c>
      <c r="L59" s="18">
        <v>32</v>
      </c>
      <c r="M59" s="7" t="s">
        <v>15</v>
      </c>
      <c r="N59" s="6" t="s">
        <v>91</v>
      </c>
      <c r="O59" s="6" t="s">
        <v>91</v>
      </c>
      <c r="P59" s="6" t="s">
        <v>91</v>
      </c>
      <c r="Q59" s="6" t="s">
        <v>91</v>
      </c>
      <c r="R59" s="6" t="s">
        <v>91</v>
      </c>
      <c r="S59" s="6" t="s">
        <v>91</v>
      </c>
      <c r="T59" s="6" t="s">
        <v>91</v>
      </c>
      <c r="U59" s="6" t="s">
        <v>91</v>
      </c>
      <c r="V59" s="6" t="s">
        <v>91</v>
      </c>
      <c r="W59" s="6" t="s">
        <v>91</v>
      </c>
      <c r="X59" s="14"/>
    </row>
    <row r="60" spans="1:24" x14ac:dyDescent="0.25">
      <c r="A60" s="1" t="s">
        <v>60</v>
      </c>
      <c r="B60" s="1"/>
      <c r="C60" s="1"/>
      <c r="D60" s="2"/>
      <c r="E60" s="2"/>
      <c r="F60" s="2"/>
      <c r="G60" s="1"/>
      <c r="H60" s="6">
        <v>45840</v>
      </c>
      <c r="I60" s="8">
        <v>163</v>
      </c>
      <c r="J60" s="18">
        <v>32</v>
      </c>
      <c r="K60" s="18">
        <v>32</v>
      </c>
      <c r="L60" s="18">
        <v>32</v>
      </c>
      <c r="M60" s="7" t="s">
        <v>15</v>
      </c>
      <c r="N60" s="6" t="s">
        <v>91</v>
      </c>
      <c r="O60" s="6" t="s">
        <v>91</v>
      </c>
      <c r="P60" s="6" t="s">
        <v>91</v>
      </c>
      <c r="Q60" s="6" t="s">
        <v>91</v>
      </c>
      <c r="R60" s="6" t="s">
        <v>91</v>
      </c>
      <c r="S60" s="6" t="s">
        <v>91</v>
      </c>
      <c r="T60" s="6" t="s">
        <v>91</v>
      </c>
      <c r="U60" s="6" t="s">
        <v>91</v>
      </c>
      <c r="V60" s="6" t="s">
        <v>91</v>
      </c>
      <c r="W60" s="6" t="s">
        <v>91</v>
      </c>
      <c r="X60" s="14"/>
    </row>
    <row r="61" spans="1:24" x14ac:dyDescent="0.25">
      <c r="A61" s="1"/>
      <c r="B61" s="1"/>
      <c r="C61" s="1"/>
      <c r="D61" s="1"/>
      <c r="E61" s="1"/>
      <c r="F61" s="1"/>
      <c r="G61" s="1"/>
      <c r="H61" s="6"/>
      <c r="I61" s="7"/>
      <c r="J61" s="7"/>
      <c r="K61" s="7"/>
      <c r="L61" s="7"/>
      <c r="M61" s="7"/>
      <c r="N61" s="6"/>
      <c r="O61" s="7"/>
      <c r="P61" s="7"/>
      <c r="Q61" s="7"/>
      <c r="R61" s="7"/>
      <c r="S61" s="6"/>
      <c r="T61" s="7"/>
      <c r="U61" s="7"/>
      <c r="V61" s="7"/>
      <c r="W61" s="7"/>
      <c r="X61" s="14"/>
    </row>
    <row r="62" spans="1:24" x14ac:dyDescent="0.25">
      <c r="A62" s="1" t="s">
        <v>61</v>
      </c>
      <c r="B62" s="1" t="s">
        <v>62</v>
      </c>
      <c r="C62" s="1" t="s">
        <v>54</v>
      </c>
      <c r="D62" s="2" t="s">
        <v>15</v>
      </c>
      <c r="E62" s="1" t="s">
        <v>34</v>
      </c>
      <c r="F62" s="2" t="s">
        <v>15</v>
      </c>
      <c r="G62" s="1">
        <v>1</v>
      </c>
      <c r="H62" s="7" t="s">
        <v>49</v>
      </c>
      <c r="I62" s="7">
        <v>25</v>
      </c>
      <c r="J62" s="7">
        <v>32</v>
      </c>
      <c r="K62" s="7">
        <v>32</v>
      </c>
      <c r="L62" s="7">
        <v>32</v>
      </c>
      <c r="M62" s="7" t="s">
        <v>15</v>
      </c>
      <c r="N62" s="7" t="s">
        <v>49</v>
      </c>
      <c r="O62" s="7">
        <v>8</v>
      </c>
      <c r="P62" s="7">
        <v>8</v>
      </c>
      <c r="Q62" s="7">
        <v>8</v>
      </c>
      <c r="R62" s="7" t="s">
        <v>15</v>
      </c>
      <c r="S62" s="7" t="s">
        <v>49</v>
      </c>
      <c r="T62" s="7" t="s">
        <v>44</v>
      </c>
      <c r="U62" s="7" t="s">
        <v>44</v>
      </c>
      <c r="V62" s="7" t="s">
        <v>44</v>
      </c>
      <c r="W62" s="7" t="s">
        <v>44</v>
      </c>
      <c r="X62" s="14"/>
    </row>
    <row r="63" spans="1:24" x14ac:dyDescent="0.25">
      <c r="A63" s="1" t="s">
        <v>61</v>
      </c>
      <c r="B63" s="1" t="s">
        <v>62</v>
      </c>
      <c r="C63" s="1" t="s">
        <v>54</v>
      </c>
      <c r="D63" s="2" t="s">
        <v>15</v>
      </c>
      <c r="E63" s="1" t="s">
        <v>34</v>
      </c>
      <c r="F63" s="2" t="s">
        <v>15</v>
      </c>
      <c r="G63" s="1">
        <v>2</v>
      </c>
      <c r="H63" s="6">
        <v>45737</v>
      </c>
      <c r="I63" s="7">
        <v>80</v>
      </c>
      <c r="J63" s="7">
        <v>32</v>
      </c>
      <c r="K63" s="7">
        <v>32</v>
      </c>
      <c r="L63" s="7">
        <v>32</v>
      </c>
      <c r="M63" s="7" t="s">
        <v>15</v>
      </c>
      <c r="N63" s="6">
        <v>45737</v>
      </c>
      <c r="O63" s="7">
        <v>32</v>
      </c>
      <c r="P63" s="7">
        <v>32</v>
      </c>
      <c r="Q63" s="7">
        <v>32</v>
      </c>
      <c r="R63" s="7" t="s">
        <v>15</v>
      </c>
      <c r="S63" s="6">
        <v>45737</v>
      </c>
      <c r="T63" s="7" t="s">
        <v>44</v>
      </c>
      <c r="U63" s="7" t="s">
        <v>44</v>
      </c>
      <c r="V63" s="7" t="s">
        <v>44</v>
      </c>
      <c r="W63" s="7" t="s">
        <v>44</v>
      </c>
      <c r="X63" s="14"/>
    </row>
    <row r="64" spans="1:24" x14ac:dyDescent="0.25">
      <c r="A64" s="1" t="s">
        <v>61</v>
      </c>
      <c r="B64" s="1" t="s">
        <v>62</v>
      </c>
      <c r="C64" s="1" t="s">
        <v>54</v>
      </c>
      <c r="D64" s="2" t="s">
        <v>15</v>
      </c>
      <c r="E64" s="1" t="s">
        <v>34</v>
      </c>
      <c r="F64" s="2" t="s">
        <v>15</v>
      </c>
      <c r="G64" s="1">
        <v>3</v>
      </c>
      <c r="H64" s="6">
        <v>45746</v>
      </c>
      <c r="I64" s="8">
        <v>8</v>
      </c>
      <c r="J64" s="7">
        <v>32</v>
      </c>
      <c r="K64" s="7">
        <v>32</v>
      </c>
      <c r="L64" s="7">
        <v>32</v>
      </c>
      <c r="M64" s="7" t="s">
        <v>15</v>
      </c>
      <c r="N64" s="6">
        <v>45746</v>
      </c>
      <c r="O64" s="7">
        <v>8</v>
      </c>
      <c r="P64" s="7">
        <v>8</v>
      </c>
      <c r="Q64" s="7">
        <v>8</v>
      </c>
      <c r="R64" s="7" t="s">
        <v>15</v>
      </c>
      <c r="S64" s="6">
        <v>45746</v>
      </c>
      <c r="T64" s="7" t="s">
        <v>44</v>
      </c>
      <c r="U64" s="7" t="s">
        <v>44</v>
      </c>
      <c r="V64" s="7" t="s">
        <v>44</v>
      </c>
      <c r="W64" s="7" t="s">
        <v>44</v>
      </c>
      <c r="X64" s="14"/>
    </row>
    <row r="65" spans="1:24" x14ac:dyDescent="0.25">
      <c r="A65" s="1"/>
      <c r="B65" s="1"/>
      <c r="C65" s="1"/>
      <c r="D65" s="1"/>
      <c r="E65" s="1"/>
      <c r="F65" s="1"/>
      <c r="G65" s="1"/>
      <c r="H65" s="6"/>
      <c r="I65" s="7"/>
      <c r="J65" s="7"/>
      <c r="K65" s="7"/>
      <c r="L65" s="7"/>
      <c r="M65" s="7"/>
      <c r="N65" s="6"/>
      <c r="O65" s="7"/>
      <c r="P65" s="7"/>
      <c r="Q65" s="7"/>
      <c r="R65" s="7"/>
      <c r="S65" s="6"/>
      <c r="T65" s="7"/>
      <c r="U65" s="7"/>
      <c r="V65" s="7"/>
      <c r="W65" s="7"/>
      <c r="X65" s="14"/>
    </row>
    <row r="66" spans="1:24" x14ac:dyDescent="0.25">
      <c r="A66" s="1" t="s">
        <v>63</v>
      </c>
      <c r="B66" s="1">
        <v>535</v>
      </c>
      <c r="C66" s="1" t="s">
        <v>33</v>
      </c>
      <c r="D66" s="1" t="s">
        <v>34</v>
      </c>
      <c r="E66" s="1" t="s">
        <v>34</v>
      </c>
      <c r="F66" s="2" t="s">
        <v>15</v>
      </c>
      <c r="G66" s="1">
        <v>1</v>
      </c>
      <c r="H66" s="6">
        <v>45716</v>
      </c>
      <c r="I66" s="8">
        <v>200</v>
      </c>
      <c r="J66" s="7">
        <v>0.25</v>
      </c>
      <c r="K66" s="7">
        <v>0.25</v>
      </c>
      <c r="L66" s="7">
        <v>0.25</v>
      </c>
      <c r="M66" s="7" t="s">
        <v>34</v>
      </c>
      <c r="N66" s="6">
        <v>45716</v>
      </c>
      <c r="O66" s="7">
        <v>2</v>
      </c>
      <c r="P66" s="7">
        <v>2</v>
      </c>
      <c r="Q66" s="7">
        <v>2</v>
      </c>
      <c r="R66" s="7" t="s">
        <v>15</v>
      </c>
      <c r="S66" s="6">
        <v>45716</v>
      </c>
      <c r="T66" s="7" t="s">
        <v>44</v>
      </c>
      <c r="U66" s="7" t="s">
        <v>44</v>
      </c>
      <c r="V66" s="7" t="s">
        <v>44</v>
      </c>
      <c r="W66" s="7" t="s">
        <v>93</v>
      </c>
      <c r="X66" s="14"/>
    </row>
    <row r="67" spans="1:24" x14ac:dyDescent="0.25">
      <c r="A67" s="1" t="s">
        <v>63</v>
      </c>
      <c r="B67" s="1">
        <v>535</v>
      </c>
      <c r="C67" s="1" t="s">
        <v>33</v>
      </c>
      <c r="D67" s="1" t="s">
        <v>34</v>
      </c>
      <c r="E67" s="1" t="s">
        <v>34</v>
      </c>
      <c r="F67" s="2" t="s">
        <v>15</v>
      </c>
      <c r="G67" s="1">
        <v>2</v>
      </c>
      <c r="H67" s="6">
        <v>45737</v>
      </c>
      <c r="I67" s="7">
        <v>82</v>
      </c>
      <c r="J67" s="7">
        <v>0.06</v>
      </c>
      <c r="K67" s="7">
        <v>0.06</v>
      </c>
      <c r="L67" s="7">
        <v>0.06</v>
      </c>
      <c r="M67" s="7" t="s">
        <v>34</v>
      </c>
      <c r="N67" s="6">
        <v>45737</v>
      </c>
      <c r="O67" s="7">
        <v>4</v>
      </c>
      <c r="P67" s="7">
        <v>4</v>
      </c>
      <c r="Q67" s="7">
        <v>4</v>
      </c>
      <c r="R67" s="7" t="s">
        <v>15</v>
      </c>
      <c r="S67" s="6">
        <v>45737</v>
      </c>
      <c r="T67" s="7" t="s">
        <v>44</v>
      </c>
      <c r="U67" s="7" t="s">
        <v>44</v>
      </c>
      <c r="V67" s="7" t="s">
        <v>44</v>
      </c>
      <c r="W67" s="7" t="s">
        <v>44</v>
      </c>
      <c r="X67" s="14"/>
    </row>
    <row r="68" spans="1:24" x14ac:dyDescent="0.25">
      <c r="A68" s="1" t="s">
        <v>63</v>
      </c>
      <c r="B68" s="1">
        <v>535</v>
      </c>
      <c r="C68" s="1" t="s">
        <v>33</v>
      </c>
      <c r="D68" s="1" t="s">
        <v>34</v>
      </c>
      <c r="E68" s="1" t="s">
        <v>34</v>
      </c>
      <c r="F68" s="2" t="s">
        <v>15</v>
      </c>
      <c r="G68" s="1">
        <v>3</v>
      </c>
      <c r="H68" s="6">
        <v>45746</v>
      </c>
      <c r="I68" s="7">
        <v>11</v>
      </c>
      <c r="J68" s="7">
        <v>0.12</v>
      </c>
      <c r="K68" s="7">
        <v>0.12</v>
      </c>
      <c r="L68" s="7">
        <v>0.12</v>
      </c>
      <c r="M68" s="7" t="s">
        <v>34</v>
      </c>
      <c r="N68" s="6">
        <v>45746</v>
      </c>
      <c r="O68" s="7">
        <v>2</v>
      </c>
      <c r="P68" s="7">
        <v>2</v>
      </c>
      <c r="Q68" s="7">
        <v>2</v>
      </c>
      <c r="R68" s="7" t="s">
        <v>15</v>
      </c>
      <c r="S68" s="6">
        <v>45746</v>
      </c>
      <c r="T68" s="7" t="s">
        <v>44</v>
      </c>
      <c r="U68" s="7" t="s">
        <v>44</v>
      </c>
      <c r="V68" s="7" t="s">
        <v>44</v>
      </c>
      <c r="W68" s="7" t="s">
        <v>44</v>
      </c>
      <c r="X68" s="14"/>
    </row>
    <row r="69" spans="1:24" x14ac:dyDescent="0.25">
      <c r="A69" s="1"/>
      <c r="B69" s="1"/>
      <c r="C69" s="1"/>
      <c r="D69" s="1"/>
      <c r="E69" s="1"/>
      <c r="F69" s="1"/>
      <c r="G69" s="1"/>
      <c r="H69" s="6"/>
      <c r="I69" s="7"/>
      <c r="J69" s="7"/>
      <c r="K69" s="7"/>
      <c r="L69" s="7"/>
      <c r="M69" s="7"/>
      <c r="N69" s="6"/>
      <c r="O69" s="7"/>
      <c r="P69" s="7"/>
      <c r="Q69" s="7"/>
      <c r="R69" s="7"/>
      <c r="S69" s="6"/>
      <c r="T69" s="7"/>
      <c r="U69" s="7"/>
      <c r="V69" s="7"/>
      <c r="W69" s="7"/>
      <c r="X69" s="14"/>
    </row>
    <row r="70" spans="1:24" x14ac:dyDescent="0.25">
      <c r="A70" s="1" t="s">
        <v>64</v>
      </c>
      <c r="B70" s="1" t="s">
        <v>65</v>
      </c>
      <c r="C70" s="1" t="s">
        <v>43</v>
      </c>
      <c r="D70" s="2" t="s">
        <v>15</v>
      </c>
      <c r="E70" s="1" t="s">
        <v>34</v>
      </c>
      <c r="F70" s="2" t="s">
        <v>15</v>
      </c>
      <c r="G70" s="1">
        <v>1</v>
      </c>
      <c r="H70" s="6">
        <v>45716</v>
      </c>
      <c r="I70" s="8">
        <v>200</v>
      </c>
      <c r="J70" s="18">
        <v>2</v>
      </c>
      <c r="K70" s="18">
        <v>2</v>
      </c>
      <c r="L70" s="18">
        <v>2</v>
      </c>
      <c r="M70" s="7" t="s">
        <v>15</v>
      </c>
      <c r="N70" s="6">
        <v>45716</v>
      </c>
      <c r="O70" s="7">
        <v>2</v>
      </c>
      <c r="P70" s="7">
        <v>2</v>
      </c>
      <c r="Q70" s="7">
        <v>2</v>
      </c>
      <c r="R70" s="7" t="s">
        <v>15</v>
      </c>
      <c r="S70" s="6">
        <v>45716</v>
      </c>
      <c r="T70" s="7" t="s">
        <v>44</v>
      </c>
      <c r="U70" s="7" t="s">
        <v>44</v>
      </c>
      <c r="V70" s="7" t="s">
        <v>44</v>
      </c>
      <c r="W70" s="7" t="s">
        <v>44</v>
      </c>
      <c r="X70" s="14"/>
    </row>
    <row r="71" spans="1:24" x14ac:dyDescent="0.25">
      <c r="A71" s="1" t="s">
        <v>64</v>
      </c>
      <c r="B71" s="1" t="s">
        <v>65</v>
      </c>
      <c r="C71" s="1" t="s">
        <v>43</v>
      </c>
      <c r="D71" s="2" t="s">
        <v>15</v>
      </c>
      <c r="E71" s="1" t="s">
        <v>34</v>
      </c>
      <c r="F71" s="2" t="s">
        <v>15</v>
      </c>
      <c r="G71" s="1">
        <v>2</v>
      </c>
      <c r="H71" s="6">
        <v>45737</v>
      </c>
      <c r="I71" s="7">
        <v>49</v>
      </c>
      <c r="J71" s="18">
        <v>4</v>
      </c>
      <c r="K71" s="18">
        <v>4</v>
      </c>
      <c r="L71" s="18">
        <v>4</v>
      </c>
      <c r="M71" s="7" t="s">
        <v>15</v>
      </c>
      <c r="N71" s="6">
        <v>45737</v>
      </c>
      <c r="O71" s="7">
        <v>8</v>
      </c>
      <c r="P71" s="7">
        <v>8</v>
      </c>
      <c r="Q71" s="7">
        <v>8</v>
      </c>
      <c r="R71" s="7" t="s">
        <v>15</v>
      </c>
      <c r="S71" s="6">
        <v>45737</v>
      </c>
      <c r="T71" s="7" t="s">
        <v>44</v>
      </c>
      <c r="U71" s="7" t="s">
        <v>44</v>
      </c>
      <c r="V71" s="7" t="s">
        <v>44</v>
      </c>
      <c r="W71" s="7" t="s">
        <v>44</v>
      </c>
      <c r="X71" s="14"/>
    </row>
    <row r="72" spans="1:24" x14ac:dyDescent="0.25">
      <c r="A72" s="1" t="s">
        <v>64</v>
      </c>
      <c r="B72" s="1" t="s">
        <v>65</v>
      </c>
      <c r="C72" s="1" t="s">
        <v>43</v>
      </c>
      <c r="D72" s="2" t="s">
        <v>15</v>
      </c>
      <c r="E72" s="1" t="s">
        <v>34</v>
      </c>
      <c r="F72" s="2" t="s">
        <v>15</v>
      </c>
      <c r="G72" s="1">
        <v>3</v>
      </c>
      <c r="H72" s="6">
        <v>45746</v>
      </c>
      <c r="I72" s="8">
        <v>2</v>
      </c>
      <c r="J72" s="18">
        <v>8</v>
      </c>
      <c r="K72" s="18">
        <v>8</v>
      </c>
      <c r="L72" s="18">
        <v>8</v>
      </c>
      <c r="M72" s="7" t="s">
        <v>15</v>
      </c>
      <c r="N72" s="6">
        <v>45746</v>
      </c>
      <c r="O72" s="7">
        <v>2</v>
      </c>
      <c r="P72" s="7">
        <v>2</v>
      </c>
      <c r="Q72" s="7">
        <v>2</v>
      </c>
      <c r="R72" s="7" t="s">
        <v>15</v>
      </c>
      <c r="S72" s="6">
        <v>45746</v>
      </c>
      <c r="T72" s="7" t="s">
        <v>44</v>
      </c>
      <c r="U72" s="7" t="s">
        <v>44</v>
      </c>
      <c r="V72" s="7" t="s">
        <v>44</v>
      </c>
      <c r="W72" s="7" t="s">
        <v>44</v>
      </c>
      <c r="X72" s="14"/>
    </row>
    <row r="73" spans="1:24" x14ac:dyDescent="0.25">
      <c r="A73" s="1" t="s">
        <v>64</v>
      </c>
      <c r="B73" s="1"/>
      <c r="C73" s="1"/>
      <c r="D73" s="2"/>
      <c r="E73" s="1"/>
      <c r="F73" s="2"/>
      <c r="G73" s="1"/>
      <c r="H73" s="6">
        <v>45838</v>
      </c>
      <c r="I73" s="8">
        <v>23</v>
      </c>
      <c r="J73" s="18">
        <v>64</v>
      </c>
      <c r="K73" s="18">
        <v>64</v>
      </c>
      <c r="L73" s="18">
        <v>64</v>
      </c>
      <c r="M73" s="7" t="s">
        <v>15</v>
      </c>
      <c r="N73" s="6" t="s">
        <v>91</v>
      </c>
      <c r="O73" s="6" t="s">
        <v>91</v>
      </c>
      <c r="P73" s="6" t="s">
        <v>91</v>
      </c>
      <c r="Q73" s="6" t="s">
        <v>91</v>
      </c>
      <c r="R73" s="6" t="s">
        <v>91</v>
      </c>
      <c r="S73" s="6" t="s">
        <v>91</v>
      </c>
      <c r="T73" s="6" t="s">
        <v>91</v>
      </c>
      <c r="U73" s="6" t="s">
        <v>91</v>
      </c>
      <c r="V73" s="6" t="s">
        <v>91</v>
      </c>
      <c r="W73" s="6" t="s">
        <v>91</v>
      </c>
      <c r="X73" s="14"/>
    </row>
    <row r="74" spans="1:24" x14ac:dyDescent="0.25">
      <c r="A74" s="1" t="s">
        <v>64</v>
      </c>
      <c r="B74" s="1"/>
      <c r="C74" s="1"/>
      <c r="D74" s="2"/>
      <c r="E74" s="1"/>
      <c r="F74" s="2"/>
      <c r="G74" s="1"/>
      <c r="H74" s="6">
        <v>45840</v>
      </c>
      <c r="I74" s="8">
        <v>93</v>
      </c>
      <c r="J74" s="18">
        <v>64</v>
      </c>
      <c r="K74" s="18">
        <v>64</v>
      </c>
      <c r="L74" s="18">
        <v>64</v>
      </c>
      <c r="M74" s="7" t="s">
        <v>15</v>
      </c>
      <c r="N74" s="6" t="s">
        <v>91</v>
      </c>
      <c r="O74" s="6" t="s">
        <v>91</v>
      </c>
      <c r="P74" s="6" t="s">
        <v>91</v>
      </c>
      <c r="Q74" s="6" t="s">
        <v>91</v>
      </c>
      <c r="R74" s="6" t="s">
        <v>91</v>
      </c>
      <c r="S74" s="6" t="s">
        <v>91</v>
      </c>
      <c r="T74" s="6" t="s">
        <v>91</v>
      </c>
      <c r="U74" s="6" t="s">
        <v>91</v>
      </c>
      <c r="V74" s="6" t="s">
        <v>91</v>
      </c>
      <c r="W74" s="6" t="s">
        <v>91</v>
      </c>
      <c r="X74" s="14"/>
    </row>
    <row r="75" spans="1:24" x14ac:dyDescent="0.25">
      <c r="A75" s="1"/>
      <c r="B75" s="1"/>
      <c r="C75" s="1"/>
      <c r="D75" s="1"/>
      <c r="E75" s="1"/>
      <c r="F75" s="1"/>
      <c r="G75" s="1"/>
      <c r="H75" s="6"/>
      <c r="I75" s="7"/>
      <c r="J75" s="7"/>
      <c r="K75" s="7"/>
      <c r="L75" s="7"/>
      <c r="M75" s="7"/>
      <c r="N75" s="6"/>
      <c r="O75" s="7"/>
      <c r="P75" s="7"/>
      <c r="Q75" s="7"/>
      <c r="R75" s="7"/>
      <c r="S75" s="6"/>
      <c r="T75" s="7"/>
      <c r="U75" s="7"/>
      <c r="V75" s="7"/>
      <c r="W75" s="7"/>
      <c r="X75" s="14"/>
    </row>
    <row r="76" spans="1:24" x14ac:dyDescent="0.25">
      <c r="A76" s="1" t="s">
        <v>66</v>
      </c>
      <c r="B76" s="1">
        <v>8658</v>
      </c>
      <c r="C76" s="1" t="s">
        <v>43</v>
      </c>
      <c r="D76" s="2" t="s">
        <v>15</v>
      </c>
      <c r="E76" s="1" t="s">
        <v>34</v>
      </c>
      <c r="F76" s="2" t="s">
        <v>15</v>
      </c>
      <c r="G76" s="1">
        <v>1</v>
      </c>
      <c r="H76" s="6">
        <v>45716</v>
      </c>
      <c r="I76" s="7">
        <v>33</v>
      </c>
      <c r="J76" s="7">
        <v>16</v>
      </c>
      <c r="K76" s="7">
        <v>16</v>
      </c>
      <c r="L76" s="7">
        <v>16</v>
      </c>
      <c r="M76" s="7" t="s">
        <v>15</v>
      </c>
      <c r="N76" s="6">
        <v>45716</v>
      </c>
      <c r="O76" s="18">
        <v>4</v>
      </c>
      <c r="P76" s="18">
        <v>4</v>
      </c>
      <c r="Q76" s="18">
        <v>4</v>
      </c>
      <c r="R76" s="7" t="s">
        <v>15</v>
      </c>
      <c r="S76" s="6">
        <v>45716</v>
      </c>
      <c r="T76" s="7" t="s">
        <v>44</v>
      </c>
      <c r="U76" s="7" t="s">
        <v>44</v>
      </c>
      <c r="V76" s="7" t="s">
        <v>44</v>
      </c>
      <c r="W76" s="7" t="s">
        <v>44</v>
      </c>
      <c r="X76" s="14"/>
    </row>
    <row r="77" spans="1:24" x14ac:dyDescent="0.25">
      <c r="A77" s="1" t="s">
        <v>66</v>
      </c>
      <c r="B77" s="1">
        <v>8658</v>
      </c>
      <c r="C77" s="1" t="s">
        <v>43</v>
      </c>
      <c r="D77" s="2" t="s">
        <v>15</v>
      </c>
      <c r="E77" s="1" t="s">
        <v>34</v>
      </c>
      <c r="F77" s="2" t="s">
        <v>15</v>
      </c>
      <c r="G77" s="1">
        <v>2</v>
      </c>
      <c r="H77" s="6">
        <v>45737</v>
      </c>
      <c r="I77" s="7">
        <v>66</v>
      </c>
      <c r="J77" s="7">
        <v>32</v>
      </c>
      <c r="K77" s="7">
        <v>32</v>
      </c>
      <c r="L77" s="7">
        <v>32</v>
      </c>
      <c r="M77" s="7" t="s">
        <v>15</v>
      </c>
      <c r="N77" s="6">
        <v>45737</v>
      </c>
      <c r="O77" s="18">
        <v>16</v>
      </c>
      <c r="P77" s="18">
        <v>16</v>
      </c>
      <c r="Q77" s="18">
        <v>16</v>
      </c>
      <c r="R77" s="7" t="s">
        <v>15</v>
      </c>
      <c r="S77" s="6">
        <v>45737</v>
      </c>
      <c r="T77" s="7" t="s">
        <v>44</v>
      </c>
      <c r="U77" s="7" t="s">
        <v>44</v>
      </c>
      <c r="V77" s="7" t="s">
        <v>44</v>
      </c>
      <c r="W77" s="7" t="s">
        <v>44</v>
      </c>
      <c r="X77" s="14"/>
    </row>
    <row r="78" spans="1:24" x14ac:dyDescent="0.25">
      <c r="A78" s="1" t="s">
        <v>66</v>
      </c>
      <c r="B78" s="1">
        <v>8658</v>
      </c>
      <c r="C78" s="1" t="s">
        <v>43</v>
      </c>
      <c r="D78" s="2" t="s">
        <v>15</v>
      </c>
      <c r="E78" s="1" t="s">
        <v>34</v>
      </c>
      <c r="F78" s="2" t="s">
        <v>15</v>
      </c>
      <c r="G78" s="1">
        <v>3</v>
      </c>
      <c r="H78" s="6">
        <v>45746</v>
      </c>
      <c r="I78" s="8">
        <v>2</v>
      </c>
      <c r="J78" s="7">
        <v>32</v>
      </c>
      <c r="K78" s="7">
        <v>32</v>
      </c>
      <c r="L78" s="7">
        <v>32</v>
      </c>
      <c r="M78" s="7" t="s">
        <v>15</v>
      </c>
      <c r="N78" s="6">
        <v>45746</v>
      </c>
      <c r="O78" s="18">
        <v>8</v>
      </c>
      <c r="P78" s="18">
        <v>8</v>
      </c>
      <c r="Q78" s="18">
        <v>8</v>
      </c>
      <c r="R78" s="7" t="s">
        <v>15</v>
      </c>
      <c r="S78" s="6">
        <v>45746</v>
      </c>
      <c r="T78" s="7" t="s">
        <v>44</v>
      </c>
      <c r="U78" s="7" t="s">
        <v>44</v>
      </c>
      <c r="V78" s="7" t="s">
        <v>44</v>
      </c>
      <c r="W78" s="7" t="s">
        <v>44</v>
      </c>
      <c r="X78" s="14"/>
    </row>
    <row r="79" spans="1:24" x14ac:dyDescent="0.25">
      <c r="A79" s="1" t="s">
        <v>66</v>
      </c>
      <c r="B79" s="1"/>
      <c r="C79" s="1"/>
      <c r="D79" s="2"/>
      <c r="E79" s="1"/>
      <c r="F79" s="2"/>
      <c r="G79" s="1"/>
      <c r="H79" s="6">
        <v>45810</v>
      </c>
      <c r="I79" s="8">
        <v>7</v>
      </c>
      <c r="J79" s="6" t="s">
        <v>91</v>
      </c>
      <c r="K79" s="6" t="s">
        <v>91</v>
      </c>
      <c r="L79" s="6" t="s">
        <v>91</v>
      </c>
      <c r="M79" s="6" t="s">
        <v>91</v>
      </c>
      <c r="N79" s="6">
        <v>45810</v>
      </c>
      <c r="O79" s="18">
        <v>8</v>
      </c>
      <c r="P79" s="18">
        <v>8</v>
      </c>
      <c r="Q79" s="18">
        <v>8</v>
      </c>
      <c r="R79" s="7" t="s">
        <v>15</v>
      </c>
      <c r="S79" s="6" t="s">
        <v>91</v>
      </c>
      <c r="T79" s="6" t="s">
        <v>91</v>
      </c>
      <c r="U79" s="6" t="s">
        <v>91</v>
      </c>
      <c r="V79" s="6" t="s">
        <v>91</v>
      </c>
      <c r="W79" s="6" t="s">
        <v>91</v>
      </c>
      <c r="X79" s="14"/>
    </row>
    <row r="80" spans="1:24" x14ac:dyDescent="0.25">
      <c r="A80" s="1"/>
      <c r="B80" s="1"/>
      <c r="C80" s="1"/>
      <c r="D80" s="1"/>
      <c r="E80" s="1"/>
      <c r="F80" s="1"/>
      <c r="G80" s="1"/>
      <c r="H80" s="6"/>
      <c r="I80" s="7"/>
      <c r="J80" s="7"/>
      <c r="K80" s="7"/>
      <c r="L80" s="7"/>
      <c r="M80" s="7"/>
      <c r="N80" s="6"/>
      <c r="O80" s="7"/>
      <c r="P80" s="7"/>
      <c r="Q80" s="7"/>
      <c r="R80" s="7"/>
      <c r="S80" s="6"/>
      <c r="T80" s="7"/>
      <c r="U80" s="7"/>
      <c r="V80" s="7"/>
      <c r="W80" s="7"/>
      <c r="X80" s="14"/>
    </row>
    <row r="81" spans="1:24" x14ac:dyDescent="0.25">
      <c r="A81" s="1" t="s">
        <v>67</v>
      </c>
      <c r="B81" s="1">
        <v>27</v>
      </c>
      <c r="C81" s="1" t="s">
        <v>68</v>
      </c>
      <c r="D81" s="1" t="s">
        <v>34</v>
      </c>
      <c r="E81" s="1" t="s">
        <v>34</v>
      </c>
      <c r="F81" s="2" t="s">
        <v>15</v>
      </c>
      <c r="G81" s="1">
        <v>1</v>
      </c>
      <c r="H81" s="6">
        <v>45716</v>
      </c>
      <c r="I81" s="7">
        <v>88</v>
      </c>
      <c r="J81" s="7">
        <v>0.12</v>
      </c>
      <c r="K81" s="7">
        <v>0.12</v>
      </c>
      <c r="L81" s="7">
        <v>0.12</v>
      </c>
      <c r="M81" s="7" t="s">
        <v>34</v>
      </c>
      <c r="N81" s="6">
        <v>45716</v>
      </c>
      <c r="O81" s="7">
        <v>4</v>
      </c>
      <c r="P81" s="7">
        <v>4</v>
      </c>
      <c r="Q81" s="7">
        <v>4</v>
      </c>
      <c r="R81" s="7" t="s">
        <v>15</v>
      </c>
      <c r="S81" s="6">
        <v>45716</v>
      </c>
      <c r="T81" s="7" t="s">
        <v>44</v>
      </c>
      <c r="U81" s="7" t="s">
        <v>44</v>
      </c>
      <c r="V81" s="7" t="s">
        <v>44</v>
      </c>
      <c r="W81" s="7" t="s">
        <v>44</v>
      </c>
      <c r="X81" s="14"/>
    </row>
    <row r="82" spans="1:24" x14ac:dyDescent="0.25">
      <c r="A82" s="1" t="s">
        <v>67</v>
      </c>
      <c r="B82" s="1">
        <v>27</v>
      </c>
      <c r="C82" s="1" t="s">
        <v>68</v>
      </c>
      <c r="D82" s="1" t="s">
        <v>34</v>
      </c>
      <c r="E82" s="1" t="s">
        <v>34</v>
      </c>
      <c r="F82" s="2" t="s">
        <v>15</v>
      </c>
      <c r="G82" s="1">
        <v>2</v>
      </c>
      <c r="H82" s="6">
        <v>45737</v>
      </c>
      <c r="I82" s="7">
        <v>84</v>
      </c>
      <c r="J82" s="7">
        <v>0.06</v>
      </c>
      <c r="K82" s="7">
        <v>0.06</v>
      </c>
      <c r="L82" s="7">
        <v>0.06</v>
      </c>
      <c r="M82" s="7" t="s">
        <v>34</v>
      </c>
      <c r="N82" s="6">
        <v>45737</v>
      </c>
      <c r="O82" s="7">
        <v>4</v>
      </c>
      <c r="P82" s="7">
        <v>4</v>
      </c>
      <c r="Q82" s="7">
        <v>4</v>
      </c>
      <c r="R82" s="7" t="s">
        <v>15</v>
      </c>
      <c r="S82" s="6">
        <v>45737</v>
      </c>
      <c r="T82" s="7" t="s">
        <v>44</v>
      </c>
      <c r="U82" s="7" t="s">
        <v>44</v>
      </c>
      <c r="V82" s="7" t="s">
        <v>44</v>
      </c>
      <c r="W82" s="7" t="s">
        <v>44</v>
      </c>
      <c r="X82" s="14"/>
    </row>
    <row r="83" spans="1:24" x14ac:dyDescent="0.25">
      <c r="A83" s="1" t="s">
        <v>67</v>
      </c>
      <c r="B83" s="1">
        <v>27</v>
      </c>
      <c r="C83" s="1" t="s">
        <v>68</v>
      </c>
      <c r="D83" s="1" t="s">
        <v>34</v>
      </c>
      <c r="E83" s="1" t="s">
        <v>34</v>
      </c>
      <c r="F83" s="2" t="s">
        <v>15</v>
      </c>
      <c r="G83" s="1">
        <v>3</v>
      </c>
      <c r="H83" s="6">
        <v>45746</v>
      </c>
      <c r="I83" s="8">
        <v>7</v>
      </c>
      <c r="J83" s="7">
        <v>0.25</v>
      </c>
      <c r="K83" s="7">
        <v>0.25</v>
      </c>
      <c r="L83" s="7">
        <v>0.25</v>
      </c>
      <c r="M83" s="7" t="s">
        <v>34</v>
      </c>
      <c r="N83" s="6">
        <v>45746</v>
      </c>
      <c r="O83" s="7">
        <v>4</v>
      </c>
      <c r="P83" s="7">
        <v>4</v>
      </c>
      <c r="Q83" s="7">
        <v>4</v>
      </c>
      <c r="R83" s="7" t="s">
        <v>15</v>
      </c>
      <c r="S83" s="6">
        <v>45746</v>
      </c>
      <c r="T83" s="7" t="s">
        <v>44</v>
      </c>
      <c r="U83" s="7" t="s">
        <v>44</v>
      </c>
      <c r="V83" s="7" t="s">
        <v>44</v>
      </c>
      <c r="W83" s="7" t="s">
        <v>44</v>
      </c>
      <c r="X83" s="14"/>
    </row>
    <row r="84" spans="1:24" x14ac:dyDescent="0.25">
      <c r="A84" s="1"/>
      <c r="B84" s="1"/>
      <c r="C84" s="1"/>
      <c r="D84" s="1" t="s">
        <v>19</v>
      </c>
      <c r="E84" s="1" t="s">
        <v>20</v>
      </c>
      <c r="F84" s="1" t="s">
        <v>21</v>
      </c>
      <c r="G84" s="1"/>
      <c r="H84" s="6"/>
      <c r="I84" s="7"/>
      <c r="J84" s="7"/>
      <c r="K84" s="7"/>
      <c r="L84" s="7"/>
      <c r="M84" s="7"/>
      <c r="N84" s="6"/>
      <c r="O84" s="7"/>
      <c r="P84" s="7"/>
      <c r="Q84" s="7"/>
      <c r="R84" s="7"/>
      <c r="S84" s="6"/>
      <c r="T84" s="7"/>
      <c r="U84" s="7"/>
      <c r="V84" s="7"/>
      <c r="W84" s="7"/>
      <c r="X84" s="14"/>
    </row>
    <row r="85" spans="1:24" x14ac:dyDescent="0.25">
      <c r="A85" s="1" t="s">
        <v>69</v>
      </c>
      <c r="B85" s="1">
        <v>6964</v>
      </c>
      <c r="C85" s="1" t="s">
        <v>70</v>
      </c>
      <c r="D85" s="2" t="s">
        <v>15</v>
      </c>
      <c r="E85" s="1" t="s">
        <v>34</v>
      </c>
      <c r="F85" s="2" t="s">
        <v>15</v>
      </c>
      <c r="G85" s="1">
        <v>1</v>
      </c>
      <c r="H85" s="6">
        <v>45716</v>
      </c>
      <c r="I85" s="8">
        <v>119</v>
      </c>
      <c r="J85" s="7">
        <v>32</v>
      </c>
      <c r="K85" s="7">
        <v>32</v>
      </c>
      <c r="L85" s="7">
        <v>32</v>
      </c>
      <c r="M85" s="7" t="s">
        <v>15</v>
      </c>
      <c r="N85" s="6">
        <v>45716</v>
      </c>
      <c r="O85" s="7">
        <v>16</v>
      </c>
      <c r="P85" s="7">
        <v>16</v>
      </c>
      <c r="Q85" s="7">
        <v>16</v>
      </c>
      <c r="R85" s="7" t="s">
        <v>15</v>
      </c>
      <c r="S85" s="6">
        <v>45716</v>
      </c>
      <c r="T85" s="7" t="s">
        <v>44</v>
      </c>
      <c r="U85" s="7" t="s">
        <v>44</v>
      </c>
      <c r="V85" s="7" t="s">
        <v>44</v>
      </c>
      <c r="W85" s="7" t="s">
        <v>44</v>
      </c>
      <c r="X85" s="14"/>
    </row>
    <row r="86" spans="1:24" x14ac:dyDescent="0.25">
      <c r="A86" s="1" t="s">
        <v>69</v>
      </c>
      <c r="B86" s="1">
        <v>6964</v>
      </c>
      <c r="C86" s="1" t="s">
        <v>70</v>
      </c>
      <c r="D86" s="2" t="s">
        <v>15</v>
      </c>
      <c r="E86" s="1" t="s">
        <v>34</v>
      </c>
      <c r="F86" s="2" t="s">
        <v>15</v>
      </c>
      <c r="G86" s="1">
        <v>2</v>
      </c>
      <c r="H86" s="6">
        <v>45737</v>
      </c>
      <c r="I86" s="7">
        <v>46</v>
      </c>
      <c r="J86" s="7">
        <v>8</v>
      </c>
      <c r="K86" s="7">
        <v>8</v>
      </c>
      <c r="L86" s="7">
        <v>8</v>
      </c>
      <c r="M86" s="7" t="s">
        <v>15</v>
      </c>
      <c r="N86" s="6">
        <v>45737</v>
      </c>
      <c r="O86" s="7">
        <v>8</v>
      </c>
      <c r="P86" s="7">
        <v>8</v>
      </c>
      <c r="Q86" s="7">
        <v>8</v>
      </c>
      <c r="R86" s="7" t="s">
        <v>15</v>
      </c>
      <c r="S86" s="6">
        <v>45737</v>
      </c>
      <c r="T86" s="7" t="s">
        <v>44</v>
      </c>
      <c r="U86" s="7" t="s">
        <v>44</v>
      </c>
      <c r="V86" s="7" t="s">
        <v>44</v>
      </c>
      <c r="W86" s="7" t="s">
        <v>44</v>
      </c>
      <c r="X86" s="14"/>
    </row>
    <row r="87" spans="1:24" x14ac:dyDescent="0.25">
      <c r="A87" s="1" t="s">
        <v>69</v>
      </c>
      <c r="B87" s="1">
        <v>6964</v>
      </c>
      <c r="C87" s="1" t="s">
        <v>70</v>
      </c>
      <c r="D87" s="2" t="s">
        <v>15</v>
      </c>
      <c r="E87" s="1" t="s">
        <v>34</v>
      </c>
      <c r="F87" s="2" t="s">
        <v>15</v>
      </c>
      <c r="G87" s="1">
        <v>3</v>
      </c>
      <c r="H87" s="6">
        <v>45746</v>
      </c>
      <c r="I87" s="8">
        <v>6</v>
      </c>
      <c r="J87" s="7">
        <v>32</v>
      </c>
      <c r="K87" s="7">
        <v>32</v>
      </c>
      <c r="L87" s="7">
        <v>32</v>
      </c>
      <c r="M87" s="7" t="s">
        <v>15</v>
      </c>
      <c r="N87" s="6">
        <v>45746</v>
      </c>
      <c r="O87" s="7">
        <v>8</v>
      </c>
      <c r="P87" s="7">
        <v>8</v>
      </c>
      <c r="Q87" s="7">
        <v>8</v>
      </c>
      <c r="R87" s="7" t="s">
        <v>15</v>
      </c>
      <c r="S87" s="6">
        <v>45746</v>
      </c>
      <c r="T87" s="7" t="s">
        <v>44</v>
      </c>
      <c r="U87" s="7" t="s">
        <v>44</v>
      </c>
      <c r="V87" s="7" t="s">
        <v>44</v>
      </c>
      <c r="W87" s="7" t="s">
        <v>44</v>
      </c>
      <c r="X87" s="14"/>
    </row>
    <row r="88" spans="1:24" x14ac:dyDescent="0.25">
      <c r="A88" s="1"/>
      <c r="B88" s="1"/>
      <c r="C88" s="1"/>
      <c r="D88" s="1"/>
      <c r="E88" s="1"/>
      <c r="F88" s="1"/>
      <c r="G88" s="1"/>
      <c r="H88" s="6"/>
      <c r="I88" s="7"/>
      <c r="J88" s="7"/>
      <c r="K88" s="7"/>
      <c r="L88" s="7"/>
      <c r="M88" s="7"/>
      <c r="N88" s="6"/>
      <c r="O88" s="7"/>
      <c r="P88" s="7"/>
      <c r="Q88" s="7"/>
      <c r="R88" s="7"/>
      <c r="S88" s="6"/>
      <c r="T88" s="7"/>
      <c r="U88" s="7"/>
      <c r="V88" s="7"/>
      <c r="W88" s="7"/>
      <c r="X88" s="14"/>
    </row>
    <row r="89" spans="1:24" x14ac:dyDescent="0.25">
      <c r="A89" s="1" t="s">
        <v>71</v>
      </c>
      <c r="B89" s="1">
        <v>1919</v>
      </c>
      <c r="C89" s="1" t="s">
        <v>43</v>
      </c>
      <c r="D89" s="2" t="s">
        <v>15</v>
      </c>
      <c r="E89" s="1" t="s">
        <v>34</v>
      </c>
      <c r="F89" s="2" t="s">
        <v>15</v>
      </c>
      <c r="G89" s="1">
        <v>1</v>
      </c>
      <c r="H89" s="6">
        <v>45716</v>
      </c>
      <c r="I89" s="7">
        <v>73</v>
      </c>
      <c r="J89" s="18">
        <v>32</v>
      </c>
      <c r="K89" s="18">
        <v>32</v>
      </c>
      <c r="L89" s="18">
        <v>32</v>
      </c>
      <c r="M89" s="7" t="s">
        <v>15</v>
      </c>
      <c r="N89" s="6">
        <v>45716</v>
      </c>
      <c r="O89" s="7">
        <v>8</v>
      </c>
      <c r="P89" s="7">
        <v>8</v>
      </c>
      <c r="Q89" s="7">
        <v>8</v>
      </c>
      <c r="R89" s="7" t="s">
        <v>15</v>
      </c>
      <c r="S89" s="6">
        <v>45716</v>
      </c>
      <c r="T89" s="7" t="s">
        <v>44</v>
      </c>
      <c r="U89" s="7" t="s">
        <v>44</v>
      </c>
      <c r="V89" s="7" t="s">
        <v>44</v>
      </c>
      <c r="W89" s="7" t="s">
        <v>44</v>
      </c>
      <c r="X89" s="14"/>
    </row>
    <row r="90" spans="1:24" x14ac:dyDescent="0.25">
      <c r="A90" s="1" t="s">
        <v>71</v>
      </c>
      <c r="B90" s="1">
        <v>1919</v>
      </c>
      <c r="C90" s="1" t="s">
        <v>43</v>
      </c>
      <c r="D90" s="2" t="s">
        <v>15</v>
      </c>
      <c r="E90" s="1" t="s">
        <v>34</v>
      </c>
      <c r="F90" s="2" t="s">
        <v>15</v>
      </c>
      <c r="G90" s="1">
        <v>2</v>
      </c>
      <c r="H90" s="6">
        <v>45737</v>
      </c>
      <c r="I90" s="7">
        <v>54</v>
      </c>
      <c r="J90" s="18">
        <v>2</v>
      </c>
      <c r="K90" s="18">
        <v>2</v>
      </c>
      <c r="L90" s="18">
        <v>2</v>
      </c>
      <c r="M90" s="7" t="s">
        <v>15</v>
      </c>
      <c r="N90" s="6">
        <v>45737</v>
      </c>
      <c r="O90" s="7">
        <v>2</v>
      </c>
      <c r="P90" s="7">
        <v>2</v>
      </c>
      <c r="Q90" s="7">
        <v>2</v>
      </c>
      <c r="R90" s="7" t="s">
        <v>15</v>
      </c>
      <c r="S90" s="6">
        <v>45737</v>
      </c>
      <c r="T90" s="7" t="s">
        <v>44</v>
      </c>
      <c r="U90" s="7" t="s">
        <v>44</v>
      </c>
      <c r="V90" s="7" t="s">
        <v>44</v>
      </c>
      <c r="W90" s="7" t="s">
        <v>44</v>
      </c>
      <c r="X90" s="14"/>
    </row>
    <row r="91" spans="1:24" x14ac:dyDescent="0.25">
      <c r="A91" s="1" t="s">
        <v>71</v>
      </c>
      <c r="B91" s="1">
        <v>1919</v>
      </c>
      <c r="C91" s="1" t="s">
        <v>43</v>
      </c>
      <c r="D91" s="2" t="s">
        <v>15</v>
      </c>
      <c r="E91" s="1" t="s">
        <v>34</v>
      </c>
      <c r="F91" s="2" t="s">
        <v>15</v>
      </c>
      <c r="G91" s="1">
        <v>3</v>
      </c>
      <c r="H91" s="6">
        <v>45746</v>
      </c>
      <c r="I91" s="7">
        <v>22</v>
      </c>
      <c r="J91" s="18">
        <v>4</v>
      </c>
      <c r="K91" s="18">
        <v>4</v>
      </c>
      <c r="L91" s="18">
        <v>4</v>
      </c>
      <c r="M91" s="7" t="s">
        <v>15</v>
      </c>
      <c r="N91" s="6">
        <v>45746</v>
      </c>
      <c r="O91" s="7">
        <v>2</v>
      </c>
      <c r="P91" s="7">
        <v>2</v>
      </c>
      <c r="Q91" s="7">
        <v>2</v>
      </c>
      <c r="R91" s="7" t="s">
        <v>15</v>
      </c>
      <c r="S91" s="6">
        <v>45746</v>
      </c>
      <c r="T91" s="7" t="s">
        <v>44</v>
      </c>
      <c r="U91" s="7" t="s">
        <v>44</v>
      </c>
      <c r="V91" s="7" t="s">
        <v>44</v>
      </c>
      <c r="W91" s="7" t="s">
        <v>44</v>
      </c>
      <c r="X91" s="14"/>
    </row>
    <row r="92" spans="1:24" x14ac:dyDescent="0.25">
      <c r="A92" s="1" t="s">
        <v>71</v>
      </c>
      <c r="B92" s="1"/>
      <c r="C92" s="1"/>
      <c r="D92" s="2"/>
      <c r="E92" s="1"/>
      <c r="F92" s="2"/>
      <c r="G92" s="1"/>
      <c r="H92" s="6">
        <v>45838</v>
      </c>
      <c r="I92" s="7">
        <v>33</v>
      </c>
      <c r="J92" s="18">
        <v>64</v>
      </c>
      <c r="K92" s="18">
        <v>64</v>
      </c>
      <c r="L92" s="18">
        <v>64</v>
      </c>
      <c r="M92" s="7" t="s">
        <v>15</v>
      </c>
      <c r="N92" s="6" t="s">
        <v>91</v>
      </c>
      <c r="O92" s="6" t="s">
        <v>91</v>
      </c>
      <c r="P92" s="6" t="s">
        <v>91</v>
      </c>
      <c r="Q92" s="6" t="s">
        <v>91</v>
      </c>
      <c r="R92" s="6" t="s">
        <v>91</v>
      </c>
      <c r="S92" s="6" t="s">
        <v>91</v>
      </c>
      <c r="T92" s="6" t="s">
        <v>91</v>
      </c>
      <c r="U92" s="6" t="s">
        <v>91</v>
      </c>
      <c r="V92" s="6" t="s">
        <v>91</v>
      </c>
      <c r="W92" s="6" t="s">
        <v>91</v>
      </c>
      <c r="X92" s="14"/>
    </row>
    <row r="93" spans="1:24" x14ac:dyDescent="0.25">
      <c r="A93" s="1" t="s">
        <v>71</v>
      </c>
      <c r="B93" s="1"/>
      <c r="C93" s="1"/>
      <c r="D93" s="2"/>
      <c r="E93" s="1"/>
      <c r="F93" s="2"/>
      <c r="G93" s="1"/>
      <c r="H93" s="6">
        <v>45840</v>
      </c>
      <c r="I93" s="7">
        <v>55</v>
      </c>
      <c r="J93" s="18">
        <v>64</v>
      </c>
      <c r="K93" s="18">
        <v>64</v>
      </c>
      <c r="L93" s="18">
        <v>64</v>
      </c>
      <c r="M93" s="7" t="s">
        <v>15</v>
      </c>
      <c r="N93" s="6" t="s">
        <v>91</v>
      </c>
      <c r="O93" s="6" t="s">
        <v>91</v>
      </c>
      <c r="P93" s="6" t="s">
        <v>91</v>
      </c>
      <c r="Q93" s="6" t="s">
        <v>91</v>
      </c>
      <c r="R93" s="6" t="s">
        <v>91</v>
      </c>
      <c r="S93" s="6" t="s">
        <v>91</v>
      </c>
      <c r="T93" s="6" t="s">
        <v>91</v>
      </c>
      <c r="U93" s="6" t="s">
        <v>91</v>
      </c>
      <c r="V93" s="6" t="s">
        <v>91</v>
      </c>
      <c r="W93" s="6" t="s">
        <v>91</v>
      </c>
      <c r="X93" s="14"/>
    </row>
    <row r="94" spans="1:24" x14ac:dyDescent="0.25">
      <c r="A94" s="1"/>
      <c r="B94" s="1"/>
      <c r="C94" s="1"/>
      <c r="D94" s="1"/>
      <c r="E94" s="1"/>
      <c r="F94" s="1"/>
      <c r="G94" s="1"/>
      <c r="H94" s="6"/>
      <c r="I94" s="7"/>
      <c r="J94" s="7"/>
      <c r="K94" s="7"/>
      <c r="L94" s="7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14"/>
    </row>
    <row r="95" spans="1:24" x14ac:dyDescent="0.25">
      <c r="A95" s="1" t="s">
        <v>94</v>
      </c>
      <c r="B95" s="1"/>
      <c r="C95" s="1"/>
      <c r="D95" s="1"/>
      <c r="E95" s="1"/>
      <c r="F95" s="1"/>
      <c r="G95" s="1"/>
      <c r="H95" s="6">
        <v>45835</v>
      </c>
      <c r="I95" s="7">
        <v>27</v>
      </c>
      <c r="J95" s="7" t="s">
        <v>95</v>
      </c>
      <c r="K95" s="7" t="s">
        <v>95</v>
      </c>
      <c r="L95" s="7" t="s">
        <v>95</v>
      </c>
      <c r="M95" s="7" t="s">
        <v>15</v>
      </c>
      <c r="N95" s="6" t="s">
        <v>91</v>
      </c>
      <c r="O95" s="6" t="s">
        <v>91</v>
      </c>
      <c r="P95" s="6" t="s">
        <v>91</v>
      </c>
      <c r="Q95" s="6" t="s">
        <v>91</v>
      </c>
      <c r="R95" s="6" t="s">
        <v>91</v>
      </c>
      <c r="S95" s="6" t="s">
        <v>91</v>
      </c>
      <c r="T95" s="6" t="s">
        <v>91</v>
      </c>
      <c r="U95" s="6" t="s">
        <v>91</v>
      </c>
      <c r="V95" s="6" t="s">
        <v>91</v>
      </c>
      <c r="W95" s="6" t="s">
        <v>91</v>
      </c>
      <c r="X95" s="14" t="s">
        <v>96</v>
      </c>
    </row>
    <row r="96" spans="1:24" x14ac:dyDescent="0.25">
      <c r="A96" s="1" t="s">
        <v>94</v>
      </c>
      <c r="B96" s="1"/>
      <c r="C96" s="1"/>
      <c r="D96" s="1"/>
      <c r="E96" s="1"/>
      <c r="F96" s="1"/>
      <c r="G96" s="1"/>
      <c r="H96" s="6">
        <v>45838</v>
      </c>
      <c r="I96" s="7">
        <v>34</v>
      </c>
      <c r="J96" s="7">
        <v>32</v>
      </c>
      <c r="K96" s="7">
        <v>32</v>
      </c>
      <c r="L96" s="7">
        <v>32</v>
      </c>
      <c r="M96" s="7" t="s">
        <v>15</v>
      </c>
      <c r="N96" s="6" t="s">
        <v>91</v>
      </c>
      <c r="O96" s="6" t="s">
        <v>91</v>
      </c>
      <c r="P96" s="6" t="s">
        <v>91</v>
      </c>
      <c r="Q96" s="6" t="s">
        <v>91</v>
      </c>
      <c r="R96" s="6" t="s">
        <v>91</v>
      </c>
      <c r="S96" s="6" t="s">
        <v>91</v>
      </c>
      <c r="T96" s="6" t="s">
        <v>91</v>
      </c>
      <c r="U96" s="6" t="s">
        <v>91</v>
      </c>
      <c r="V96" s="6" t="s">
        <v>91</v>
      </c>
      <c r="W96" s="6" t="s">
        <v>91</v>
      </c>
      <c r="X96" s="14"/>
    </row>
    <row r="97" spans="1:24" x14ac:dyDescent="0.25">
      <c r="A97" s="1" t="s">
        <v>94</v>
      </c>
      <c r="B97" s="1"/>
      <c r="C97" s="1"/>
      <c r="D97" s="1"/>
      <c r="E97" s="1"/>
      <c r="F97" s="1"/>
      <c r="G97" s="1"/>
      <c r="H97" s="6">
        <v>45840</v>
      </c>
      <c r="I97" s="7">
        <v>7</v>
      </c>
      <c r="J97" s="7">
        <v>32</v>
      </c>
      <c r="K97" s="7">
        <v>32</v>
      </c>
      <c r="L97" s="7">
        <v>32</v>
      </c>
      <c r="M97" s="7" t="s">
        <v>15</v>
      </c>
      <c r="N97" s="6" t="s">
        <v>91</v>
      </c>
      <c r="O97" s="6" t="s">
        <v>91</v>
      </c>
      <c r="P97" s="6" t="s">
        <v>91</v>
      </c>
      <c r="Q97" s="6" t="s">
        <v>91</v>
      </c>
      <c r="R97" s="6" t="s">
        <v>91</v>
      </c>
      <c r="S97" s="6" t="s">
        <v>91</v>
      </c>
      <c r="T97" s="6" t="s">
        <v>91</v>
      </c>
      <c r="U97" s="6" t="s">
        <v>91</v>
      </c>
      <c r="V97" s="6" t="s">
        <v>91</v>
      </c>
      <c r="W97" s="6" t="s">
        <v>91</v>
      </c>
      <c r="X97" s="14"/>
    </row>
    <row r="98" spans="1:24" x14ac:dyDescent="0.25">
      <c r="A98" s="1" t="s">
        <v>94</v>
      </c>
      <c r="B98" s="1"/>
      <c r="C98" s="1"/>
      <c r="D98" s="1"/>
      <c r="E98" s="1"/>
      <c r="F98" s="1"/>
      <c r="G98" s="1"/>
      <c r="H98" s="6">
        <v>45841</v>
      </c>
      <c r="I98" s="7">
        <v>150</v>
      </c>
      <c r="J98" s="7">
        <v>64</v>
      </c>
      <c r="K98" s="7">
        <v>64</v>
      </c>
      <c r="L98" s="7">
        <v>64</v>
      </c>
      <c r="M98" s="7" t="s">
        <v>15</v>
      </c>
      <c r="N98" s="6" t="s">
        <v>91</v>
      </c>
      <c r="O98" s="6" t="s">
        <v>91</v>
      </c>
      <c r="P98" s="6" t="s">
        <v>91</v>
      </c>
      <c r="Q98" s="6" t="s">
        <v>91</v>
      </c>
      <c r="R98" s="6" t="s">
        <v>91</v>
      </c>
      <c r="S98" s="6" t="s">
        <v>91</v>
      </c>
      <c r="T98" s="6" t="s">
        <v>91</v>
      </c>
      <c r="U98" s="6" t="s">
        <v>91</v>
      </c>
      <c r="V98" s="6" t="s">
        <v>91</v>
      </c>
      <c r="W98" s="6" t="s">
        <v>91</v>
      </c>
      <c r="X98" s="14"/>
    </row>
    <row r="99" spans="1:24" x14ac:dyDescent="0.25">
      <c r="A99" s="1"/>
      <c r="B99" s="1"/>
      <c r="C99" s="1"/>
      <c r="D99" s="1"/>
      <c r="E99" s="1"/>
      <c r="F99" s="1"/>
      <c r="G99" s="1"/>
      <c r="H99" s="6"/>
      <c r="I99" s="7"/>
      <c r="J99" s="7"/>
      <c r="K99" s="7"/>
      <c r="L99" s="7"/>
      <c r="M99" s="7"/>
      <c r="N99" s="6"/>
      <c r="O99" s="7"/>
      <c r="P99" s="7"/>
      <c r="Q99" s="7"/>
      <c r="R99" s="7"/>
      <c r="S99" s="6"/>
      <c r="T99" s="7"/>
      <c r="U99" s="7"/>
      <c r="V99" s="7"/>
      <c r="W99" s="7"/>
      <c r="X99" s="14"/>
    </row>
    <row r="100" spans="1:24" x14ac:dyDescent="0.25">
      <c r="A100" s="1" t="s">
        <v>72</v>
      </c>
      <c r="B100" s="1">
        <v>8187</v>
      </c>
      <c r="C100" s="1" t="s">
        <v>54</v>
      </c>
      <c r="D100" s="2" t="s">
        <v>15</v>
      </c>
      <c r="E100" s="1" t="s">
        <v>34</v>
      </c>
      <c r="F100" s="1" t="s">
        <v>34</v>
      </c>
      <c r="G100" s="1">
        <v>1</v>
      </c>
      <c r="H100" s="6">
        <v>45716</v>
      </c>
      <c r="I100" s="7">
        <v>89</v>
      </c>
      <c r="J100" s="7">
        <v>8</v>
      </c>
      <c r="K100" s="7">
        <v>8</v>
      </c>
      <c r="L100" s="7">
        <v>8</v>
      </c>
      <c r="M100" s="7" t="s">
        <v>15</v>
      </c>
      <c r="N100" s="6">
        <v>45716</v>
      </c>
      <c r="O100" s="7">
        <v>0.03</v>
      </c>
      <c r="P100" s="7">
        <v>0.03</v>
      </c>
      <c r="Q100" s="7">
        <v>0.03</v>
      </c>
      <c r="R100" s="7" t="s">
        <v>34</v>
      </c>
      <c r="S100" s="6">
        <v>45716</v>
      </c>
      <c r="T100" s="7" t="s">
        <v>44</v>
      </c>
      <c r="U100" s="7" t="s">
        <v>44</v>
      </c>
      <c r="V100" s="7" t="s">
        <v>44</v>
      </c>
      <c r="W100" s="7" t="s">
        <v>44</v>
      </c>
      <c r="X100" s="14"/>
    </row>
    <row r="101" spans="1:24" x14ac:dyDescent="0.25">
      <c r="A101" s="1" t="s">
        <v>72</v>
      </c>
      <c r="B101" s="1">
        <v>8187</v>
      </c>
      <c r="C101" s="1" t="s">
        <v>54</v>
      </c>
      <c r="D101" s="2" t="s">
        <v>15</v>
      </c>
      <c r="E101" s="1" t="s">
        <v>34</v>
      </c>
      <c r="F101" s="1" t="s">
        <v>34</v>
      </c>
      <c r="G101" s="1">
        <v>2</v>
      </c>
      <c r="H101" s="6">
        <v>45737</v>
      </c>
      <c r="I101" s="7">
        <v>71</v>
      </c>
      <c r="J101" s="7">
        <v>16</v>
      </c>
      <c r="K101" s="7">
        <v>16</v>
      </c>
      <c r="L101" s="7">
        <v>16</v>
      </c>
      <c r="M101" s="7" t="s">
        <v>15</v>
      </c>
      <c r="N101" s="6">
        <v>45737</v>
      </c>
      <c r="O101" s="7">
        <v>0.12</v>
      </c>
      <c r="P101" s="7">
        <v>0.12</v>
      </c>
      <c r="Q101" s="7">
        <v>0.12</v>
      </c>
      <c r="R101" s="7" t="s">
        <v>34</v>
      </c>
      <c r="S101" s="6">
        <v>45737</v>
      </c>
      <c r="T101" s="7" t="s">
        <v>44</v>
      </c>
      <c r="U101" s="7" t="s">
        <v>44</v>
      </c>
      <c r="V101" s="7" t="s">
        <v>44</v>
      </c>
      <c r="W101" s="7" t="s">
        <v>44</v>
      </c>
      <c r="X101" s="14"/>
    </row>
    <row r="102" spans="1:24" x14ac:dyDescent="0.25">
      <c r="A102" s="1" t="s">
        <v>72</v>
      </c>
      <c r="B102" s="1">
        <v>8187</v>
      </c>
      <c r="C102" s="1" t="s">
        <v>54</v>
      </c>
      <c r="D102" s="2" t="s">
        <v>15</v>
      </c>
      <c r="E102" s="1" t="s">
        <v>34</v>
      </c>
      <c r="F102" s="1" t="s">
        <v>34</v>
      </c>
      <c r="G102" s="1">
        <v>3</v>
      </c>
      <c r="H102" s="6">
        <v>45746</v>
      </c>
      <c r="I102" s="8">
        <v>3</v>
      </c>
      <c r="J102" s="7">
        <v>16</v>
      </c>
      <c r="K102" s="7">
        <v>16</v>
      </c>
      <c r="L102" s="7">
        <v>16</v>
      </c>
      <c r="M102" s="7" t="s">
        <v>15</v>
      </c>
      <c r="N102" s="6">
        <v>45746</v>
      </c>
      <c r="O102" s="7">
        <v>0.12</v>
      </c>
      <c r="P102" s="7">
        <v>0.12</v>
      </c>
      <c r="Q102" s="7">
        <v>0.12</v>
      </c>
      <c r="R102" s="7" t="s">
        <v>34</v>
      </c>
      <c r="S102" s="6">
        <v>45746</v>
      </c>
      <c r="T102" s="7" t="s">
        <v>44</v>
      </c>
      <c r="U102" s="7" t="s">
        <v>44</v>
      </c>
      <c r="V102" s="7" t="s">
        <v>44</v>
      </c>
      <c r="W102" s="7" t="s">
        <v>44</v>
      </c>
      <c r="X102" s="14"/>
    </row>
    <row r="103" spans="1:24" x14ac:dyDescent="0.25">
      <c r="A103" s="1"/>
      <c r="B103" s="1"/>
      <c r="C103" s="1"/>
      <c r="D103" s="1"/>
      <c r="E103" s="1"/>
      <c r="F103" s="1"/>
      <c r="G103" s="1"/>
      <c r="H103" s="6"/>
      <c r="I103" s="7"/>
      <c r="J103" s="7"/>
      <c r="K103" s="7"/>
      <c r="L103" s="7"/>
      <c r="M103" s="7"/>
      <c r="N103" s="6"/>
      <c r="O103" s="7"/>
      <c r="P103" s="7"/>
      <c r="Q103" s="7"/>
      <c r="R103" s="7"/>
      <c r="S103" s="6"/>
      <c r="T103" s="7"/>
      <c r="U103" s="7"/>
      <c r="V103" s="7"/>
      <c r="W103" s="7"/>
      <c r="X103" s="14"/>
    </row>
    <row r="104" spans="1:24" x14ac:dyDescent="0.25">
      <c r="A104" s="3" t="s">
        <v>73</v>
      </c>
      <c r="B104" s="1"/>
      <c r="C104" s="1" t="s">
        <v>74</v>
      </c>
      <c r="D104" s="1" t="s">
        <v>34</v>
      </c>
      <c r="E104" s="1" t="s">
        <v>34</v>
      </c>
      <c r="F104" s="1" t="s">
        <v>34</v>
      </c>
      <c r="G104" s="1">
        <v>1</v>
      </c>
      <c r="H104" s="6">
        <v>45716</v>
      </c>
      <c r="I104" s="7">
        <v>51</v>
      </c>
      <c r="J104" s="7">
        <v>0.25</v>
      </c>
      <c r="K104" s="7">
        <v>0.25</v>
      </c>
      <c r="L104" s="7">
        <v>0.25</v>
      </c>
      <c r="M104" s="7" t="s">
        <v>34</v>
      </c>
      <c r="N104" s="6">
        <v>45716</v>
      </c>
      <c r="O104" s="7">
        <v>0.03</v>
      </c>
      <c r="P104" s="7">
        <v>0.03</v>
      </c>
      <c r="Q104" s="7">
        <v>0.03</v>
      </c>
      <c r="R104" s="7" t="s">
        <v>34</v>
      </c>
      <c r="S104" s="6">
        <v>45716</v>
      </c>
      <c r="T104" s="7" t="s">
        <v>44</v>
      </c>
      <c r="U104" s="7" t="s">
        <v>44</v>
      </c>
      <c r="V104" s="7" t="s">
        <v>44</v>
      </c>
      <c r="W104" s="7" t="s">
        <v>44</v>
      </c>
      <c r="X104" s="14"/>
    </row>
    <row r="105" spans="1:24" x14ac:dyDescent="0.25">
      <c r="A105" s="3" t="s">
        <v>73</v>
      </c>
      <c r="B105" s="1"/>
      <c r="C105" s="1" t="s">
        <v>74</v>
      </c>
      <c r="D105" s="1" t="s">
        <v>34</v>
      </c>
      <c r="E105" s="1" t="s">
        <v>34</v>
      </c>
      <c r="F105" s="1" t="s">
        <v>34</v>
      </c>
      <c r="G105" s="1">
        <v>2</v>
      </c>
      <c r="H105" s="6">
        <v>45737</v>
      </c>
      <c r="I105" s="7">
        <v>62</v>
      </c>
      <c r="J105" s="7">
        <v>0.03</v>
      </c>
      <c r="K105" s="7">
        <v>0.03</v>
      </c>
      <c r="L105" s="7">
        <v>0.03</v>
      </c>
      <c r="M105" s="7" t="s">
        <v>34</v>
      </c>
      <c r="N105" s="6">
        <v>45737</v>
      </c>
      <c r="O105" s="7">
        <v>0.06</v>
      </c>
      <c r="P105" s="7">
        <v>0.06</v>
      </c>
      <c r="Q105" s="7">
        <v>0.06</v>
      </c>
      <c r="R105" s="7" t="s">
        <v>34</v>
      </c>
      <c r="S105" s="6">
        <v>45737</v>
      </c>
      <c r="T105" s="7" t="s">
        <v>44</v>
      </c>
      <c r="U105" s="7" t="s">
        <v>44</v>
      </c>
      <c r="V105" s="7" t="s">
        <v>44</v>
      </c>
      <c r="W105" s="7" t="s">
        <v>44</v>
      </c>
      <c r="X105" s="14"/>
    </row>
    <row r="106" spans="1:24" x14ac:dyDescent="0.25">
      <c r="A106" s="3" t="s">
        <v>73</v>
      </c>
      <c r="B106" s="1"/>
      <c r="C106" s="1" t="s">
        <v>74</v>
      </c>
      <c r="D106" s="1" t="s">
        <v>34</v>
      </c>
      <c r="E106" s="1" t="s">
        <v>34</v>
      </c>
      <c r="F106" s="1" t="s">
        <v>34</v>
      </c>
      <c r="G106" s="1">
        <v>3</v>
      </c>
      <c r="H106" s="6">
        <v>45746</v>
      </c>
      <c r="I106" s="7">
        <v>43</v>
      </c>
      <c r="J106" s="7">
        <v>0.03</v>
      </c>
      <c r="K106" s="7">
        <v>0.03</v>
      </c>
      <c r="L106" s="7">
        <v>0.03</v>
      </c>
      <c r="M106" s="7" t="s">
        <v>34</v>
      </c>
      <c r="N106" s="6">
        <v>45746</v>
      </c>
      <c r="O106" s="7">
        <v>0.06</v>
      </c>
      <c r="P106" s="7">
        <v>0.06</v>
      </c>
      <c r="Q106" s="7">
        <v>0.06</v>
      </c>
      <c r="R106" s="7" t="s">
        <v>34</v>
      </c>
      <c r="S106" s="6">
        <v>45737</v>
      </c>
      <c r="T106" s="7" t="s">
        <v>44</v>
      </c>
      <c r="U106" s="7" t="s">
        <v>44</v>
      </c>
      <c r="V106" s="7" t="s">
        <v>44</v>
      </c>
      <c r="W106" s="7" t="s">
        <v>44</v>
      </c>
      <c r="X106" s="14"/>
    </row>
    <row r="107" spans="1:24" x14ac:dyDescent="0.25">
      <c r="A107" s="3" t="s">
        <v>75</v>
      </c>
      <c r="B107" s="1"/>
      <c r="C107" s="1" t="s">
        <v>76</v>
      </c>
      <c r="D107" s="1" t="s">
        <v>34</v>
      </c>
      <c r="E107" s="1" t="s">
        <v>34</v>
      </c>
      <c r="F107" s="1" t="s">
        <v>34</v>
      </c>
      <c r="G107" s="1">
        <v>1</v>
      </c>
      <c r="H107" s="7" t="s">
        <v>77</v>
      </c>
      <c r="I107" s="7">
        <v>93</v>
      </c>
      <c r="J107" s="7">
        <v>0.25</v>
      </c>
      <c r="K107" s="7">
        <v>0.25</v>
      </c>
      <c r="L107" s="7">
        <v>0.25</v>
      </c>
      <c r="M107" s="7" t="s">
        <v>34</v>
      </c>
      <c r="N107" s="7" t="s">
        <v>77</v>
      </c>
      <c r="O107" s="7">
        <v>0.12</v>
      </c>
      <c r="P107" s="7">
        <v>0.12</v>
      </c>
      <c r="Q107" s="7">
        <v>0.12</v>
      </c>
      <c r="R107" s="7" t="s">
        <v>34</v>
      </c>
      <c r="S107" s="7" t="s">
        <v>77</v>
      </c>
      <c r="T107" s="7">
        <v>0.25</v>
      </c>
      <c r="U107" s="7">
        <v>0.25</v>
      </c>
      <c r="V107" s="7">
        <v>0.25</v>
      </c>
      <c r="W107" s="7" t="s">
        <v>34</v>
      </c>
      <c r="X107" s="14"/>
    </row>
    <row r="108" spans="1:24" x14ac:dyDescent="0.25">
      <c r="A108" s="3" t="s">
        <v>75</v>
      </c>
      <c r="B108" s="1"/>
      <c r="C108" s="1" t="s">
        <v>76</v>
      </c>
      <c r="D108" s="1" t="s">
        <v>34</v>
      </c>
      <c r="E108" s="1" t="s">
        <v>34</v>
      </c>
      <c r="F108" s="1" t="s">
        <v>34</v>
      </c>
      <c r="G108" s="1">
        <v>2</v>
      </c>
      <c r="H108" s="6">
        <v>45730</v>
      </c>
      <c r="I108" s="7">
        <v>70</v>
      </c>
      <c r="J108" s="7">
        <v>0.25</v>
      </c>
      <c r="K108" s="7">
        <v>0.25</v>
      </c>
      <c r="L108" s="7">
        <v>0.25</v>
      </c>
      <c r="M108" s="7" t="s">
        <v>34</v>
      </c>
      <c r="N108" s="6">
        <v>45730</v>
      </c>
      <c r="O108" s="7">
        <v>0.5</v>
      </c>
      <c r="P108" s="7">
        <v>0.5</v>
      </c>
      <c r="Q108" s="7">
        <v>0.5</v>
      </c>
      <c r="R108" s="7" t="s">
        <v>34</v>
      </c>
      <c r="S108" s="6">
        <v>45730</v>
      </c>
      <c r="T108" s="7">
        <v>0.12</v>
      </c>
      <c r="U108" s="7">
        <v>0.12</v>
      </c>
      <c r="V108" s="7">
        <v>0.12</v>
      </c>
      <c r="W108" s="7" t="s">
        <v>34</v>
      </c>
      <c r="X108" s="14"/>
    </row>
    <row r="109" spans="1:24" x14ac:dyDescent="0.25">
      <c r="A109" s="3" t="s">
        <v>75</v>
      </c>
      <c r="B109" s="1"/>
      <c r="C109" s="1" t="s">
        <v>76</v>
      </c>
      <c r="D109" s="1" t="s">
        <v>34</v>
      </c>
      <c r="E109" s="1" t="s">
        <v>34</v>
      </c>
      <c r="F109" s="1" t="s">
        <v>34</v>
      </c>
      <c r="G109" s="1">
        <v>3</v>
      </c>
      <c r="H109" s="6">
        <v>45737</v>
      </c>
      <c r="I109" s="7">
        <v>46</v>
      </c>
      <c r="J109" s="7">
        <v>0.25</v>
      </c>
      <c r="K109" s="7">
        <v>0.25</v>
      </c>
      <c r="L109" s="7">
        <v>0.25</v>
      </c>
      <c r="M109" s="7" t="s">
        <v>34</v>
      </c>
      <c r="N109" s="6">
        <v>45737</v>
      </c>
      <c r="O109" s="7">
        <v>0.5</v>
      </c>
      <c r="P109" s="7">
        <v>0.5</v>
      </c>
      <c r="Q109" s="7">
        <v>0.5</v>
      </c>
      <c r="R109" s="7" t="s">
        <v>34</v>
      </c>
      <c r="S109" s="6">
        <v>45737</v>
      </c>
      <c r="T109" s="7">
        <v>0.5</v>
      </c>
      <c r="U109" s="7">
        <v>0.5</v>
      </c>
      <c r="V109" s="7">
        <v>0.5</v>
      </c>
      <c r="W109" s="7" t="s">
        <v>34</v>
      </c>
      <c r="X109" s="14"/>
    </row>
    <row r="110" spans="1:24" x14ac:dyDescent="0.25">
      <c r="A110" s="3" t="s">
        <v>75</v>
      </c>
      <c r="B110" s="1"/>
      <c r="C110" s="1" t="s">
        <v>76</v>
      </c>
      <c r="D110" s="1" t="s">
        <v>34</v>
      </c>
      <c r="E110" s="1" t="s">
        <v>34</v>
      </c>
      <c r="F110" s="1" t="s">
        <v>34</v>
      </c>
      <c r="G110" s="1">
        <v>4</v>
      </c>
      <c r="H110" s="6">
        <v>45742</v>
      </c>
      <c r="I110" s="7">
        <v>52</v>
      </c>
      <c r="J110" s="7">
        <v>0.25</v>
      </c>
      <c r="K110" s="7">
        <v>0.25</v>
      </c>
      <c r="L110" s="7">
        <v>0.25</v>
      </c>
      <c r="M110" s="7" t="s">
        <v>15</v>
      </c>
      <c r="N110" s="6">
        <v>45742</v>
      </c>
      <c r="O110" s="7">
        <v>0.5</v>
      </c>
      <c r="P110" s="7">
        <v>0.5</v>
      </c>
      <c r="Q110" s="7">
        <v>0.5</v>
      </c>
      <c r="R110" s="7" t="s">
        <v>34</v>
      </c>
      <c r="S110" s="6">
        <v>45742</v>
      </c>
      <c r="T110" s="7">
        <v>0.5</v>
      </c>
      <c r="U110" s="7">
        <v>0.5</v>
      </c>
      <c r="V110" s="7">
        <v>0.5</v>
      </c>
      <c r="W110" s="7" t="s">
        <v>34</v>
      </c>
      <c r="X110" s="14"/>
    </row>
    <row r="111" spans="1:24" x14ac:dyDescent="0.25">
      <c r="A111" s="3" t="s">
        <v>75</v>
      </c>
      <c r="B111" s="1"/>
      <c r="C111" s="1" t="s">
        <v>76</v>
      </c>
      <c r="D111" s="1" t="s">
        <v>34</v>
      </c>
      <c r="E111" s="1" t="s">
        <v>34</v>
      </c>
      <c r="F111" s="1" t="s">
        <v>34</v>
      </c>
      <c r="G111" s="1">
        <v>5</v>
      </c>
      <c r="H111" s="6">
        <v>45746</v>
      </c>
      <c r="I111" s="7">
        <v>49</v>
      </c>
      <c r="J111" s="7">
        <v>0.5</v>
      </c>
      <c r="K111" s="7">
        <v>0.5</v>
      </c>
      <c r="L111" s="7">
        <v>0.5</v>
      </c>
      <c r="M111" s="7" t="s">
        <v>34</v>
      </c>
      <c r="N111" s="6">
        <v>45746</v>
      </c>
      <c r="O111" s="7">
        <v>0.12</v>
      </c>
      <c r="P111" s="7">
        <v>0.12</v>
      </c>
      <c r="Q111" s="7">
        <v>0.12</v>
      </c>
      <c r="R111" s="7" t="s">
        <v>34</v>
      </c>
      <c r="S111" s="6">
        <v>45746</v>
      </c>
      <c r="T111" s="7">
        <v>0.25</v>
      </c>
      <c r="U111" s="7">
        <v>0.25</v>
      </c>
      <c r="V111" s="7">
        <v>0.25</v>
      </c>
      <c r="W111" s="7" t="s">
        <v>34</v>
      </c>
      <c r="X111" s="14"/>
    </row>
    <row r="112" spans="1:24" x14ac:dyDescent="0.25">
      <c r="X112" s="14"/>
    </row>
    <row r="113" spans="24:24" x14ac:dyDescent="0.25">
      <c r="X113" s="14"/>
    </row>
    <row r="114" spans="24:24" x14ac:dyDescent="0.25">
      <c r="X114" s="14"/>
    </row>
    <row r="115" spans="24:24" x14ac:dyDescent="0.25">
      <c r="X115" s="14"/>
    </row>
    <row r="116" spans="24:24" x14ac:dyDescent="0.25">
      <c r="X116" s="14"/>
    </row>
    <row r="117" spans="24:24" x14ac:dyDescent="0.25">
      <c r="X117" s="14"/>
    </row>
    <row r="118" spans="24:24" x14ac:dyDescent="0.25">
      <c r="X118" s="14"/>
    </row>
    <row r="119" spans="24:24" x14ac:dyDescent="0.25">
      <c r="X119" s="14"/>
    </row>
    <row r="120" spans="24:24" x14ac:dyDescent="0.25">
      <c r="X120" s="14"/>
    </row>
    <row r="121" spans="24:24" x14ac:dyDescent="0.25">
      <c r="X121" s="14"/>
    </row>
    <row r="122" spans="24:24" x14ac:dyDescent="0.25">
      <c r="X122" s="14"/>
    </row>
    <row r="123" spans="24:24" x14ac:dyDescent="0.25">
      <c r="X123" s="14"/>
    </row>
    <row r="124" spans="24:24" x14ac:dyDescent="0.25">
      <c r="X124" s="14"/>
    </row>
    <row r="125" spans="24:24" x14ac:dyDescent="0.25">
      <c r="X125" s="14"/>
    </row>
    <row r="126" spans="24:24" x14ac:dyDescent="0.25">
      <c r="X126" s="14"/>
    </row>
    <row r="127" spans="24:24" x14ac:dyDescent="0.25">
      <c r="X127" s="14"/>
    </row>
    <row r="128" spans="24:24" x14ac:dyDescent="0.25">
      <c r="X128" s="14"/>
    </row>
    <row r="129" spans="24:24" x14ac:dyDescent="0.25">
      <c r="X129" s="14"/>
    </row>
  </sheetData>
  <mergeCells count="8">
    <mergeCell ref="AA5:AC5"/>
    <mergeCell ref="AA1:AC1"/>
    <mergeCell ref="S2:W2"/>
    <mergeCell ref="S3:W3"/>
    <mergeCell ref="H2:M2"/>
    <mergeCell ref="H3:M3"/>
    <mergeCell ref="N2:R2"/>
    <mergeCell ref="N3:R3"/>
  </mergeCells>
  <pageMargins left="0.7" right="0.7" top="0.75" bottom="0.75" header="0.3" footer="0.3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E8EF-DC80-4B36-94D8-28CE665F6CE5}">
  <sheetPr>
    <pageSetUpPr fitToPage="1"/>
  </sheetPr>
  <dimension ref="A1:AD124"/>
  <sheetViews>
    <sheetView topLeftCell="A58" zoomScale="145" zoomScaleNormal="145" workbookViewId="0">
      <selection activeCell="O105" sqref="O105:R105"/>
    </sheetView>
  </sheetViews>
  <sheetFormatPr defaultRowHeight="15" x14ac:dyDescent="0.25"/>
  <cols>
    <col min="1" max="1" width="14.140625" style="4" customWidth="1"/>
    <col min="2" max="2" width="6.5703125" style="4" hidden="1" customWidth="1"/>
    <col min="3" max="3" width="22.42578125" style="4" hidden="1" customWidth="1"/>
    <col min="4" max="4" width="4" style="4" bestFit="1" customWidth="1"/>
    <col min="5" max="5" width="4.140625" style="4" bestFit="1" customWidth="1"/>
    <col min="6" max="6" width="3.85546875" style="4" bestFit="1" customWidth="1"/>
    <col min="7" max="7" width="9.5703125" style="4" hidden="1" customWidth="1"/>
    <col min="8" max="8" width="9.28515625" style="4" customWidth="1"/>
    <col min="9" max="9" width="8.5703125" style="4" bestFit="1" customWidth="1"/>
    <col min="10" max="13" width="5.5703125" style="4" customWidth="1"/>
    <col min="14" max="14" width="8.85546875" style="4" customWidth="1"/>
    <col min="15" max="18" width="5.5703125" style="4" customWidth="1"/>
    <col min="19" max="19" width="8.85546875" customWidth="1"/>
    <col min="20" max="23" width="5.5703125" customWidth="1"/>
    <col min="24" max="24" width="6.85546875" bestFit="1" customWidth="1"/>
    <col min="29" max="29" width="11.140625" bestFit="1" customWidth="1"/>
    <col min="30" max="30" width="13.140625" bestFit="1" customWidth="1"/>
  </cols>
  <sheetData>
    <row r="1" spans="1:30" x14ac:dyDescent="0.25">
      <c r="X1" s="12"/>
      <c r="AA1" s="43"/>
      <c r="AB1" s="43"/>
      <c r="AC1" s="43"/>
    </row>
    <row r="2" spans="1:30" x14ac:dyDescent="0.25">
      <c r="H2" s="41" t="s">
        <v>82</v>
      </c>
      <c r="I2" s="41"/>
      <c r="J2" s="41"/>
      <c r="K2" s="41"/>
      <c r="L2" s="41"/>
      <c r="M2" s="41"/>
      <c r="N2" s="38" t="s">
        <v>82</v>
      </c>
      <c r="O2" s="39"/>
      <c r="P2" s="39"/>
      <c r="Q2" s="39"/>
      <c r="R2" s="40"/>
      <c r="S2" s="38" t="s">
        <v>82</v>
      </c>
      <c r="T2" s="39"/>
      <c r="U2" s="39"/>
      <c r="V2" s="39"/>
      <c r="W2" s="40"/>
      <c r="X2" s="12"/>
      <c r="Z2" s="13"/>
      <c r="AA2" s="13"/>
      <c r="AB2" s="13"/>
      <c r="AC2" s="13"/>
      <c r="AD2" s="13"/>
    </row>
    <row r="3" spans="1:30" x14ac:dyDescent="0.25">
      <c r="D3" s="10" t="s">
        <v>7</v>
      </c>
      <c r="E3" s="10"/>
      <c r="F3" s="10"/>
      <c r="G3" s="11" t="s">
        <v>1</v>
      </c>
      <c r="H3" s="38" t="s">
        <v>8</v>
      </c>
      <c r="I3" s="39"/>
      <c r="J3" s="39"/>
      <c r="K3" s="39"/>
      <c r="L3" s="39"/>
      <c r="M3" s="40"/>
      <c r="N3" s="38" t="s">
        <v>9</v>
      </c>
      <c r="O3" s="39"/>
      <c r="P3" s="39"/>
      <c r="Q3" s="39"/>
      <c r="R3" s="40"/>
      <c r="S3" s="38" t="s">
        <v>10</v>
      </c>
      <c r="T3" s="39"/>
      <c r="U3" s="39"/>
      <c r="V3" s="39"/>
      <c r="W3" s="40"/>
      <c r="X3" s="12"/>
    </row>
    <row r="4" spans="1:30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6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24</v>
      </c>
      <c r="O4" s="5" t="s">
        <v>26</v>
      </c>
      <c r="P4" s="5" t="s">
        <v>27</v>
      </c>
      <c r="Q4" s="5" t="s">
        <v>28</v>
      </c>
      <c r="R4" s="5" t="s">
        <v>29</v>
      </c>
      <c r="S4" s="5" t="s">
        <v>24</v>
      </c>
      <c r="T4" s="5" t="s">
        <v>26</v>
      </c>
      <c r="U4" s="5" t="s">
        <v>27</v>
      </c>
      <c r="V4" s="5" t="s">
        <v>28</v>
      </c>
      <c r="W4" s="5" t="s">
        <v>29</v>
      </c>
      <c r="X4" s="13"/>
      <c r="AA4" s="14"/>
    </row>
    <row r="5" spans="1:30" x14ac:dyDescent="0.25">
      <c r="A5" s="1" t="s">
        <v>32</v>
      </c>
      <c r="B5" s="1">
        <v>825</v>
      </c>
      <c r="C5" s="1" t="s">
        <v>33</v>
      </c>
      <c r="D5" s="1" t="s">
        <v>34</v>
      </c>
      <c r="E5" s="2" t="s">
        <v>15</v>
      </c>
      <c r="F5" s="1" t="s">
        <v>34</v>
      </c>
      <c r="G5" s="1">
        <v>1</v>
      </c>
      <c r="H5" s="6">
        <v>45716</v>
      </c>
      <c r="I5" s="26">
        <v>68</v>
      </c>
      <c r="J5" s="7"/>
      <c r="K5" s="7"/>
      <c r="L5" s="7"/>
      <c r="M5" s="7"/>
      <c r="N5" s="6"/>
      <c r="O5" s="7"/>
      <c r="P5" s="7"/>
      <c r="Q5" s="7"/>
      <c r="R5" s="7"/>
      <c r="S5" s="6">
        <v>45716</v>
      </c>
      <c r="T5" s="18">
        <v>2</v>
      </c>
      <c r="U5" s="18">
        <v>2</v>
      </c>
      <c r="V5" s="18">
        <v>2</v>
      </c>
      <c r="W5" s="18" t="s">
        <v>34</v>
      </c>
      <c r="X5" s="14"/>
      <c r="Z5" s="27"/>
      <c r="AA5" s="42"/>
      <c r="AB5" s="42"/>
      <c r="AC5" s="42"/>
      <c r="AD5" s="27"/>
    </row>
    <row r="6" spans="1:30" x14ac:dyDescent="0.25">
      <c r="A6" s="1" t="s">
        <v>32</v>
      </c>
      <c r="B6" s="1">
        <v>825</v>
      </c>
      <c r="C6" s="1" t="s">
        <v>33</v>
      </c>
      <c r="D6" s="1"/>
      <c r="E6" s="2"/>
      <c r="F6" s="1"/>
      <c r="G6" s="1">
        <v>2</v>
      </c>
      <c r="H6" s="6">
        <v>45730</v>
      </c>
      <c r="I6" s="26">
        <v>70</v>
      </c>
      <c r="J6" s="7"/>
      <c r="K6" s="7"/>
      <c r="L6" s="7"/>
      <c r="M6" s="7"/>
      <c r="N6" s="6"/>
      <c r="O6" s="7"/>
      <c r="P6" s="7"/>
      <c r="Q6" s="7"/>
      <c r="R6" s="7"/>
      <c r="S6" s="6">
        <v>45730</v>
      </c>
      <c r="T6" s="18">
        <v>4</v>
      </c>
      <c r="U6" s="18">
        <v>4</v>
      </c>
      <c r="V6" s="18">
        <v>4</v>
      </c>
      <c r="W6" s="18" t="s">
        <v>15</v>
      </c>
      <c r="X6" s="14"/>
      <c r="Z6" s="14"/>
      <c r="AA6" s="14"/>
      <c r="AB6" s="14"/>
      <c r="AC6" s="14"/>
      <c r="AD6" s="14"/>
    </row>
    <row r="7" spans="1:30" x14ac:dyDescent="0.25">
      <c r="A7" s="1" t="s">
        <v>32</v>
      </c>
      <c r="B7" s="1">
        <v>825</v>
      </c>
      <c r="C7" s="1" t="s">
        <v>33</v>
      </c>
      <c r="D7" s="1"/>
      <c r="E7" s="2"/>
      <c r="F7" s="1"/>
      <c r="G7" s="1">
        <v>3</v>
      </c>
      <c r="H7" s="6">
        <v>45742</v>
      </c>
      <c r="I7" s="26">
        <v>46</v>
      </c>
      <c r="J7" s="7"/>
      <c r="K7" s="7"/>
      <c r="L7" s="7"/>
      <c r="M7" s="7"/>
      <c r="N7" s="6"/>
      <c r="O7" s="7"/>
      <c r="P7" s="7"/>
      <c r="Q7" s="7"/>
      <c r="R7" s="7"/>
      <c r="S7" s="6">
        <v>45742</v>
      </c>
      <c r="T7" s="18">
        <v>8</v>
      </c>
      <c r="U7" s="18">
        <v>8</v>
      </c>
      <c r="V7" s="18">
        <v>8</v>
      </c>
      <c r="W7" s="18" t="s">
        <v>15</v>
      </c>
      <c r="X7" s="14"/>
      <c r="Z7" s="27"/>
      <c r="AA7" s="28"/>
      <c r="AB7" s="28"/>
      <c r="AC7" s="28"/>
      <c r="AD7" s="27"/>
    </row>
    <row r="8" spans="1:30" x14ac:dyDescent="0.25">
      <c r="A8" s="1" t="s">
        <v>32</v>
      </c>
      <c r="B8" s="1"/>
      <c r="C8" s="1"/>
      <c r="D8" s="1"/>
      <c r="E8" s="2"/>
      <c r="F8" s="1"/>
      <c r="G8" s="1"/>
      <c r="H8" s="6">
        <v>45810</v>
      </c>
      <c r="I8" s="26">
        <v>13</v>
      </c>
      <c r="J8" s="6"/>
      <c r="K8" s="6"/>
      <c r="L8" s="6"/>
      <c r="M8" s="6"/>
      <c r="N8" s="6"/>
      <c r="O8" s="6"/>
      <c r="P8" s="6"/>
      <c r="Q8" s="6"/>
      <c r="R8" s="6"/>
      <c r="S8" s="6">
        <v>45810</v>
      </c>
      <c r="T8" s="18">
        <v>8</v>
      </c>
      <c r="U8" s="18">
        <v>8</v>
      </c>
      <c r="V8" s="18">
        <v>8</v>
      </c>
      <c r="W8" s="18" t="s">
        <v>15</v>
      </c>
      <c r="X8" s="14"/>
      <c r="Z8" s="27"/>
      <c r="AA8" s="28"/>
      <c r="AB8" s="28"/>
      <c r="AC8" s="28"/>
      <c r="AD8" s="27"/>
    </row>
    <row r="9" spans="1:30" x14ac:dyDescent="0.25">
      <c r="A9" s="1"/>
      <c r="B9" s="1"/>
      <c r="C9" s="1"/>
      <c r="D9" s="1"/>
      <c r="E9" s="1"/>
      <c r="F9" s="1"/>
      <c r="G9" s="1"/>
      <c r="H9" s="6"/>
      <c r="I9" s="7"/>
      <c r="J9" s="7"/>
      <c r="K9" s="7"/>
      <c r="L9" s="7"/>
      <c r="M9" s="7"/>
      <c r="N9" s="6"/>
      <c r="O9" s="7"/>
      <c r="P9" s="7"/>
      <c r="Q9" s="7"/>
      <c r="R9" s="7"/>
      <c r="S9" s="6"/>
      <c r="T9" s="7"/>
      <c r="U9" s="7"/>
      <c r="V9" s="7"/>
      <c r="W9" s="7"/>
      <c r="X9" s="14"/>
      <c r="Z9" s="27"/>
      <c r="AA9" s="28"/>
      <c r="AB9" s="28"/>
      <c r="AC9" s="28"/>
      <c r="AD9" s="27"/>
    </row>
    <row r="10" spans="1:30" x14ac:dyDescent="0.25">
      <c r="A10" s="1" t="s">
        <v>42</v>
      </c>
      <c r="B10" s="1">
        <v>6964</v>
      </c>
      <c r="C10" s="1" t="s">
        <v>43</v>
      </c>
      <c r="D10" s="2" t="s">
        <v>15</v>
      </c>
      <c r="E10" s="1" t="s">
        <v>34</v>
      </c>
      <c r="F10" s="2" t="s">
        <v>15</v>
      </c>
      <c r="G10" s="1">
        <v>1</v>
      </c>
      <c r="H10" s="6">
        <v>45716</v>
      </c>
      <c r="I10" s="8">
        <v>140</v>
      </c>
      <c r="J10" s="7">
        <v>64</v>
      </c>
      <c r="K10" s="7">
        <v>64</v>
      </c>
      <c r="L10" s="7">
        <v>64</v>
      </c>
      <c r="M10" s="7" t="s">
        <v>15</v>
      </c>
      <c r="N10" s="6">
        <v>45716</v>
      </c>
      <c r="O10" s="7">
        <v>4</v>
      </c>
      <c r="P10" s="7">
        <v>4</v>
      </c>
      <c r="Q10" s="7">
        <v>4</v>
      </c>
      <c r="R10" s="7" t="s">
        <v>15</v>
      </c>
      <c r="S10" s="6"/>
      <c r="T10" s="7"/>
      <c r="U10" s="7"/>
      <c r="V10" s="7"/>
      <c r="W10" s="7"/>
    </row>
    <row r="11" spans="1:30" x14ac:dyDescent="0.25">
      <c r="A11" s="1" t="s">
        <v>42</v>
      </c>
      <c r="B11" s="1">
        <v>6964</v>
      </c>
      <c r="C11" s="1" t="s">
        <v>43</v>
      </c>
      <c r="D11" s="2" t="s">
        <v>15</v>
      </c>
      <c r="E11" s="1" t="s">
        <v>34</v>
      </c>
      <c r="F11" s="2" t="s">
        <v>15</v>
      </c>
      <c r="G11" s="1">
        <v>2</v>
      </c>
      <c r="H11" s="6">
        <v>45730</v>
      </c>
      <c r="I11" s="7">
        <v>31</v>
      </c>
      <c r="J11" s="7">
        <v>64</v>
      </c>
      <c r="K11" s="7">
        <v>64</v>
      </c>
      <c r="L11" s="7">
        <v>64</v>
      </c>
      <c r="M11" s="7" t="s">
        <v>15</v>
      </c>
      <c r="N11" s="6">
        <v>45730</v>
      </c>
      <c r="O11" s="7">
        <v>4</v>
      </c>
      <c r="P11" s="7">
        <v>4</v>
      </c>
      <c r="Q11" s="7">
        <v>4</v>
      </c>
      <c r="R11" s="7" t="s">
        <v>15</v>
      </c>
      <c r="S11" s="6"/>
      <c r="T11" s="7"/>
      <c r="U11" s="7"/>
      <c r="V11" s="7"/>
      <c r="W11" s="7"/>
      <c r="X11" s="14"/>
      <c r="AB11" s="14"/>
      <c r="AC11" s="14"/>
      <c r="AD11" s="14"/>
    </row>
    <row r="12" spans="1:30" x14ac:dyDescent="0.25">
      <c r="A12" s="1" t="s">
        <v>42</v>
      </c>
      <c r="B12" s="1">
        <v>6964</v>
      </c>
      <c r="C12" s="1" t="s">
        <v>43</v>
      </c>
      <c r="D12" s="2" t="s">
        <v>15</v>
      </c>
      <c r="E12" s="1" t="s">
        <v>34</v>
      </c>
      <c r="F12" s="2" t="s">
        <v>15</v>
      </c>
      <c r="G12" s="1">
        <v>3</v>
      </c>
      <c r="H12" s="6">
        <v>45742</v>
      </c>
      <c r="I12" s="7">
        <v>46</v>
      </c>
      <c r="J12" s="7">
        <v>32</v>
      </c>
      <c r="K12" s="7">
        <v>32</v>
      </c>
      <c r="L12" s="7">
        <v>32</v>
      </c>
      <c r="M12" s="7" t="s">
        <v>15</v>
      </c>
      <c r="N12" s="6">
        <v>45742</v>
      </c>
      <c r="O12" s="7">
        <v>4</v>
      </c>
      <c r="P12" s="7">
        <v>4</v>
      </c>
      <c r="Q12" s="7">
        <v>4</v>
      </c>
      <c r="R12" s="7" t="s">
        <v>15</v>
      </c>
      <c r="S12" s="6"/>
      <c r="T12" s="7"/>
      <c r="U12" s="7"/>
      <c r="V12" s="7"/>
      <c r="W12" s="7"/>
      <c r="X12" s="14"/>
      <c r="AB12" s="14"/>
      <c r="AC12" s="14"/>
      <c r="AD12" s="14"/>
    </row>
    <row r="13" spans="1:30" x14ac:dyDescent="0.25">
      <c r="A13" s="1"/>
      <c r="B13" s="1"/>
      <c r="C13" s="1"/>
      <c r="D13" s="1"/>
      <c r="E13" s="1"/>
      <c r="F13" s="1"/>
      <c r="G13" s="1"/>
      <c r="H13" s="6"/>
      <c r="I13" s="7"/>
      <c r="J13" s="7"/>
      <c r="K13" s="7"/>
      <c r="L13" s="7"/>
      <c r="M13" s="7"/>
      <c r="N13" s="6"/>
      <c r="O13" s="7"/>
      <c r="P13" s="7"/>
      <c r="Q13" s="7"/>
      <c r="R13" s="7"/>
      <c r="S13" s="6"/>
      <c r="T13" s="7"/>
      <c r="U13" s="7"/>
      <c r="V13" s="7"/>
      <c r="W13" s="7"/>
      <c r="X13" s="14"/>
      <c r="Z13" s="14"/>
      <c r="AA13" s="14"/>
      <c r="AB13" s="14"/>
      <c r="AC13" s="14"/>
      <c r="AD13" s="14"/>
    </row>
    <row r="14" spans="1:30" x14ac:dyDescent="0.25">
      <c r="A14" s="1" t="s">
        <v>46</v>
      </c>
      <c r="B14" s="1" t="s">
        <v>47</v>
      </c>
      <c r="C14" s="1" t="s">
        <v>48</v>
      </c>
      <c r="D14" s="2" t="s">
        <v>15</v>
      </c>
      <c r="E14" s="1" t="s">
        <v>34</v>
      </c>
      <c r="F14" s="2" t="s">
        <v>15</v>
      </c>
      <c r="G14" s="1">
        <v>1</v>
      </c>
      <c r="H14" s="7" t="s">
        <v>49</v>
      </c>
      <c r="I14" s="7">
        <v>65</v>
      </c>
      <c r="J14" s="18">
        <v>64</v>
      </c>
      <c r="K14" s="18">
        <v>64</v>
      </c>
      <c r="L14" s="18">
        <v>64</v>
      </c>
      <c r="M14" s="7" t="s">
        <v>50</v>
      </c>
      <c r="N14" s="7" t="s">
        <v>49</v>
      </c>
      <c r="O14" s="7">
        <v>16</v>
      </c>
      <c r="P14" s="7">
        <v>16</v>
      </c>
      <c r="Q14" s="7">
        <v>16</v>
      </c>
      <c r="R14" s="7" t="s">
        <v>50</v>
      </c>
      <c r="S14" s="7"/>
      <c r="T14" s="7"/>
      <c r="U14" s="7"/>
      <c r="V14" s="7"/>
      <c r="W14" s="7"/>
      <c r="X14" s="14"/>
    </row>
    <row r="15" spans="1:30" x14ac:dyDescent="0.25">
      <c r="A15" s="1" t="s">
        <v>46</v>
      </c>
      <c r="B15" s="1" t="s">
        <v>47</v>
      </c>
      <c r="C15" s="1" t="s">
        <v>48</v>
      </c>
      <c r="D15" s="2" t="s">
        <v>15</v>
      </c>
      <c r="E15" s="1" t="s">
        <v>34</v>
      </c>
      <c r="F15" s="2" t="s">
        <v>15</v>
      </c>
      <c r="G15" s="1">
        <v>2</v>
      </c>
      <c r="H15" s="6">
        <v>45730</v>
      </c>
      <c r="I15" s="7">
        <v>86</v>
      </c>
      <c r="J15" s="18">
        <v>128</v>
      </c>
      <c r="K15" s="18">
        <v>128</v>
      </c>
      <c r="L15" s="18">
        <v>128</v>
      </c>
      <c r="M15" s="7" t="s">
        <v>15</v>
      </c>
      <c r="N15" s="6">
        <v>45730</v>
      </c>
      <c r="O15" s="7">
        <v>2</v>
      </c>
      <c r="P15" s="7">
        <v>2</v>
      </c>
      <c r="Q15" s="7">
        <v>2</v>
      </c>
      <c r="R15" s="7" t="s">
        <v>34</v>
      </c>
      <c r="S15" s="6"/>
      <c r="T15" s="7"/>
      <c r="U15" s="7"/>
      <c r="V15" s="7"/>
      <c r="W15" s="7"/>
      <c r="X15" s="14"/>
    </row>
    <row r="16" spans="1:30" x14ac:dyDescent="0.25">
      <c r="A16" s="1" t="s">
        <v>46</v>
      </c>
      <c r="B16" s="1" t="s">
        <v>47</v>
      </c>
      <c r="C16" s="1" t="s">
        <v>48</v>
      </c>
      <c r="D16" s="2" t="s">
        <v>15</v>
      </c>
      <c r="E16" s="1" t="s">
        <v>34</v>
      </c>
      <c r="F16" s="2" t="s">
        <v>15</v>
      </c>
      <c r="G16" s="1">
        <v>3</v>
      </c>
      <c r="H16" s="6">
        <v>45742</v>
      </c>
      <c r="I16" s="8">
        <v>100</v>
      </c>
      <c r="J16" s="18">
        <v>32</v>
      </c>
      <c r="K16" s="18">
        <v>32</v>
      </c>
      <c r="L16" s="18">
        <v>32</v>
      </c>
      <c r="M16" s="7" t="s">
        <v>15</v>
      </c>
      <c r="N16" s="6">
        <v>45742</v>
      </c>
      <c r="O16" s="7">
        <v>16</v>
      </c>
      <c r="P16" s="7">
        <v>16</v>
      </c>
      <c r="Q16" s="7">
        <v>16</v>
      </c>
      <c r="R16" s="7" t="s">
        <v>15</v>
      </c>
      <c r="S16" s="6"/>
      <c r="T16" s="7"/>
      <c r="U16" s="7"/>
      <c r="V16" s="7"/>
      <c r="W16" s="7"/>
      <c r="X16" s="14"/>
    </row>
    <row r="17" spans="1:24" x14ac:dyDescent="0.25">
      <c r="A17" s="1" t="s">
        <v>46</v>
      </c>
      <c r="B17" s="1"/>
      <c r="C17" s="1"/>
      <c r="D17" s="2"/>
      <c r="E17" s="1"/>
      <c r="F17" s="2"/>
      <c r="G17" s="1"/>
      <c r="H17" s="6">
        <v>45838</v>
      </c>
      <c r="I17" s="8">
        <v>69</v>
      </c>
      <c r="J17" s="18">
        <v>128</v>
      </c>
      <c r="K17" s="18">
        <v>128</v>
      </c>
      <c r="L17" s="18">
        <v>128</v>
      </c>
      <c r="M17" s="7" t="s">
        <v>15</v>
      </c>
      <c r="N17" s="6" t="s">
        <v>91</v>
      </c>
      <c r="O17" s="6" t="s">
        <v>91</v>
      </c>
      <c r="P17" s="6" t="s">
        <v>91</v>
      </c>
      <c r="Q17" s="6" t="s">
        <v>91</v>
      </c>
      <c r="R17" s="6" t="s">
        <v>91</v>
      </c>
      <c r="S17" s="6"/>
      <c r="T17" s="6"/>
      <c r="U17" s="6"/>
      <c r="V17" s="6"/>
      <c r="W17" s="6"/>
      <c r="X17" s="14"/>
    </row>
    <row r="18" spans="1:24" x14ac:dyDescent="0.25">
      <c r="A18" s="1" t="s">
        <v>46</v>
      </c>
      <c r="B18" s="1"/>
      <c r="C18" s="1"/>
      <c r="D18" s="2"/>
      <c r="E18" s="1"/>
      <c r="F18" s="2"/>
      <c r="G18" s="1"/>
      <c r="H18" s="6">
        <v>45840</v>
      </c>
      <c r="I18" s="8">
        <v>72</v>
      </c>
      <c r="J18" s="18">
        <v>128</v>
      </c>
      <c r="K18" s="18">
        <v>128</v>
      </c>
      <c r="L18" s="18">
        <v>128</v>
      </c>
      <c r="M18" s="7" t="s">
        <v>15</v>
      </c>
      <c r="N18" s="6" t="s">
        <v>91</v>
      </c>
      <c r="O18" s="6" t="s">
        <v>91</v>
      </c>
      <c r="P18" s="6" t="s">
        <v>91</v>
      </c>
      <c r="Q18" s="6" t="s">
        <v>91</v>
      </c>
      <c r="R18" s="6" t="s">
        <v>91</v>
      </c>
      <c r="S18" s="6"/>
      <c r="T18" s="6"/>
      <c r="U18" s="6"/>
      <c r="V18" s="6"/>
      <c r="W18" s="6"/>
      <c r="X18" s="14"/>
    </row>
    <row r="19" spans="1:24" x14ac:dyDescent="0.25">
      <c r="A19" s="1"/>
      <c r="B19" s="1"/>
      <c r="C19" s="1"/>
      <c r="D19" s="1"/>
      <c r="E19" s="1"/>
      <c r="F19" s="1"/>
      <c r="G19" s="1"/>
      <c r="H19" s="6"/>
      <c r="I19" s="7"/>
      <c r="J19" s="7"/>
      <c r="K19" s="7"/>
      <c r="L19" s="7"/>
      <c r="M19" s="7"/>
      <c r="N19" s="6"/>
      <c r="O19" s="7"/>
      <c r="P19" s="7"/>
      <c r="Q19" s="7"/>
      <c r="R19" s="7"/>
      <c r="S19" s="6"/>
      <c r="T19" s="7"/>
      <c r="U19" s="7"/>
      <c r="V19" s="7"/>
      <c r="W19" s="7"/>
      <c r="X19" s="14"/>
    </row>
    <row r="20" spans="1:24" x14ac:dyDescent="0.25">
      <c r="A20" s="1" t="s">
        <v>51</v>
      </c>
      <c r="B20" s="1">
        <v>50</v>
      </c>
      <c r="C20" s="1" t="s">
        <v>52</v>
      </c>
      <c r="D20" s="1" t="s">
        <v>34</v>
      </c>
      <c r="E20" s="1" t="s">
        <v>34</v>
      </c>
      <c r="F20" s="2" t="s">
        <v>15</v>
      </c>
      <c r="G20" s="1">
        <v>1</v>
      </c>
      <c r="H20" s="7" t="s">
        <v>49</v>
      </c>
      <c r="I20" s="7">
        <v>32</v>
      </c>
      <c r="J20" s="7"/>
      <c r="K20" s="7"/>
      <c r="L20" s="7"/>
      <c r="M20" s="7"/>
      <c r="N20" s="7" t="s">
        <v>49</v>
      </c>
      <c r="O20" s="18">
        <v>16</v>
      </c>
      <c r="P20" s="18">
        <v>16</v>
      </c>
      <c r="Q20" s="18">
        <v>16</v>
      </c>
      <c r="R20" s="7" t="s">
        <v>15</v>
      </c>
      <c r="S20" s="7"/>
      <c r="T20" s="7"/>
      <c r="U20" s="7"/>
      <c r="V20" s="7"/>
      <c r="W20" s="7"/>
      <c r="X20" s="14"/>
    </row>
    <row r="21" spans="1:24" x14ac:dyDescent="0.25">
      <c r="A21" s="1" t="s">
        <v>51</v>
      </c>
      <c r="B21" s="1">
        <v>50</v>
      </c>
      <c r="C21" s="1" t="s">
        <v>52</v>
      </c>
      <c r="D21" s="1" t="s">
        <v>34</v>
      </c>
      <c r="E21" s="1" t="s">
        <v>34</v>
      </c>
      <c r="F21" s="2" t="s">
        <v>15</v>
      </c>
      <c r="G21" s="1">
        <v>2</v>
      </c>
      <c r="H21" s="6">
        <v>45730</v>
      </c>
      <c r="I21" s="7">
        <v>79</v>
      </c>
      <c r="J21" s="7"/>
      <c r="K21" s="7"/>
      <c r="L21" s="7"/>
      <c r="M21" s="7"/>
      <c r="N21" s="6">
        <v>45730</v>
      </c>
      <c r="O21" s="18">
        <v>1</v>
      </c>
      <c r="P21" s="18">
        <v>1</v>
      </c>
      <c r="Q21" s="18">
        <v>1</v>
      </c>
      <c r="R21" s="7" t="s">
        <v>15</v>
      </c>
      <c r="S21" s="6"/>
      <c r="T21" s="7"/>
      <c r="U21" s="7"/>
      <c r="V21" s="7"/>
      <c r="W21" s="7"/>
      <c r="X21" s="14"/>
    </row>
    <row r="22" spans="1:24" x14ac:dyDescent="0.25">
      <c r="A22" s="1" t="s">
        <v>51</v>
      </c>
      <c r="B22" s="1">
        <v>50</v>
      </c>
      <c r="C22" s="1" t="s">
        <v>52</v>
      </c>
      <c r="D22" s="1" t="s">
        <v>34</v>
      </c>
      <c r="E22" s="1" t="s">
        <v>34</v>
      </c>
      <c r="F22" s="2" t="s">
        <v>15</v>
      </c>
      <c r="G22" s="1">
        <v>3</v>
      </c>
      <c r="H22" s="6">
        <v>45742</v>
      </c>
      <c r="I22" s="7">
        <v>31</v>
      </c>
      <c r="J22" s="7"/>
      <c r="K22" s="7"/>
      <c r="L22" s="7"/>
      <c r="M22" s="7"/>
      <c r="N22" s="6">
        <v>45742</v>
      </c>
      <c r="O22" s="18">
        <v>8</v>
      </c>
      <c r="P22" s="18">
        <v>8</v>
      </c>
      <c r="Q22" s="18">
        <v>8</v>
      </c>
      <c r="R22" s="7" t="s">
        <v>15</v>
      </c>
      <c r="S22" s="6"/>
      <c r="T22" s="7"/>
      <c r="U22" s="7"/>
      <c r="V22" s="7"/>
      <c r="W22" s="7"/>
      <c r="X22" s="14"/>
    </row>
    <row r="23" spans="1:24" x14ac:dyDescent="0.25">
      <c r="A23" s="1" t="s">
        <v>51</v>
      </c>
      <c r="B23" s="1"/>
      <c r="C23" s="1"/>
      <c r="D23" s="1"/>
      <c r="E23" s="1"/>
      <c r="F23" s="2"/>
      <c r="G23" s="1"/>
      <c r="H23" s="6">
        <v>45810</v>
      </c>
      <c r="I23" s="7">
        <v>2</v>
      </c>
      <c r="J23" s="6"/>
      <c r="K23" s="6"/>
      <c r="L23" s="6"/>
      <c r="M23" s="6"/>
      <c r="N23" s="6">
        <v>45810</v>
      </c>
      <c r="O23" s="18">
        <v>8</v>
      </c>
      <c r="P23" s="18">
        <v>8</v>
      </c>
      <c r="Q23" s="18">
        <v>8</v>
      </c>
      <c r="R23" s="7" t="s">
        <v>15</v>
      </c>
      <c r="S23" s="6"/>
      <c r="T23" s="6"/>
      <c r="U23" s="6"/>
      <c r="V23" s="6"/>
      <c r="W23" s="6"/>
      <c r="X23" s="14"/>
    </row>
    <row r="24" spans="1:24" x14ac:dyDescent="0.25">
      <c r="A24" s="1"/>
      <c r="B24" s="1"/>
      <c r="C24" s="1"/>
      <c r="D24" s="1"/>
      <c r="E24" s="1"/>
      <c r="F24" s="1"/>
      <c r="G24" s="1"/>
      <c r="H24" s="6"/>
      <c r="I24" s="7"/>
      <c r="J24" s="7"/>
      <c r="K24" s="7"/>
      <c r="L24" s="7"/>
      <c r="M24" s="7"/>
      <c r="N24" s="6"/>
      <c r="O24" s="7"/>
      <c r="P24" s="7"/>
      <c r="Q24" s="7"/>
      <c r="R24" s="7"/>
      <c r="S24" s="6"/>
      <c r="T24" s="7"/>
      <c r="U24" s="7"/>
      <c r="V24" s="7"/>
      <c r="W24" s="7"/>
      <c r="X24" s="14"/>
    </row>
    <row r="25" spans="1:24" x14ac:dyDescent="0.25">
      <c r="A25" s="1" t="s">
        <v>53</v>
      </c>
      <c r="B25" s="1">
        <v>45</v>
      </c>
      <c r="C25" s="1" t="s">
        <v>54</v>
      </c>
      <c r="D25" s="2" t="s">
        <v>15</v>
      </c>
      <c r="E25" s="1" t="s">
        <v>34</v>
      </c>
      <c r="F25" s="1" t="s">
        <v>34</v>
      </c>
      <c r="G25" s="1">
        <v>1</v>
      </c>
      <c r="H25" s="7" t="s">
        <v>49</v>
      </c>
      <c r="I25" s="7">
        <v>15</v>
      </c>
      <c r="J25" s="18">
        <v>64</v>
      </c>
      <c r="K25" s="18">
        <v>64</v>
      </c>
      <c r="L25" s="18">
        <v>64</v>
      </c>
      <c r="M25" s="7" t="s">
        <v>15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14"/>
    </row>
    <row r="26" spans="1:24" x14ac:dyDescent="0.25">
      <c r="A26" s="1" t="s">
        <v>53</v>
      </c>
      <c r="B26" s="1">
        <v>45</v>
      </c>
      <c r="C26" s="1" t="s">
        <v>54</v>
      </c>
      <c r="D26" s="2" t="s">
        <v>15</v>
      </c>
      <c r="E26" s="1" t="s">
        <v>34</v>
      </c>
      <c r="F26" s="1" t="s">
        <v>34</v>
      </c>
      <c r="G26" s="1">
        <v>2</v>
      </c>
      <c r="H26" s="6">
        <v>45730</v>
      </c>
      <c r="I26" s="7">
        <v>58</v>
      </c>
      <c r="J26" s="18">
        <v>4</v>
      </c>
      <c r="K26" s="18">
        <v>4</v>
      </c>
      <c r="L26" s="18">
        <v>4</v>
      </c>
      <c r="M26" s="7" t="s">
        <v>15</v>
      </c>
      <c r="N26" s="6"/>
      <c r="O26" s="7"/>
      <c r="P26" s="7"/>
      <c r="Q26" s="7"/>
      <c r="R26" s="7"/>
      <c r="S26" s="6"/>
      <c r="T26" s="7"/>
      <c r="U26" s="7"/>
      <c r="V26" s="7"/>
      <c r="W26" s="7"/>
      <c r="X26" s="14"/>
    </row>
    <row r="27" spans="1:24" x14ac:dyDescent="0.25">
      <c r="A27" s="1" t="s">
        <v>53</v>
      </c>
      <c r="B27" s="1">
        <v>45</v>
      </c>
      <c r="C27" s="1" t="s">
        <v>54</v>
      </c>
      <c r="D27" s="2" t="s">
        <v>15</v>
      </c>
      <c r="E27" s="1" t="s">
        <v>34</v>
      </c>
      <c r="F27" s="1" t="s">
        <v>34</v>
      </c>
      <c r="G27" s="1">
        <v>3</v>
      </c>
      <c r="H27" s="6">
        <v>45742</v>
      </c>
      <c r="I27" s="7">
        <v>40</v>
      </c>
      <c r="J27" s="18">
        <v>32</v>
      </c>
      <c r="K27" s="18">
        <v>32</v>
      </c>
      <c r="L27" s="18">
        <v>32</v>
      </c>
      <c r="M27" s="7" t="s">
        <v>15</v>
      </c>
      <c r="N27" s="6"/>
      <c r="O27" s="7"/>
      <c r="P27" s="7"/>
      <c r="Q27" s="7"/>
      <c r="R27" s="7"/>
      <c r="S27" s="6"/>
      <c r="T27" s="7"/>
      <c r="U27" s="7"/>
      <c r="V27" s="7"/>
      <c r="W27" s="7"/>
      <c r="X27" s="14"/>
    </row>
    <row r="28" spans="1:24" x14ac:dyDescent="0.25">
      <c r="A28" s="1" t="s">
        <v>53</v>
      </c>
      <c r="B28" s="1"/>
      <c r="C28" s="1"/>
      <c r="D28" s="2"/>
      <c r="E28" s="1"/>
      <c r="F28" s="1"/>
      <c r="G28" s="1"/>
      <c r="H28" s="6">
        <v>45838</v>
      </c>
      <c r="I28" s="7">
        <v>75</v>
      </c>
      <c r="J28" s="18">
        <v>128</v>
      </c>
      <c r="K28" s="18">
        <v>128</v>
      </c>
      <c r="L28" s="18">
        <v>128</v>
      </c>
      <c r="M28" s="7" t="s">
        <v>15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14"/>
    </row>
    <row r="29" spans="1:24" x14ac:dyDescent="0.25">
      <c r="A29" s="1" t="s">
        <v>53</v>
      </c>
      <c r="B29" s="1"/>
      <c r="C29" s="1"/>
      <c r="D29" s="2"/>
      <c r="E29" s="1"/>
      <c r="F29" s="1"/>
      <c r="G29" s="1"/>
      <c r="H29" s="6">
        <v>45840</v>
      </c>
      <c r="I29" s="7">
        <v>100</v>
      </c>
      <c r="J29" s="18">
        <v>128</v>
      </c>
      <c r="K29" s="18">
        <v>128</v>
      </c>
      <c r="L29" s="18">
        <v>128</v>
      </c>
      <c r="M29" s="7" t="s">
        <v>15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14"/>
    </row>
    <row r="30" spans="1:24" x14ac:dyDescent="0.25">
      <c r="A30" s="1"/>
      <c r="B30" s="1"/>
      <c r="C30" s="1"/>
      <c r="D30" s="1"/>
      <c r="E30" s="1"/>
      <c r="F30" s="1"/>
      <c r="G30" s="1"/>
      <c r="H30" s="6"/>
      <c r="I30" s="7"/>
      <c r="J30" s="7"/>
      <c r="K30" s="7"/>
      <c r="L30" s="7"/>
      <c r="M30" s="7"/>
      <c r="N30" s="6"/>
      <c r="O30" s="7"/>
      <c r="P30" s="7"/>
      <c r="Q30" s="7"/>
      <c r="R30" s="7"/>
      <c r="S30" s="6"/>
      <c r="T30" s="7"/>
      <c r="U30" s="7"/>
      <c r="V30" s="7"/>
      <c r="W30" s="7"/>
      <c r="X30" s="14"/>
    </row>
    <row r="31" spans="1:24" x14ac:dyDescent="0.25">
      <c r="A31" s="1" t="s">
        <v>55</v>
      </c>
      <c r="B31" s="1">
        <v>436</v>
      </c>
      <c r="C31" s="1" t="s">
        <v>33</v>
      </c>
      <c r="D31" s="2" t="s">
        <v>15</v>
      </c>
      <c r="E31" s="1" t="s">
        <v>34</v>
      </c>
      <c r="F31" s="1" t="s">
        <v>34</v>
      </c>
      <c r="G31" s="1">
        <v>1</v>
      </c>
      <c r="H31" s="7" t="s">
        <v>49</v>
      </c>
      <c r="I31" s="7">
        <v>65</v>
      </c>
      <c r="J31" s="18">
        <v>64</v>
      </c>
      <c r="K31" s="18">
        <v>64</v>
      </c>
      <c r="L31" s="18">
        <v>64</v>
      </c>
      <c r="M31" s="7" t="s">
        <v>15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14"/>
    </row>
    <row r="32" spans="1:24" x14ac:dyDescent="0.25">
      <c r="A32" s="1" t="s">
        <v>55</v>
      </c>
      <c r="B32" s="1">
        <v>436</v>
      </c>
      <c r="C32" s="1" t="s">
        <v>33</v>
      </c>
      <c r="D32" s="2" t="s">
        <v>15</v>
      </c>
      <c r="E32" s="1" t="s">
        <v>34</v>
      </c>
      <c r="F32" s="1" t="s">
        <v>34</v>
      </c>
      <c r="G32" s="1">
        <v>2</v>
      </c>
      <c r="H32" s="6">
        <v>45730</v>
      </c>
      <c r="I32" s="7">
        <v>53</v>
      </c>
      <c r="J32" s="18">
        <v>32</v>
      </c>
      <c r="K32" s="18">
        <v>32</v>
      </c>
      <c r="L32" s="18">
        <v>32</v>
      </c>
      <c r="M32" s="7" t="s">
        <v>15</v>
      </c>
      <c r="N32" s="6"/>
      <c r="O32" s="7"/>
      <c r="P32" s="7"/>
      <c r="Q32" s="7"/>
      <c r="R32" s="7"/>
      <c r="S32" s="6"/>
      <c r="T32" s="7"/>
      <c r="U32" s="7"/>
      <c r="V32" s="7"/>
      <c r="W32" s="7"/>
      <c r="X32" s="14"/>
    </row>
    <row r="33" spans="1:24" x14ac:dyDescent="0.25">
      <c r="A33" s="1" t="s">
        <v>55</v>
      </c>
      <c r="B33" s="1">
        <v>436</v>
      </c>
      <c r="C33" s="1" t="s">
        <v>33</v>
      </c>
      <c r="D33" s="2" t="s">
        <v>15</v>
      </c>
      <c r="E33" s="1" t="s">
        <v>34</v>
      </c>
      <c r="F33" s="1" t="s">
        <v>34</v>
      </c>
      <c r="G33" s="1">
        <v>3</v>
      </c>
      <c r="H33" s="6">
        <v>45742</v>
      </c>
      <c r="I33" s="7">
        <v>16</v>
      </c>
      <c r="J33" s="18">
        <v>16</v>
      </c>
      <c r="K33" s="18">
        <v>16</v>
      </c>
      <c r="L33" s="18">
        <v>16</v>
      </c>
      <c r="M33" s="7" t="s">
        <v>15</v>
      </c>
      <c r="N33" s="6"/>
      <c r="O33" s="7"/>
      <c r="P33" s="7"/>
      <c r="Q33" s="7"/>
      <c r="R33" s="7"/>
      <c r="S33" s="6"/>
      <c r="T33" s="7"/>
      <c r="U33" s="7"/>
      <c r="V33" s="7"/>
      <c r="W33" s="7"/>
      <c r="X33" s="14"/>
    </row>
    <row r="34" spans="1:24" x14ac:dyDescent="0.25">
      <c r="A34" s="1" t="s">
        <v>55</v>
      </c>
      <c r="B34" s="1"/>
      <c r="C34" s="1"/>
      <c r="D34" s="2"/>
      <c r="E34" s="1"/>
      <c r="F34" s="1"/>
      <c r="G34" s="1"/>
      <c r="H34" s="6">
        <v>45838</v>
      </c>
      <c r="I34" s="7">
        <v>74</v>
      </c>
      <c r="J34" s="18">
        <v>128</v>
      </c>
      <c r="K34" s="18">
        <v>128</v>
      </c>
      <c r="L34" s="18">
        <v>128</v>
      </c>
      <c r="M34" s="7" t="s">
        <v>15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14"/>
    </row>
    <row r="35" spans="1:24" x14ac:dyDescent="0.25">
      <c r="A35" s="1" t="s">
        <v>55</v>
      </c>
      <c r="B35" s="1"/>
      <c r="C35" s="1"/>
      <c r="D35" s="2"/>
      <c r="E35" s="1"/>
      <c r="F35" s="1"/>
      <c r="G35" s="1"/>
      <c r="H35" s="6">
        <v>45841</v>
      </c>
      <c r="I35" s="7">
        <v>91</v>
      </c>
      <c r="J35" s="18">
        <v>128</v>
      </c>
      <c r="K35" s="18">
        <v>128</v>
      </c>
      <c r="L35" s="18">
        <v>128</v>
      </c>
      <c r="M35" s="7" t="s">
        <v>15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14"/>
    </row>
    <row r="36" spans="1:24" x14ac:dyDescent="0.25">
      <c r="A36" s="1"/>
      <c r="B36" s="1"/>
      <c r="C36" s="1"/>
      <c r="D36" s="1"/>
      <c r="E36" s="1"/>
      <c r="F36" s="1"/>
      <c r="G36" s="1"/>
      <c r="H36" s="6"/>
      <c r="I36" s="7"/>
      <c r="J36" s="7"/>
      <c r="K36" s="7"/>
      <c r="L36" s="7"/>
      <c r="M36" s="7"/>
      <c r="N36" s="6"/>
      <c r="O36" s="7"/>
      <c r="P36" s="7"/>
      <c r="Q36" s="7"/>
      <c r="R36" s="7"/>
      <c r="S36" s="6"/>
      <c r="T36" s="7"/>
      <c r="U36" s="7"/>
      <c r="V36" s="7"/>
      <c r="W36" s="7"/>
      <c r="X36" s="14"/>
    </row>
    <row r="37" spans="1:24" x14ac:dyDescent="0.25">
      <c r="A37" s="1" t="s">
        <v>56</v>
      </c>
      <c r="B37" s="1">
        <v>50</v>
      </c>
      <c r="C37" s="1" t="s">
        <v>43</v>
      </c>
      <c r="D37" s="2" t="s">
        <v>15</v>
      </c>
      <c r="E37" s="1" t="s">
        <v>34</v>
      </c>
      <c r="F37" s="2" t="s">
        <v>15</v>
      </c>
      <c r="G37" s="1">
        <v>1</v>
      </c>
      <c r="H37" s="7" t="s">
        <v>49</v>
      </c>
      <c r="I37" s="7">
        <v>10</v>
      </c>
      <c r="J37" s="18">
        <v>64</v>
      </c>
      <c r="K37" s="18">
        <v>64</v>
      </c>
      <c r="L37" s="18">
        <v>64</v>
      </c>
      <c r="M37" s="7" t="s">
        <v>15</v>
      </c>
      <c r="N37" s="7" t="s">
        <v>49</v>
      </c>
      <c r="O37" s="7">
        <v>8</v>
      </c>
      <c r="P37" s="7">
        <v>8</v>
      </c>
      <c r="Q37" s="7">
        <v>8</v>
      </c>
      <c r="R37" s="7" t="s">
        <v>15</v>
      </c>
      <c r="S37" s="7"/>
      <c r="T37" s="7"/>
      <c r="U37" s="7"/>
      <c r="V37" s="7"/>
      <c r="W37" s="7"/>
      <c r="X37" s="14"/>
    </row>
    <row r="38" spans="1:24" x14ac:dyDescent="0.25">
      <c r="A38" s="1" t="s">
        <v>56</v>
      </c>
      <c r="B38" s="1">
        <v>50</v>
      </c>
      <c r="C38" s="1" t="s">
        <v>43</v>
      </c>
      <c r="D38" s="2" t="s">
        <v>15</v>
      </c>
      <c r="E38" s="1" t="s">
        <v>34</v>
      </c>
      <c r="F38" s="2" t="s">
        <v>15</v>
      </c>
      <c r="G38" s="1">
        <v>2</v>
      </c>
      <c r="H38" s="6">
        <v>45730</v>
      </c>
      <c r="I38" s="7">
        <v>72</v>
      </c>
      <c r="J38" s="18">
        <v>128</v>
      </c>
      <c r="K38" s="18">
        <v>128</v>
      </c>
      <c r="L38" s="18">
        <v>128</v>
      </c>
      <c r="M38" s="7" t="s">
        <v>15</v>
      </c>
      <c r="N38" s="6">
        <v>45730</v>
      </c>
      <c r="O38" s="7">
        <v>8</v>
      </c>
      <c r="P38" s="7">
        <v>8</v>
      </c>
      <c r="Q38" s="7">
        <v>8</v>
      </c>
      <c r="R38" s="7" t="s">
        <v>15</v>
      </c>
      <c r="S38" s="6"/>
      <c r="T38" s="7"/>
      <c r="U38" s="7"/>
      <c r="V38" s="7"/>
      <c r="W38" s="7"/>
      <c r="X38" s="14"/>
    </row>
    <row r="39" spans="1:24" x14ac:dyDescent="0.25">
      <c r="A39" s="1" t="s">
        <v>56</v>
      </c>
      <c r="B39" s="1">
        <v>50</v>
      </c>
      <c r="C39" s="1" t="s">
        <v>43</v>
      </c>
      <c r="D39" s="2" t="s">
        <v>15</v>
      </c>
      <c r="E39" s="1" t="s">
        <v>34</v>
      </c>
      <c r="F39" s="2" t="s">
        <v>15</v>
      </c>
      <c r="G39" s="1">
        <v>3</v>
      </c>
      <c r="H39" s="6">
        <v>45742</v>
      </c>
      <c r="I39" s="7">
        <v>31</v>
      </c>
      <c r="J39" s="18">
        <v>32</v>
      </c>
      <c r="K39" s="18">
        <v>32</v>
      </c>
      <c r="L39" s="18">
        <v>32</v>
      </c>
      <c r="M39" s="7" t="s">
        <v>15</v>
      </c>
      <c r="N39" s="6">
        <v>45742</v>
      </c>
      <c r="O39" s="7">
        <v>8</v>
      </c>
      <c r="P39" s="7">
        <v>8</v>
      </c>
      <c r="Q39" s="7">
        <v>8</v>
      </c>
      <c r="R39" s="7" t="s">
        <v>15</v>
      </c>
      <c r="S39" s="6"/>
      <c r="T39" s="7"/>
      <c r="U39" s="7"/>
      <c r="V39" s="7"/>
      <c r="W39" s="7"/>
      <c r="X39" s="14"/>
    </row>
    <row r="40" spans="1:24" x14ac:dyDescent="0.25">
      <c r="A40" s="1" t="s">
        <v>56</v>
      </c>
      <c r="B40" s="1"/>
      <c r="C40" s="1"/>
      <c r="D40" s="2"/>
      <c r="E40" s="1"/>
      <c r="F40" s="2"/>
      <c r="G40" s="1"/>
      <c r="H40" s="6">
        <v>45838</v>
      </c>
      <c r="I40" s="7">
        <v>74</v>
      </c>
      <c r="J40" s="18">
        <v>64</v>
      </c>
      <c r="K40" s="18">
        <v>64</v>
      </c>
      <c r="L40" s="18">
        <v>64</v>
      </c>
      <c r="M40" s="7" t="s">
        <v>15</v>
      </c>
      <c r="N40" s="6" t="s">
        <v>91</v>
      </c>
      <c r="O40" s="6" t="s">
        <v>91</v>
      </c>
      <c r="P40" s="6" t="s">
        <v>91</v>
      </c>
      <c r="Q40" s="6" t="s">
        <v>91</v>
      </c>
      <c r="R40" s="6" t="s">
        <v>91</v>
      </c>
      <c r="S40" s="6"/>
      <c r="T40" s="6"/>
      <c r="U40" s="6"/>
      <c r="V40" s="6"/>
      <c r="W40" s="6"/>
      <c r="X40" s="14"/>
    </row>
    <row r="41" spans="1:24" x14ac:dyDescent="0.25">
      <c r="A41" s="1"/>
      <c r="B41" s="1"/>
      <c r="C41" s="1"/>
      <c r="D41" s="1"/>
      <c r="E41" s="1"/>
      <c r="F41" s="1"/>
      <c r="G41" s="1"/>
      <c r="H41" s="6"/>
      <c r="I41" s="7"/>
      <c r="J41" s="7"/>
      <c r="K41" s="7"/>
      <c r="L41" s="7"/>
      <c r="M41" s="7"/>
      <c r="N41" s="6"/>
      <c r="O41" s="7"/>
      <c r="P41" s="7"/>
      <c r="Q41" s="7"/>
      <c r="R41" s="7"/>
      <c r="S41" s="6"/>
      <c r="T41" s="7"/>
      <c r="U41" s="7"/>
      <c r="V41" s="7"/>
      <c r="W41" s="7"/>
      <c r="X41" s="14"/>
    </row>
    <row r="42" spans="1:24" x14ac:dyDescent="0.25">
      <c r="A42" s="1" t="s">
        <v>57</v>
      </c>
      <c r="B42" s="1">
        <v>2081</v>
      </c>
      <c r="C42" s="1" t="s">
        <v>52</v>
      </c>
      <c r="D42" s="2" t="s">
        <v>15</v>
      </c>
      <c r="E42" s="1" t="s">
        <v>34</v>
      </c>
      <c r="F42" s="2" t="s">
        <v>15</v>
      </c>
      <c r="G42" s="1">
        <v>1</v>
      </c>
      <c r="H42" s="7" t="s">
        <v>49</v>
      </c>
      <c r="I42" s="7">
        <v>10</v>
      </c>
      <c r="J42" s="7">
        <v>64</v>
      </c>
      <c r="K42" s="7">
        <v>64</v>
      </c>
      <c r="L42" s="7">
        <v>64</v>
      </c>
      <c r="M42" s="7" t="s">
        <v>15</v>
      </c>
      <c r="N42" s="7" t="s">
        <v>49</v>
      </c>
      <c r="O42" s="18">
        <v>8</v>
      </c>
      <c r="P42" s="18">
        <v>8</v>
      </c>
      <c r="Q42" s="18">
        <v>8</v>
      </c>
      <c r="R42" s="7" t="s">
        <v>15</v>
      </c>
      <c r="S42" s="7"/>
      <c r="T42" s="7"/>
      <c r="U42" s="7"/>
      <c r="V42" s="7"/>
      <c r="W42" s="7"/>
      <c r="X42" s="14"/>
    </row>
    <row r="43" spans="1:24" x14ac:dyDescent="0.25">
      <c r="A43" s="1" t="s">
        <v>57</v>
      </c>
      <c r="B43" s="1">
        <v>2081</v>
      </c>
      <c r="C43" s="1" t="s">
        <v>52</v>
      </c>
      <c r="D43" s="2" t="s">
        <v>15</v>
      </c>
      <c r="E43" s="1" t="s">
        <v>34</v>
      </c>
      <c r="F43" s="2" t="s">
        <v>15</v>
      </c>
      <c r="G43" s="1">
        <v>2</v>
      </c>
      <c r="H43" s="6">
        <v>45730</v>
      </c>
      <c r="I43" s="7">
        <v>68</v>
      </c>
      <c r="J43" s="7">
        <v>32</v>
      </c>
      <c r="K43" s="7">
        <v>16</v>
      </c>
      <c r="L43" s="7">
        <v>16</v>
      </c>
      <c r="M43" s="7" t="s">
        <v>15</v>
      </c>
      <c r="N43" s="6">
        <v>45730</v>
      </c>
      <c r="O43" s="18">
        <v>4</v>
      </c>
      <c r="P43" s="18">
        <v>4</v>
      </c>
      <c r="Q43" s="18">
        <v>4</v>
      </c>
      <c r="R43" s="7" t="s">
        <v>15</v>
      </c>
      <c r="S43" s="6"/>
      <c r="T43" s="7"/>
      <c r="U43" s="7"/>
      <c r="V43" s="7"/>
      <c r="W43" s="7"/>
      <c r="X43" s="14"/>
    </row>
    <row r="44" spans="1:24" x14ac:dyDescent="0.25">
      <c r="A44" s="1" t="s">
        <v>57</v>
      </c>
      <c r="B44" s="1">
        <v>2081</v>
      </c>
      <c r="C44" s="1" t="s">
        <v>52</v>
      </c>
      <c r="D44" s="2" t="s">
        <v>15</v>
      </c>
      <c r="E44" s="1" t="s">
        <v>34</v>
      </c>
      <c r="F44" s="2" t="s">
        <v>15</v>
      </c>
      <c r="G44" s="1">
        <v>3</v>
      </c>
      <c r="H44" s="6">
        <v>45742</v>
      </c>
      <c r="I44" s="7">
        <v>41</v>
      </c>
      <c r="J44" s="7">
        <v>64</v>
      </c>
      <c r="K44" s="7">
        <v>64</v>
      </c>
      <c r="L44" s="7">
        <v>64</v>
      </c>
      <c r="M44" s="7" t="s">
        <v>15</v>
      </c>
      <c r="N44" s="6">
        <v>45742</v>
      </c>
      <c r="O44" s="18">
        <v>32</v>
      </c>
      <c r="P44" s="18">
        <v>32</v>
      </c>
      <c r="Q44" s="18">
        <v>32</v>
      </c>
      <c r="R44" s="7" t="s">
        <v>15</v>
      </c>
      <c r="S44" s="6"/>
      <c r="T44" s="7"/>
      <c r="U44" s="7"/>
      <c r="V44" s="7"/>
      <c r="W44" s="7"/>
      <c r="X44" s="14"/>
    </row>
    <row r="45" spans="1:24" x14ac:dyDescent="0.25">
      <c r="A45" s="1" t="s">
        <v>57</v>
      </c>
      <c r="B45" s="1"/>
      <c r="C45" s="1"/>
      <c r="D45" s="2"/>
      <c r="E45" s="1"/>
      <c r="F45" s="2"/>
      <c r="G45" s="1"/>
      <c r="H45" s="6">
        <v>45810</v>
      </c>
      <c r="I45" s="7">
        <v>3</v>
      </c>
      <c r="J45" s="6" t="s">
        <v>91</v>
      </c>
      <c r="K45" s="6" t="s">
        <v>91</v>
      </c>
      <c r="L45" s="6" t="s">
        <v>91</v>
      </c>
      <c r="M45" s="6" t="s">
        <v>91</v>
      </c>
      <c r="N45" s="6">
        <v>45810</v>
      </c>
      <c r="O45" s="18">
        <v>8</v>
      </c>
      <c r="P45" s="18">
        <v>8</v>
      </c>
      <c r="Q45" s="18">
        <v>8</v>
      </c>
      <c r="R45" s="7" t="s">
        <v>15</v>
      </c>
      <c r="S45" s="6"/>
      <c r="T45" s="6"/>
      <c r="U45" s="6"/>
      <c r="V45" s="6"/>
      <c r="W45" s="6"/>
      <c r="X45" s="14"/>
    </row>
    <row r="46" spans="1:24" x14ac:dyDescent="0.25">
      <c r="A46" s="1"/>
      <c r="B46" s="1"/>
      <c r="C46" s="1"/>
      <c r="D46" s="1" t="s">
        <v>19</v>
      </c>
      <c r="E46" s="1" t="s">
        <v>20</v>
      </c>
      <c r="F46" s="1" t="s">
        <v>21</v>
      </c>
      <c r="G46" s="1"/>
      <c r="H46" s="6"/>
      <c r="I46" s="7"/>
      <c r="J46" s="7"/>
      <c r="K46" s="7"/>
      <c r="L46" s="7"/>
      <c r="M46" s="7"/>
      <c r="N46" s="6"/>
      <c r="O46" s="7"/>
      <c r="P46" s="7"/>
      <c r="Q46" s="7"/>
      <c r="R46" s="7"/>
      <c r="S46" s="6"/>
      <c r="T46" s="7"/>
      <c r="U46" s="7"/>
      <c r="V46" s="7"/>
      <c r="W46" s="7"/>
      <c r="X46" s="14"/>
    </row>
    <row r="47" spans="1:24" x14ac:dyDescent="0.25">
      <c r="A47" s="1" t="s">
        <v>58</v>
      </c>
      <c r="B47" s="1">
        <v>530</v>
      </c>
      <c r="C47" s="1" t="s">
        <v>52</v>
      </c>
      <c r="D47" s="2" t="s">
        <v>15</v>
      </c>
      <c r="E47" s="1" t="s">
        <v>34</v>
      </c>
      <c r="F47" s="2" t="s">
        <v>15</v>
      </c>
      <c r="G47" s="1">
        <v>1</v>
      </c>
      <c r="H47" s="7" t="s">
        <v>49</v>
      </c>
      <c r="I47" s="7">
        <v>18</v>
      </c>
      <c r="J47" s="7">
        <v>64</v>
      </c>
      <c r="K47" s="7">
        <v>64</v>
      </c>
      <c r="L47" s="7">
        <v>64</v>
      </c>
      <c r="M47" s="7" t="s">
        <v>15</v>
      </c>
      <c r="N47" s="7" t="s">
        <v>49</v>
      </c>
      <c r="O47" s="7">
        <v>8</v>
      </c>
      <c r="P47" s="7">
        <v>8</v>
      </c>
      <c r="Q47" s="7">
        <v>8</v>
      </c>
      <c r="R47" s="7" t="s">
        <v>15</v>
      </c>
      <c r="S47" s="7"/>
      <c r="T47" s="7"/>
      <c r="U47" s="7"/>
      <c r="V47" s="7"/>
      <c r="W47" s="7"/>
      <c r="X47" s="14"/>
    </row>
    <row r="48" spans="1:24" x14ac:dyDescent="0.25">
      <c r="A48" s="1" t="s">
        <v>58</v>
      </c>
      <c r="B48" s="1">
        <v>530</v>
      </c>
      <c r="C48" s="1" t="s">
        <v>52</v>
      </c>
      <c r="D48" s="2" t="s">
        <v>15</v>
      </c>
      <c r="E48" s="1" t="s">
        <v>34</v>
      </c>
      <c r="F48" s="2" t="s">
        <v>15</v>
      </c>
      <c r="G48" s="1">
        <v>2</v>
      </c>
      <c r="H48" s="6">
        <v>45730</v>
      </c>
      <c r="I48" s="8">
        <v>100</v>
      </c>
      <c r="J48" s="7">
        <v>128</v>
      </c>
      <c r="K48" s="7">
        <v>128</v>
      </c>
      <c r="L48" s="7">
        <v>128</v>
      </c>
      <c r="M48" s="7" t="s">
        <v>15</v>
      </c>
      <c r="N48" s="6">
        <v>45730</v>
      </c>
      <c r="O48" s="7">
        <v>4</v>
      </c>
      <c r="P48" s="7">
        <v>4</v>
      </c>
      <c r="Q48" s="7">
        <v>4</v>
      </c>
      <c r="R48" s="7" t="s">
        <v>15</v>
      </c>
      <c r="S48" s="6"/>
      <c r="T48" s="7"/>
      <c r="U48" s="7"/>
      <c r="V48" s="7"/>
      <c r="W48" s="7"/>
      <c r="X48" s="14"/>
    </row>
    <row r="49" spans="1:24" x14ac:dyDescent="0.25">
      <c r="A49" s="1" t="s">
        <v>58</v>
      </c>
      <c r="B49" s="1">
        <v>530</v>
      </c>
      <c r="C49" s="1" t="s">
        <v>52</v>
      </c>
      <c r="D49" s="2" t="s">
        <v>15</v>
      </c>
      <c r="E49" s="1" t="s">
        <v>34</v>
      </c>
      <c r="F49" s="2" t="s">
        <v>15</v>
      </c>
      <c r="G49" s="1">
        <v>3</v>
      </c>
      <c r="H49" s="6">
        <v>45742</v>
      </c>
      <c r="I49" s="7">
        <v>43</v>
      </c>
      <c r="J49" s="7">
        <v>64</v>
      </c>
      <c r="K49" s="7">
        <v>64</v>
      </c>
      <c r="L49" s="7">
        <v>64</v>
      </c>
      <c r="M49" s="7" t="s">
        <v>15</v>
      </c>
      <c r="N49" s="6">
        <v>45742</v>
      </c>
      <c r="O49" s="7">
        <v>8</v>
      </c>
      <c r="P49" s="7">
        <v>8</v>
      </c>
      <c r="Q49" s="7">
        <v>8</v>
      </c>
      <c r="R49" s="7" t="s">
        <v>15</v>
      </c>
      <c r="S49" s="6"/>
      <c r="T49" s="7"/>
      <c r="U49" s="7"/>
      <c r="V49" s="7"/>
      <c r="W49" s="7"/>
      <c r="X49" s="14"/>
    </row>
    <row r="50" spans="1:24" x14ac:dyDescent="0.25">
      <c r="A50" s="1"/>
      <c r="B50" s="1"/>
      <c r="C50" s="1"/>
      <c r="D50" s="1"/>
      <c r="E50" s="1"/>
      <c r="F50" s="1"/>
      <c r="G50" s="1"/>
      <c r="H50" s="6"/>
      <c r="I50" s="7"/>
      <c r="J50" s="7"/>
      <c r="K50" s="7"/>
      <c r="L50" s="7"/>
      <c r="M50" s="7"/>
      <c r="N50" s="6"/>
      <c r="O50" s="7"/>
      <c r="P50" s="7"/>
      <c r="Q50" s="7"/>
      <c r="R50" s="7"/>
      <c r="S50" s="6"/>
      <c r="T50" s="7"/>
      <c r="U50" s="7"/>
      <c r="V50" s="7"/>
      <c r="W50" s="7"/>
      <c r="X50" s="14"/>
    </row>
    <row r="51" spans="1:24" ht="14.25" customHeight="1" x14ac:dyDescent="0.25">
      <c r="A51" s="1" t="s">
        <v>59</v>
      </c>
      <c r="B51" s="1">
        <v>50</v>
      </c>
      <c r="C51" s="1" t="s">
        <v>43</v>
      </c>
      <c r="D51" s="2" t="s">
        <v>15</v>
      </c>
      <c r="E51" s="1" t="s">
        <v>34</v>
      </c>
      <c r="F51" s="2" t="s">
        <v>15</v>
      </c>
      <c r="G51" s="1">
        <v>1</v>
      </c>
      <c r="H51" s="7" t="s">
        <v>49</v>
      </c>
      <c r="I51" s="7">
        <v>58</v>
      </c>
      <c r="J51" s="7">
        <v>64</v>
      </c>
      <c r="K51" s="7">
        <v>64</v>
      </c>
      <c r="L51" s="7">
        <v>64</v>
      </c>
      <c r="M51" s="7" t="s">
        <v>15</v>
      </c>
      <c r="N51" s="7" t="s">
        <v>49</v>
      </c>
      <c r="O51" s="18">
        <v>16</v>
      </c>
      <c r="P51" s="18">
        <v>16</v>
      </c>
      <c r="Q51" s="18">
        <v>16</v>
      </c>
      <c r="R51" s="7" t="s">
        <v>15</v>
      </c>
      <c r="S51" s="7"/>
      <c r="T51" s="7"/>
      <c r="U51" s="7"/>
      <c r="V51" s="7"/>
      <c r="W51" s="7"/>
      <c r="X51" s="14"/>
    </row>
    <row r="52" spans="1:24" ht="14.25" customHeight="1" x14ac:dyDescent="0.25">
      <c r="A52" s="1" t="s">
        <v>59</v>
      </c>
      <c r="B52" s="1">
        <v>50</v>
      </c>
      <c r="C52" s="1" t="s">
        <v>43</v>
      </c>
      <c r="D52" s="2" t="s">
        <v>15</v>
      </c>
      <c r="E52" s="1" t="s">
        <v>34</v>
      </c>
      <c r="F52" s="2" t="s">
        <v>15</v>
      </c>
      <c r="G52" s="1">
        <v>2</v>
      </c>
      <c r="H52" s="6">
        <v>45730</v>
      </c>
      <c r="I52" s="8">
        <v>160</v>
      </c>
      <c r="J52" s="7">
        <v>128</v>
      </c>
      <c r="K52" s="7">
        <v>128</v>
      </c>
      <c r="L52" s="7">
        <v>128</v>
      </c>
      <c r="M52" s="7" t="s">
        <v>15</v>
      </c>
      <c r="N52" s="6">
        <v>45730</v>
      </c>
      <c r="O52" s="18">
        <v>4</v>
      </c>
      <c r="P52" s="18">
        <v>4</v>
      </c>
      <c r="Q52" s="18">
        <v>4</v>
      </c>
      <c r="R52" s="7" t="s">
        <v>15</v>
      </c>
      <c r="S52" s="6"/>
      <c r="T52" s="7"/>
      <c r="U52" s="7"/>
      <c r="V52" s="7"/>
      <c r="W52" s="7"/>
      <c r="X52" s="14"/>
    </row>
    <row r="53" spans="1:24" ht="14.25" customHeight="1" x14ac:dyDescent="0.25">
      <c r="A53" s="1" t="s">
        <v>59</v>
      </c>
      <c r="B53" s="1">
        <v>50</v>
      </c>
      <c r="C53" s="1" t="s">
        <v>43</v>
      </c>
      <c r="D53" s="2" t="s">
        <v>15</v>
      </c>
      <c r="E53" s="1" t="s">
        <v>34</v>
      </c>
      <c r="F53" s="2" t="s">
        <v>15</v>
      </c>
      <c r="G53" s="1">
        <v>3</v>
      </c>
      <c r="H53" s="6">
        <v>45742</v>
      </c>
      <c r="I53" s="7">
        <v>53</v>
      </c>
      <c r="J53" s="7">
        <v>64</v>
      </c>
      <c r="K53" s="7">
        <v>64</v>
      </c>
      <c r="L53" s="7">
        <v>64</v>
      </c>
      <c r="M53" s="7" t="s">
        <v>15</v>
      </c>
      <c r="N53" s="6">
        <v>45742</v>
      </c>
      <c r="O53" s="18">
        <v>8</v>
      </c>
      <c r="P53" s="18">
        <v>8</v>
      </c>
      <c r="Q53" s="18">
        <v>8</v>
      </c>
      <c r="R53" s="7" t="s">
        <v>15</v>
      </c>
      <c r="S53" s="6"/>
      <c r="T53" s="7"/>
      <c r="U53" s="7"/>
      <c r="V53" s="7"/>
      <c r="W53" s="7"/>
      <c r="X53" s="14"/>
    </row>
    <row r="54" spans="1:24" ht="14.25" customHeight="1" x14ac:dyDescent="0.25">
      <c r="A54" s="1" t="s">
        <v>59</v>
      </c>
      <c r="B54" s="1"/>
      <c r="C54" s="1"/>
      <c r="D54" s="2"/>
      <c r="E54" s="1"/>
      <c r="F54" s="2"/>
      <c r="G54" s="1"/>
      <c r="H54" s="6">
        <v>45810</v>
      </c>
      <c r="I54" s="7">
        <v>3</v>
      </c>
      <c r="J54" s="6" t="s">
        <v>91</v>
      </c>
      <c r="K54" s="6" t="s">
        <v>91</v>
      </c>
      <c r="L54" s="6" t="s">
        <v>91</v>
      </c>
      <c r="M54" s="6" t="s">
        <v>91</v>
      </c>
      <c r="N54" s="6">
        <v>45810</v>
      </c>
      <c r="O54" s="18">
        <v>8</v>
      </c>
      <c r="P54" s="18">
        <v>8</v>
      </c>
      <c r="Q54" s="18">
        <v>8</v>
      </c>
      <c r="R54" s="7" t="s">
        <v>15</v>
      </c>
      <c r="S54" s="6"/>
      <c r="T54" s="6"/>
      <c r="U54" s="6"/>
      <c r="V54" s="6"/>
      <c r="W54" s="6"/>
      <c r="X54" s="14"/>
    </row>
    <row r="55" spans="1:24" ht="14.25" customHeight="1" x14ac:dyDescent="0.25">
      <c r="A55" s="1"/>
      <c r="B55" s="1"/>
      <c r="C55" s="1"/>
      <c r="D55" s="1"/>
      <c r="E55" s="1"/>
      <c r="F55" s="1"/>
      <c r="G55" s="1"/>
      <c r="H55" s="6"/>
      <c r="I55" s="7"/>
      <c r="J55" s="7"/>
      <c r="K55" s="7"/>
      <c r="L55" s="7"/>
      <c r="M55" s="7"/>
      <c r="N55" s="6"/>
      <c r="O55" s="7"/>
      <c r="P55" s="7"/>
      <c r="Q55" s="7"/>
      <c r="R55" s="7"/>
      <c r="S55" s="6"/>
      <c r="T55" s="7"/>
      <c r="U55" s="7"/>
      <c r="V55" s="7"/>
      <c r="W55" s="7"/>
      <c r="X55" s="14"/>
    </row>
    <row r="56" spans="1:24" x14ac:dyDescent="0.25">
      <c r="A56" s="1" t="s">
        <v>60</v>
      </c>
      <c r="B56" s="1">
        <v>830</v>
      </c>
      <c r="C56" s="1" t="s">
        <v>54</v>
      </c>
      <c r="D56" s="2" t="s">
        <v>15</v>
      </c>
      <c r="E56" s="2" t="s">
        <v>15</v>
      </c>
      <c r="F56" s="2" t="s">
        <v>15</v>
      </c>
      <c r="G56" s="1">
        <v>1</v>
      </c>
      <c r="H56" s="6">
        <v>45716</v>
      </c>
      <c r="I56" s="7">
        <v>87</v>
      </c>
      <c r="J56" s="18">
        <v>64</v>
      </c>
      <c r="K56" s="18">
        <v>64</v>
      </c>
      <c r="L56" s="18">
        <v>64</v>
      </c>
      <c r="M56" s="7" t="s">
        <v>15</v>
      </c>
      <c r="N56" s="6">
        <v>45716</v>
      </c>
      <c r="O56" s="7">
        <v>8</v>
      </c>
      <c r="P56" s="7">
        <v>8</v>
      </c>
      <c r="Q56" s="7">
        <v>8</v>
      </c>
      <c r="R56" s="7" t="s">
        <v>15</v>
      </c>
      <c r="S56" s="6">
        <v>45716</v>
      </c>
      <c r="T56" s="7">
        <v>64</v>
      </c>
      <c r="U56" s="7">
        <v>64</v>
      </c>
      <c r="V56" s="7">
        <v>64</v>
      </c>
      <c r="W56" s="7" t="s">
        <v>50</v>
      </c>
      <c r="X56" s="14"/>
    </row>
    <row r="57" spans="1:24" x14ac:dyDescent="0.25">
      <c r="A57" s="1" t="s">
        <v>60</v>
      </c>
      <c r="B57" s="1">
        <v>830</v>
      </c>
      <c r="C57" s="1" t="s">
        <v>54</v>
      </c>
      <c r="D57" s="2" t="s">
        <v>15</v>
      </c>
      <c r="E57" s="2" t="s">
        <v>15</v>
      </c>
      <c r="F57" s="2" t="s">
        <v>15</v>
      </c>
      <c r="G57" s="1">
        <v>2</v>
      </c>
      <c r="H57" s="6">
        <v>45737</v>
      </c>
      <c r="I57" s="7">
        <v>65</v>
      </c>
      <c r="J57" s="18">
        <v>8</v>
      </c>
      <c r="K57" s="18">
        <v>8</v>
      </c>
      <c r="L57" s="18">
        <v>8</v>
      </c>
      <c r="M57" s="7" t="s">
        <v>15</v>
      </c>
      <c r="N57" s="6">
        <v>45737</v>
      </c>
      <c r="O57" s="7">
        <v>8</v>
      </c>
      <c r="P57" s="7">
        <v>8</v>
      </c>
      <c r="Q57" s="7">
        <v>8</v>
      </c>
      <c r="R57" s="7" t="s">
        <v>15</v>
      </c>
      <c r="S57" s="6">
        <v>45737</v>
      </c>
      <c r="T57" s="7">
        <v>128</v>
      </c>
      <c r="U57" s="7">
        <v>128</v>
      </c>
      <c r="V57" s="7">
        <v>128</v>
      </c>
      <c r="W57" s="7" t="s">
        <v>15</v>
      </c>
      <c r="X57" s="14"/>
    </row>
    <row r="58" spans="1:24" x14ac:dyDescent="0.25">
      <c r="A58" s="1" t="s">
        <v>60</v>
      </c>
      <c r="B58" s="1">
        <v>830</v>
      </c>
      <c r="C58" s="1" t="s">
        <v>54</v>
      </c>
      <c r="D58" s="2" t="s">
        <v>15</v>
      </c>
      <c r="E58" s="2" t="s">
        <v>15</v>
      </c>
      <c r="F58" s="2" t="s">
        <v>15</v>
      </c>
      <c r="G58" s="1">
        <v>3</v>
      </c>
      <c r="H58" s="6">
        <v>45746</v>
      </c>
      <c r="I58" s="8">
        <v>2</v>
      </c>
      <c r="J58" s="18">
        <v>32</v>
      </c>
      <c r="K58" s="18">
        <v>32</v>
      </c>
      <c r="L58" s="18">
        <v>32</v>
      </c>
      <c r="M58" s="7" t="s">
        <v>15</v>
      </c>
      <c r="N58" s="6">
        <v>45746</v>
      </c>
      <c r="O58" s="7">
        <v>8</v>
      </c>
      <c r="P58" s="7">
        <v>8</v>
      </c>
      <c r="Q58" s="7">
        <v>8</v>
      </c>
      <c r="R58" s="7" t="s">
        <v>15</v>
      </c>
      <c r="S58" s="6">
        <v>45746</v>
      </c>
      <c r="T58" s="7">
        <v>64</v>
      </c>
      <c r="U58" s="7">
        <v>64</v>
      </c>
      <c r="V58" s="7">
        <v>64</v>
      </c>
      <c r="W58" s="7" t="s">
        <v>15</v>
      </c>
      <c r="X58" s="14"/>
    </row>
    <row r="59" spans="1:24" x14ac:dyDescent="0.25">
      <c r="A59" s="1" t="s">
        <v>60</v>
      </c>
      <c r="B59" s="1"/>
      <c r="C59" s="1"/>
      <c r="D59" s="2"/>
      <c r="E59" s="2"/>
      <c r="F59" s="2"/>
      <c r="G59" s="1"/>
      <c r="H59" s="6">
        <v>45838</v>
      </c>
      <c r="I59" s="8">
        <v>96</v>
      </c>
      <c r="J59" s="18">
        <v>64</v>
      </c>
      <c r="K59" s="18">
        <v>64</v>
      </c>
      <c r="L59" s="18">
        <v>64</v>
      </c>
      <c r="M59" s="7" t="s">
        <v>15</v>
      </c>
      <c r="N59" s="6" t="s">
        <v>91</v>
      </c>
      <c r="O59" s="6" t="s">
        <v>91</v>
      </c>
      <c r="P59" s="6" t="s">
        <v>91</v>
      </c>
      <c r="Q59" s="6" t="s">
        <v>91</v>
      </c>
      <c r="R59" s="6" t="s">
        <v>91</v>
      </c>
      <c r="S59" s="6" t="s">
        <v>91</v>
      </c>
      <c r="T59" s="6" t="s">
        <v>91</v>
      </c>
      <c r="U59" s="6" t="s">
        <v>91</v>
      </c>
      <c r="V59" s="6" t="s">
        <v>91</v>
      </c>
      <c r="W59" s="6" t="s">
        <v>91</v>
      </c>
      <c r="X59" s="14"/>
    </row>
    <row r="60" spans="1:24" x14ac:dyDescent="0.25">
      <c r="A60" s="1" t="s">
        <v>60</v>
      </c>
      <c r="B60" s="1"/>
      <c r="C60" s="1"/>
      <c r="D60" s="2"/>
      <c r="E60" s="2"/>
      <c r="F60" s="2"/>
      <c r="G60" s="1"/>
      <c r="H60" s="6">
        <v>45840</v>
      </c>
      <c r="I60" s="8">
        <v>163</v>
      </c>
      <c r="J60" s="18">
        <v>64</v>
      </c>
      <c r="K60" s="18">
        <v>64</v>
      </c>
      <c r="L60" s="18">
        <v>64</v>
      </c>
      <c r="M60" s="7" t="s">
        <v>15</v>
      </c>
      <c r="N60" s="6" t="s">
        <v>91</v>
      </c>
      <c r="O60" s="6" t="s">
        <v>91</v>
      </c>
      <c r="P60" s="6" t="s">
        <v>91</v>
      </c>
      <c r="Q60" s="6" t="s">
        <v>91</v>
      </c>
      <c r="R60" s="6" t="s">
        <v>91</v>
      </c>
      <c r="S60" s="6" t="s">
        <v>91</v>
      </c>
      <c r="T60" s="6" t="s">
        <v>91</v>
      </c>
      <c r="U60" s="6" t="s">
        <v>91</v>
      </c>
      <c r="V60" s="6" t="s">
        <v>91</v>
      </c>
      <c r="W60" s="6" t="s">
        <v>91</v>
      </c>
      <c r="X60" s="14"/>
    </row>
    <row r="61" spans="1:24" x14ac:dyDescent="0.25">
      <c r="A61" s="1"/>
      <c r="B61" s="1"/>
      <c r="C61" s="1"/>
      <c r="D61" s="1"/>
      <c r="E61" s="1"/>
      <c r="F61" s="1"/>
      <c r="G61" s="1"/>
      <c r="H61" s="6"/>
      <c r="I61" s="7"/>
      <c r="J61" s="7"/>
      <c r="K61" s="7"/>
      <c r="L61" s="7"/>
      <c r="M61" s="7"/>
      <c r="N61" s="6"/>
      <c r="O61" s="7"/>
      <c r="P61" s="7"/>
      <c r="Q61" s="7"/>
      <c r="R61" s="7"/>
      <c r="S61" s="6"/>
      <c r="T61" s="7"/>
      <c r="U61" s="7"/>
      <c r="V61" s="7"/>
      <c r="W61" s="7"/>
      <c r="X61" s="14"/>
    </row>
    <row r="62" spans="1:24" x14ac:dyDescent="0.25">
      <c r="A62" s="1" t="s">
        <v>61</v>
      </c>
      <c r="B62" s="1" t="s">
        <v>62</v>
      </c>
      <c r="C62" s="1" t="s">
        <v>54</v>
      </c>
      <c r="D62" s="2" t="s">
        <v>15</v>
      </c>
      <c r="E62" s="1" t="s">
        <v>34</v>
      </c>
      <c r="F62" s="2" t="s">
        <v>15</v>
      </c>
      <c r="G62" s="1">
        <v>1</v>
      </c>
      <c r="H62" s="7" t="s">
        <v>49</v>
      </c>
      <c r="I62" s="7">
        <v>25</v>
      </c>
      <c r="J62" s="7">
        <v>64</v>
      </c>
      <c r="K62" s="7">
        <v>64</v>
      </c>
      <c r="L62" s="7">
        <v>64</v>
      </c>
      <c r="M62" s="7" t="s">
        <v>15</v>
      </c>
      <c r="N62" s="7" t="s">
        <v>49</v>
      </c>
      <c r="O62" s="7">
        <v>16</v>
      </c>
      <c r="P62" s="7">
        <v>16</v>
      </c>
      <c r="Q62" s="7">
        <v>16</v>
      </c>
      <c r="R62" s="7" t="s">
        <v>15</v>
      </c>
      <c r="S62" s="7"/>
      <c r="T62" s="7"/>
      <c r="U62" s="7"/>
      <c r="V62" s="7"/>
      <c r="W62" s="7"/>
      <c r="X62" s="14"/>
    </row>
    <row r="63" spans="1:24" x14ac:dyDescent="0.25">
      <c r="A63" s="1" t="s">
        <v>61</v>
      </c>
      <c r="B63" s="1" t="s">
        <v>62</v>
      </c>
      <c r="C63" s="1" t="s">
        <v>54</v>
      </c>
      <c r="D63" s="2" t="s">
        <v>15</v>
      </c>
      <c r="E63" s="1" t="s">
        <v>34</v>
      </c>
      <c r="F63" s="2" t="s">
        <v>15</v>
      </c>
      <c r="G63" s="1">
        <v>2</v>
      </c>
      <c r="H63" s="6">
        <v>45737</v>
      </c>
      <c r="I63" s="7">
        <v>80</v>
      </c>
      <c r="J63" s="7">
        <v>64</v>
      </c>
      <c r="K63" s="7">
        <v>64</v>
      </c>
      <c r="L63" s="7">
        <v>64</v>
      </c>
      <c r="M63" s="7" t="s">
        <v>15</v>
      </c>
      <c r="N63" s="6">
        <v>45737</v>
      </c>
      <c r="O63" s="7">
        <v>64</v>
      </c>
      <c r="P63" s="7">
        <v>64</v>
      </c>
      <c r="Q63" s="7">
        <v>64</v>
      </c>
      <c r="R63" s="7" t="s">
        <v>15</v>
      </c>
      <c r="S63" s="6"/>
      <c r="T63" s="7"/>
      <c r="U63" s="7"/>
      <c r="V63" s="7"/>
      <c r="W63" s="7"/>
      <c r="X63" s="14"/>
    </row>
    <row r="64" spans="1:24" x14ac:dyDescent="0.25">
      <c r="A64" s="1" t="s">
        <v>61</v>
      </c>
      <c r="B64" s="1" t="s">
        <v>62</v>
      </c>
      <c r="C64" s="1" t="s">
        <v>54</v>
      </c>
      <c r="D64" s="2" t="s">
        <v>15</v>
      </c>
      <c r="E64" s="1" t="s">
        <v>34</v>
      </c>
      <c r="F64" s="2" t="s">
        <v>15</v>
      </c>
      <c r="G64" s="1">
        <v>3</v>
      </c>
      <c r="H64" s="6">
        <v>45746</v>
      </c>
      <c r="I64" s="8">
        <v>8</v>
      </c>
      <c r="J64" s="7">
        <v>64</v>
      </c>
      <c r="K64" s="7">
        <v>64</v>
      </c>
      <c r="L64" s="7">
        <v>64</v>
      </c>
      <c r="M64" s="7" t="s">
        <v>15</v>
      </c>
      <c r="N64" s="6">
        <v>45746</v>
      </c>
      <c r="O64" s="7">
        <v>16</v>
      </c>
      <c r="P64" s="7">
        <v>16</v>
      </c>
      <c r="Q64" s="7">
        <v>16</v>
      </c>
      <c r="R64" s="7" t="s">
        <v>15</v>
      </c>
      <c r="S64" s="6"/>
      <c r="T64" s="7"/>
      <c r="U64" s="7"/>
      <c r="V64" s="7"/>
      <c r="W64" s="7"/>
      <c r="X64" s="14"/>
    </row>
    <row r="65" spans="1:24" x14ac:dyDescent="0.25">
      <c r="A65" s="1"/>
      <c r="B65" s="1"/>
      <c r="C65" s="1"/>
      <c r="D65" s="1"/>
      <c r="E65" s="1"/>
      <c r="F65" s="1"/>
      <c r="G65" s="1"/>
      <c r="H65" s="6"/>
      <c r="I65" s="7"/>
      <c r="J65" s="7"/>
      <c r="K65" s="7"/>
      <c r="L65" s="7"/>
      <c r="M65" s="7"/>
      <c r="N65" s="6"/>
      <c r="O65" s="7"/>
      <c r="P65" s="7"/>
      <c r="Q65" s="7"/>
      <c r="R65" s="7"/>
      <c r="S65" s="6"/>
      <c r="T65" s="7"/>
      <c r="U65" s="7"/>
      <c r="V65" s="7"/>
      <c r="W65" s="7"/>
      <c r="X65" s="14"/>
    </row>
    <row r="66" spans="1:24" x14ac:dyDescent="0.25">
      <c r="A66" s="1" t="s">
        <v>63</v>
      </c>
      <c r="B66" s="1">
        <v>535</v>
      </c>
      <c r="C66" s="1" t="s">
        <v>33</v>
      </c>
      <c r="D66" s="1" t="s">
        <v>34</v>
      </c>
      <c r="E66" s="1" t="s">
        <v>34</v>
      </c>
      <c r="F66" s="2" t="s">
        <v>15</v>
      </c>
      <c r="G66" s="1">
        <v>1</v>
      </c>
      <c r="H66" s="6">
        <v>45716</v>
      </c>
      <c r="I66" s="8">
        <v>200</v>
      </c>
      <c r="J66" s="7"/>
      <c r="K66" s="7"/>
      <c r="L66" s="7"/>
      <c r="M66" s="7"/>
      <c r="N66" s="6">
        <v>45716</v>
      </c>
      <c r="O66" s="7">
        <v>4</v>
      </c>
      <c r="P66" s="7">
        <v>4</v>
      </c>
      <c r="Q66" s="7">
        <v>4</v>
      </c>
      <c r="R66" s="7" t="s">
        <v>15</v>
      </c>
      <c r="S66" s="6"/>
      <c r="T66" s="7"/>
      <c r="U66" s="7"/>
      <c r="V66" s="7"/>
      <c r="W66" s="7"/>
      <c r="X66" s="14"/>
    </row>
    <row r="67" spans="1:24" x14ac:dyDescent="0.25">
      <c r="A67" s="1" t="s">
        <v>63</v>
      </c>
      <c r="B67" s="1">
        <v>535</v>
      </c>
      <c r="C67" s="1" t="s">
        <v>33</v>
      </c>
      <c r="D67" s="1" t="s">
        <v>34</v>
      </c>
      <c r="E67" s="1" t="s">
        <v>34</v>
      </c>
      <c r="F67" s="2" t="s">
        <v>15</v>
      </c>
      <c r="G67" s="1">
        <v>2</v>
      </c>
      <c r="H67" s="6">
        <v>45737</v>
      </c>
      <c r="I67" s="7">
        <v>82</v>
      </c>
      <c r="J67" s="7"/>
      <c r="K67" s="7"/>
      <c r="L67" s="7"/>
      <c r="M67" s="7"/>
      <c r="N67" s="6">
        <v>45737</v>
      </c>
      <c r="O67" s="7">
        <v>8</v>
      </c>
      <c r="P67" s="7">
        <v>8</v>
      </c>
      <c r="Q67" s="7">
        <v>8</v>
      </c>
      <c r="R67" s="7" t="s">
        <v>15</v>
      </c>
      <c r="S67" s="6"/>
      <c r="T67" s="7"/>
      <c r="U67" s="7"/>
      <c r="V67" s="7"/>
      <c r="W67" s="7"/>
      <c r="X67" s="14"/>
    </row>
    <row r="68" spans="1:24" x14ac:dyDescent="0.25">
      <c r="A68" s="1" t="s">
        <v>63</v>
      </c>
      <c r="B68" s="1">
        <v>535</v>
      </c>
      <c r="C68" s="1" t="s">
        <v>33</v>
      </c>
      <c r="D68" s="1" t="s">
        <v>34</v>
      </c>
      <c r="E68" s="1" t="s">
        <v>34</v>
      </c>
      <c r="F68" s="2" t="s">
        <v>15</v>
      </c>
      <c r="G68" s="1">
        <v>3</v>
      </c>
      <c r="H68" s="6">
        <v>45746</v>
      </c>
      <c r="I68" s="7">
        <v>11</v>
      </c>
      <c r="J68" s="7"/>
      <c r="K68" s="7"/>
      <c r="L68" s="7"/>
      <c r="M68" s="7"/>
      <c r="N68" s="6">
        <v>45746</v>
      </c>
      <c r="O68" s="7">
        <v>4</v>
      </c>
      <c r="P68" s="7">
        <v>4</v>
      </c>
      <c r="Q68" s="7">
        <v>4</v>
      </c>
      <c r="R68" s="7" t="s">
        <v>15</v>
      </c>
      <c r="S68" s="6"/>
      <c r="T68" s="7"/>
      <c r="U68" s="7"/>
      <c r="V68" s="7"/>
      <c r="W68" s="7"/>
      <c r="X68" s="14"/>
    </row>
    <row r="69" spans="1:24" x14ac:dyDescent="0.25">
      <c r="A69" s="1"/>
      <c r="B69" s="1"/>
      <c r="C69" s="1"/>
      <c r="D69" s="1"/>
      <c r="E69" s="1"/>
      <c r="F69" s="1"/>
      <c r="G69" s="1"/>
      <c r="H69" s="6"/>
      <c r="I69" s="7"/>
      <c r="J69" s="7"/>
      <c r="K69" s="7"/>
      <c r="L69" s="7"/>
      <c r="M69" s="7"/>
      <c r="N69" s="6"/>
      <c r="O69" s="7"/>
      <c r="P69" s="7"/>
      <c r="Q69" s="7"/>
      <c r="R69" s="7"/>
      <c r="S69" s="6"/>
      <c r="T69" s="7"/>
      <c r="U69" s="7"/>
      <c r="V69" s="7"/>
      <c r="W69" s="7"/>
      <c r="X69" s="14"/>
    </row>
    <row r="70" spans="1:24" x14ac:dyDescent="0.25">
      <c r="A70" s="1" t="s">
        <v>64</v>
      </c>
      <c r="B70" s="1" t="s">
        <v>65</v>
      </c>
      <c r="C70" s="1" t="s">
        <v>43</v>
      </c>
      <c r="D70" s="2" t="s">
        <v>15</v>
      </c>
      <c r="E70" s="1" t="s">
        <v>34</v>
      </c>
      <c r="F70" s="2" t="s">
        <v>15</v>
      </c>
      <c r="G70" s="1">
        <v>1</v>
      </c>
      <c r="H70" s="6">
        <v>45716</v>
      </c>
      <c r="I70" s="8">
        <v>200</v>
      </c>
      <c r="J70" s="18">
        <v>4</v>
      </c>
      <c r="K70" s="18">
        <v>4</v>
      </c>
      <c r="L70" s="18">
        <v>4</v>
      </c>
      <c r="M70" s="7" t="s">
        <v>15</v>
      </c>
      <c r="N70" s="6">
        <v>45716</v>
      </c>
      <c r="O70" s="7">
        <v>4</v>
      </c>
      <c r="P70" s="7">
        <v>4</v>
      </c>
      <c r="Q70" s="7">
        <v>4</v>
      </c>
      <c r="R70" s="7" t="s">
        <v>15</v>
      </c>
      <c r="S70" s="6"/>
      <c r="T70" s="7"/>
      <c r="U70" s="7"/>
      <c r="V70" s="7"/>
      <c r="W70" s="7"/>
      <c r="X70" s="14"/>
    </row>
    <row r="71" spans="1:24" x14ac:dyDescent="0.25">
      <c r="A71" s="1" t="s">
        <v>64</v>
      </c>
      <c r="B71" s="1" t="s">
        <v>65</v>
      </c>
      <c r="C71" s="1" t="s">
        <v>43</v>
      </c>
      <c r="D71" s="2" t="s">
        <v>15</v>
      </c>
      <c r="E71" s="1" t="s">
        <v>34</v>
      </c>
      <c r="F71" s="2" t="s">
        <v>15</v>
      </c>
      <c r="G71" s="1">
        <v>2</v>
      </c>
      <c r="H71" s="6">
        <v>45737</v>
      </c>
      <c r="I71" s="7">
        <v>49</v>
      </c>
      <c r="J71" s="18">
        <v>8</v>
      </c>
      <c r="K71" s="18">
        <v>8</v>
      </c>
      <c r="L71" s="18">
        <v>8</v>
      </c>
      <c r="M71" s="7" t="s">
        <v>15</v>
      </c>
      <c r="N71" s="6">
        <v>45737</v>
      </c>
      <c r="O71" s="7">
        <v>16</v>
      </c>
      <c r="P71" s="7">
        <v>16</v>
      </c>
      <c r="Q71" s="7">
        <v>16</v>
      </c>
      <c r="R71" s="7" t="s">
        <v>15</v>
      </c>
      <c r="S71" s="6"/>
      <c r="T71" s="7"/>
      <c r="U71" s="7"/>
      <c r="V71" s="7"/>
      <c r="W71" s="7"/>
      <c r="X71" s="14"/>
    </row>
    <row r="72" spans="1:24" x14ac:dyDescent="0.25">
      <c r="A72" s="1" t="s">
        <v>64</v>
      </c>
      <c r="B72" s="1" t="s">
        <v>65</v>
      </c>
      <c r="C72" s="1" t="s">
        <v>43</v>
      </c>
      <c r="D72" s="2" t="s">
        <v>15</v>
      </c>
      <c r="E72" s="1" t="s">
        <v>34</v>
      </c>
      <c r="F72" s="2" t="s">
        <v>15</v>
      </c>
      <c r="G72" s="1">
        <v>3</v>
      </c>
      <c r="H72" s="6">
        <v>45746</v>
      </c>
      <c r="I72" s="8">
        <v>2</v>
      </c>
      <c r="J72" s="18">
        <v>16</v>
      </c>
      <c r="K72" s="18">
        <v>16</v>
      </c>
      <c r="L72" s="18">
        <v>16</v>
      </c>
      <c r="M72" s="7" t="s">
        <v>15</v>
      </c>
      <c r="N72" s="6">
        <v>45746</v>
      </c>
      <c r="O72" s="7">
        <v>4</v>
      </c>
      <c r="P72" s="7">
        <v>4</v>
      </c>
      <c r="Q72" s="7">
        <v>4</v>
      </c>
      <c r="R72" s="7" t="s">
        <v>15</v>
      </c>
      <c r="S72" s="6"/>
      <c r="T72" s="7"/>
      <c r="U72" s="7"/>
      <c r="V72" s="7"/>
      <c r="W72" s="7"/>
      <c r="X72" s="14"/>
    </row>
    <row r="73" spans="1:24" x14ac:dyDescent="0.25">
      <c r="A73" s="1" t="s">
        <v>64</v>
      </c>
      <c r="B73" s="1"/>
      <c r="C73" s="1"/>
      <c r="D73" s="2"/>
      <c r="E73" s="1"/>
      <c r="F73" s="2"/>
      <c r="G73" s="1"/>
      <c r="H73" s="6">
        <v>45838</v>
      </c>
      <c r="I73" s="8">
        <v>23</v>
      </c>
      <c r="J73" s="18">
        <v>128</v>
      </c>
      <c r="K73" s="18">
        <v>128</v>
      </c>
      <c r="L73" s="18">
        <v>128</v>
      </c>
      <c r="M73" s="7" t="s">
        <v>15</v>
      </c>
      <c r="N73" s="6" t="s">
        <v>91</v>
      </c>
      <c r="O73" s="6" t="s">
        <v>91</v>
      </c>
      <c r="P73" s="6" t="s">
        <v>91</v>
      </c>
      <c r="Q73" s="6" t="s">
        <v>91</v>
      </c>
      <c r="R73" s="6" t="s">
        <v>91</v>
      </c>
      <c r="S73" s="6"/>
      <c r="T73" s="6"/>
      <c r="U73" s="6"/>
      <c r="V73" s="6"/>
      <c r="W73" s="6"/>
      <c r="X73" s="14"/>
    </row>
    <row r="74" spans="1:24" x14ac:dyDescent="0.25">
      <c r="A74" s="1" t="s">
        <v>64</v>
      </c>
      <c r="B74" s="1"/>
      <c r="C74" s="1"/>
      <c r="D74" s="2"/>
      <c r="E74" s="1"/>
      <c r="F74" s="2"/>
      <c r="G74" s="1"/>
      <c r="H74" s="6">
        <v>45840</v>
      </c>
      <c r="I74" s="8">
        <v>93</v>
      </c>
      <c r="J74" s="18">
        <v>128</v>
      </c>
      <c r="K74" s="18">
        <v>128</v>
      </c>
      <c r="L74" s="18">
        <v>128</v>
      </c>
      <c r="M74" s="7" t="s">
        <v>15</v>
      </c>
      <c r="N74" s="6" t="s">
        <v>91</v>
      </c>
      <c r="O74" s="6" t="s">
        <v>91</v>
      </c>
      <c r="P74" s="6" t="s">
        <v>91</v>
      </c>
      <c r="Q74" s="6" t="s">
        <v>91</v>
      </c>
      <c r="R74" s="6" t="s">
        <v>91</v>
      </c>
      <c r="S74" s="6"/>
      <c r="T74" s="6"/>
      <c r="U74" s="6"/>
      <c r="V74" s="6"/>
      <c r="W74" s="6"/>
      <c r="X74" s="14"/>
    </row>
    <row r="75" spans="1:24" x14ac:dyDescent="0.25">
      <c r="A75" s="1"/>
      <c r="B75" s="1"/>
      <c r="C75" s="1"/>
      <c r="D75" s="1"/>
      <c r="E75" s="1"/>
      <c r="F75" s="1"/>
      <c r="G75" s="1"/>
      <c r="H75" s="6"/>
      <c r="I75" s="7"/>
      <c r="J75" s="7"/>
      <c r="K75" s="7"/>
      <c r="L75" s="7"/>
      <c r="M75" s="7"/>
      <c r="N75" s="6"/>
      <c r="O75" s="7"/>
      <c r="P75" s="7"/>
      <c r="Q75" s="7"/>
      <c r="R75" s="7"/>
      <c r="S75" s="6"/>
      <c r="T75" s="7"/>
      <c r="U75" s="7"/>
      <c r="V75" s="7"/>
      <c r="W75" s="7"/>
      <c r="X75" s="14"/>
    </row>
    <row r="76" spans="1:24" x14ac:dyDescent="0.25">
      <c r="A76" s="1" t="s">
        <v>66</v>
      </c>
      <c r="B76" s="1">
        <v>8658</v>
      </c>
      <c r="C76" s="1" t="s">
        <v>43</v>
      </c>
      <c r="D76" s="2" t="s">
        <v>15</v>
      </c>
      <c r="E76" s="1" t="s">
        <v>34</v>
      </c>
      <c r="F76" s="2" t="s">
        <v>15</v>
      </c>
      <c r="G76" s="1">
        <v>1</v>
      </c>
      <c r="H76" s="6">
        <v>45716</v>
      </c>
      <c r="I76" s="7">
        <v>33</v>
      </c>
      <c r="J76" s="7">
        <v>32</v>
      </c>
      <c r="K76" s="7">
        <v>32</v>
      </c>
      <c r="L76" s="7">
        <v>32</v>
      </c>
      <c r="M76" s="7" t="s">
        <v>15</v>
      </c>
      <c r="N76" s="6">
        <v>45716</v>
      </c>
      <c r="O76" s="18">
        <v>8</v>
      </c>
      <c r="P76" s="18">
        <v>8</v>
      </c>
      <c r="Q76" s="18">
        <v>8</v>
      </c>
      <c r="R76" s="7" t="s">
        <v>15</v>
      </c>
      <c r="S76" s="6"/>
      <c r="T76" s="7"/>
      <c r="U76" s="7"/>
      <c r="V76" s="7"/>
      <c r="W76" s="7"/>
      <c r="X76" s="14"/>
    </row>
    <row r="77" spans="1:24" x14ac:dyDescent="0.25">
      <c r="A77" s="1" t="s">
        <v>66</v>
      </c>
      <c r="B77" s="1">
        <v>8658</v>
      </c>
      <c r="C77" s="1" t="s">
        <v>43</v>
      </c>
      <c r="D77" s="2" t="s">
        <v>15</v>
      </c>
      <c r="E77" s="1" t="s">
        <v>34</v>
      </c>
      <c r="F77" s="2" t="s">
        <v>15</v>
      </c>
      <c r="G77" s="1">
        <v>2</v>
      </c>
      <c r="H77" s="6">
        <v>45737</v>
      </c>
      <c r="I77" s="7">
        <v>66</v>
      </c>
      <c r="J77" s="7">
        <v>64</v>
      </c>
      <c r="K77" s="7">
        <v>64</v>
      </c>
      <c r="L77" s="7">
        <v>64</v>
      </c>
      <c r="M77" s="7" t="s">
        <v>15</v>
      </c>
      <c r="N77" s="6">
        <v>45737</v>
      </c>
      <c r="O77" s="18">
        <v>32</v>
      </c>
      <c r="P77" s="18">
        <v>32</v>
      </c>
      <c r="Q77" s="18">
        <v>32</v>
      </c>
      <c r="R77" s="7" t="s">
        <v>15</v>
      </c>
      <c r="S77" s="6"/>
      <c r="T77" s="7"/>
      <c r="U77" s="7"/>
      <c r="V77" s="7"/>
      <c r="W77" s="7"/>
      <c r="X77" s="14"/>
    </row>
    <row r="78" spans="1:24" x14ac:dyDescent="0.25">
      <c r="A78" s="1" t="s">
        <v>66</v>
      </c>
      <c r="B78" s="1">
        <v>8658</v>
      </c>
      <c r="C78" s="1" t="s">
        <v>43</v>
      </c>
      <c r="D78" s="2" t="s">
        <v>15</v>
      </c>
      <c r="E78" s="1" t="s">
        <v>34</v>
      </c>
      <c r="F78" s="2" t="s">
        <v>15</v>
      </c>
      <c r="G78" s="1">
        <v>3</v>
      </c>
      <c r="H78" s="6">
        <v>45746</v>
      </c>
      <c r="I78" s="8">
        <v>2</v>
      </c>
      <c r="J78" s="7">
        <v>64</v>
      </c>
      <c r="K78" s="7">
        <v>64</v>
      </c>
      <c r="L78" s="7">
        <v>64</v>
      </c>
      <c r="M78" s="7" t="s">
        <v>15</v>
      </c>
      <c r="N78" s="6">
        <v>45746</v>
      </c>
      <c r="O78" s="18">
        <v>16</v>
      </c>
      <c r="P78" s="18">
        <v>16</v>
      </c>
      <c r="Q78" s="18">
        <v>16</v>
      </c>
      <c r="R78" s="7" t="s">
        <v>15</v>
      </c>
      <c r="S78" s="6"/>
      <c r="T78" s="7"/>
      <c r="U78" s="7"/>
      <c r="V78" s="7"/>
      <c r="W78" s="7"/>
      <c r="X78" s="14"/>
    </row>
    <row r="79" spans="1:24" x14ac:dyDescent="0.25">
      <c r="A79" s="1" t="s">
        <v>66</v>
      </c>
      <c r="B79" s="1"/>
      <c r="C79" s="1"/>
      <c r="D79" s="2"/>
      <c r="E79" s="1"/>
      <c r="F79" s="2"/>
      <c r="G79" s="1"/>
      <c r="H79" s="6">
        <v>45810</v>
      </c>
      <c r="I79" s="8">
        <v>7</v>
      </c>
      <c r="J79" s="6" t="s">
        <v>91</v>
      </c>
      <c r="K79" s="6" t="s">
        <v>91</v>
      </c>
      <c r="L79" s="6" t="s">
        <v>91</v>
      </c>
      <c r="M79" s="6" t="s">
        <v>91</v>
      </c>
      <c r="N79" s="6">
        <v>45810</v>
      </c>
      <c r="O79" s="18">
        <v>16</v>
      </c>
      <c r="P79" s="18">
        <v>16</v>
      </c>
      <c r="Q79" s="18">
        <v>16</v>
      </c>
      <c r="R79" s="7" t="s">
        <v>15</v>
      </c>
      <c r="S79" s="6"/>
      <c r="T79" s="6"/>
      <c r="U79" s="6"/>
      <c r="V79" s="6"/>
      <c r="W79" s="6"/>
      <c r="X79" s="14"/>
    </row>
    <row r="80" spans="1:24" x14ac:dyDescent="0.25">
      <c r="A80" s="1"/>
      <c r="B80" s="1"/>
      <c r="C80" s="1"/>
      <c r="D80" s="1"/>
      <c r="E80" s="1"/>
      <c r="F80" s="1"/>
      <c r="G80" s="1"/>
      <c r="H80" s="6"/>
      <c r="I80" s="7"/>
      <c r="J80" s="7"/>
      <c r="K80" s="7"/>
      <c r="L80" s="7"/>
      <c r="M80" s="7"/>
      <c r="N80" s="6"/>
      <c r="O80" s="7"/>
      <c r="P80" s="7"/>
      <c r="Q80" s="7"/>
      <c r="R80" s="7"/>
      <c r="S80" s="6"/>
      <c r="T80" s="7"/>
      <c r="U80" s="7"/>
      <c r="V80" s="7"/>
      <c r="W80" s="7"/>
      <c r="X80" s="14"/>
    </row>
    <row r="81" spans="1:24" x14ac:dyDescent="0.25">
      <c r="A81" s="1" t="s">
        <v>67</v>
      </c>
      <c r="B81" s="1">
        <v>27</v>
      </c>
      <c r="C81" s="1" t="s">
        <v>68</v>
      </c>
      <c r="D81" s="1" t="s">
        <v>34</v>
      </c>
      <c r="E81" s="1" t="s">
        <v>34</v>
      </c>
      <c r="F81" s="2" t="s">
        <v>15</v>
      </c>
      <c r="G81" s="1">
        <v>1</v>
      </c>
      <c r="H81" s="6">
        <v>45716</v>
      </c>
      <c r="I81" s="7">
        <v>88</v>
      </c>
      <c r="J81" s="7"/>
      <c r="K81" s="7"/>
      <c r="L81" s="7"/>
      <c r="M81" s="7"/>
      <c r="N81" s="6">
        <v>45716</v>
      </c>
      <c r="O81" s="7">
        <v>8</v>
      </c>
      <c r="P81" s="7">
        <v>8</v>
      </c>
      <c r="Q81" s="7">
        <v>8</v>
      </c>
      <c r="R81" s="7" t="s">
        <v>15</v>
      </c>
      <c r="S81" s="6"/>
      <c r="T81" s="7"/>
      <c r="U81" s="7"/>
      <c r="V81" s="7"/>
      <c r="W81" s="7"/>
      <c r="X81" s="14"/>
    </row>
    <row r="82" spans="1:24" x14ac:dyDescent="0.25">
      <c r="A82" s="1" t="s">
        <v>67</v>
      </c>
      <c r="B82" s="1">
        <v>27</v>
      </c>
      <c r="C82" s="1" t="s">
        <v>68</v>
      </c>
      <c r="D82" s="1" t="s">
        <v>34</v>
      </c>
      <c r="E82" s="1" t="s">
        <v>34</v>
      </c>
      <c r="F82" s="2" t="s">
        <v>15</v>
      </c>
      <c r="G82" s="1">
        <v>2</v>
      </c>
      <c r="H82" s="6">
        <v>45737</v>
      </c>
      <c r="I82" s="7">
        <v>84</v>
      </c>
      <c r="J82" s="7"/>
      <c r="K82" s="7"/>
      <c r="L82" s="7"/>
      <c r="M82" s="7"/>
      <c r="N82" s="6">
        <v>45737</v>
      </c>
      <c r="O82" s="7">
        <v>8</v>
      </c>
      <c r="P82" s="7">
        <v>8</v>
      </c>
      <c r="Q82" s="7">
        <v>8</v>
      </c>
      <c r="R82" s="7" t="s">
        <v>15</v>
      </c>
      <c r="S82" s="6"/>
      <c r="T82" s="7"/>
      <c r="U82" s="7"/>
      <c r="V82" s="7"/>
      <c r="W82" s="7"/>
      <c r="X82" s="14"/>
    </row>
    <row r="83" spans="1:24" x14ac:dyDescent="0.25">
      <c r="A83" s="1" t="s">
        <v>67</v>
      </c>
      <c r="B83" s="1">
        <v>27</v>
      </c>
      <c r="C83" s="1" t="s">
        <v>68</v>
      </c>
      <c r="D83" s="1" t="s">
        <v>34</v>
      </c>
      <c r="E83" s="1" t="s">
        <v>34</v>
      </c>
      <c r="F83" s="2" t="s">
        <v>15</v>
      </c>
      <c r="G83" s="1">
        <v>3</v>
      </c>
      <c r="H83" s="6">
        <v>45746</v>
      </c>
      <c r="I83" s="8">
        <v>7</v>
      </c>
      <c r="J83" s="7"/>
      <c r="K83" s="7"/>
      <c r="L83" s="7"/>
      <c r="M83" s="7"/>
      <c r="N83" s="6">
        <v>45746</v>
      </c>
      <c r="O83" s="7">
        <v>8</v>
      </c>
      <c r="P83" s="7">
        <v>8</v>
      </c>
      <c r="Q83" s="7">
        <v>8</v>
      </c>
      <c r="R83" s="7" t="s">
        <v>15</v>
      </c>
      <c r="S83" s="6"/>
      <c r="T83" s="7"/>
      <c r="U83" s="7"/>
      <c r="V83" s="7"/>
      <c r="W83" s="7"/>
      <c r="X83" s="14"/>
    </row>
    <row r="84" spans="1:24" x14ac:dyDescent="0.25">
      <c r="A84" s="1"/>
      <c r="B84" s="1"/>
      <c r="C84" s="1"/>
      <c r="D84" s="1" t="s">
        <v>19</v>
      </c>
      <c r="E84" s="1" t="s">
        <v>20</v>
      </c>
      <c r="F84" s="1" t="s">
        <v>21</v>
      </c>
      <c r="G84" s="1"/>
      <c r="H84" s="6"/>
      <c r="I84" s="7"/>
      <c r="J84" s="7"/>
      <c r="K84" s="7"/>
      <c r="L84" s="7"/>
      <c r="M84" s="7"/>
      <c r="N84" s="6"/>
      <c r="O84" s="7"/>
      <c r="P84" s="7"/>
      <c r="Q84" s="7"/>
      <c r="R84" s="7"/>
      <c r="S84" s="6"/>
      <c r="T84" s="7"/>
      <c r="U84" s="7"/>
      <c r="V84" s="7"/>
      <c r="W84" s="7"/>
      <c r="X84" s="14"/>
    </row>
    <row r="85" spans="1:24" x14ac:dyDescent="0.25">
      <c r="A85" s="1" t="s">
        <v>69</v>
      </c>
      <c r="B85" s="1">
        <v>6964</v>
      </c>
      <c r="C85" s="1" t="s">
        <v>70</v>
      </c>
      <c r="D85" s="2" t="s">
        <v>15</v>
      </c>
      <c r="E85" s="1" t="s">
        <v>34</v>
      </c>
      <c r="F85" s="2" t="s">
        <v>15</v>
      </c>
      <c r="G85" s="1">
        <v>1</v>
      </c>
      <c r="H85" s="6">
        <v>45716</v>
      </c>
      <c r="I85" s="8">
        <v>119</v>
      </c>
      <c r="J85" s="7">
        <v>64</v>
      </c>
      <c r="K85" s="7">
        <v>64</v>
      </c>
      <c r="L85" s="7">
        <v>64</v>
      </c>
      <c r="M85" s="7" t="s">
        <v>15</v>
      </c>
      <c r="N85" s="6">
        <v>45716</v>
      </c>
      <c r="O85" s="7">
        <v>32</v>
      </c>
      <c r="P85" s="7">
        <v>32</v>
      </c>
      <c r="Q85" s="7">
        <v>32</v>
      </c>
      <c r="R85" s="7" t="s">
        <v>15</v>
      </c>
      <c r="S85" s="6"/>
      <c r="T85" s="7"/>
      <c r="U85" s="7"/>
      <c r="V85" s="7"/>
      <c r="W85" s="7"/>
      <c r="X85" s="14"/>
    </row>
    <row r="86" spans="1:24" x14ac:dyDescent="0.25">
      <c r="A86" s="1" t="s">
        <v>69</v>
      </c>
      <c r="B86" s="1">
        <v>6964</v>
      </c>
      <c r="C86" s="1" t="s">
        <v>70</v>
      </c>
      <c r="D86" s="2" t="s">
        <v>15</v>
      </c>
      <c r="E86" s="1" t="s">
        <v>34</v>
      </c>
      <c r="F86" s="2" t="s">
        <v>15</v>
      </c>
      <c r="G86" s="1">
        <v>2</v>
      </c>
      <c r="H86" s="6">
        <v>45737</v>
      </c>
      <c r="I86" s="7">
        <v>46</v>
      </c>
      <c r="J86" s="7">
        <v>16</v>
      </c>
      <c r="K86" s="7">
        <v>16</v>
      </c>
      <c r="L86" s="7">
        <v>16</v>
      </c>
      <c r="M86" s="7" t="s">
        <v>15</v>
      </c>
      <c r="N86" s="6">
        <v>45737</v>
      </c>
      <c r="O86" s="7">
        <v>16</v>
      </c>
      <c r="P86" s="7">
        <v>16</v>
      </c>
      <c r="Q86" s="7">
        <v>16</v>
      </c>
      <c r="R86" s="7" t="s">
        <v>15</v>
      </c>
      <c r="S86" s="6"/>
      <c r="T86" s="7"/>
      <c r="U86" s="7"/>
      <c r="V86" s="7"/>
      <c r="W86" s="7"/>
      <c r="X86" s="14"/>
    </row>
    <row r="87" spans="1:24" x14ac:dyDescent="0.25">
      <c r="A87" s="1" t="s">
        <v>69</v>
      </c>
      <c r="B87" s="1">
        <v>6964</v>
      </c>
      <c r="C87" s="1" t="s">
        <v>70</v>
      </c>
      <c r="D87" s="2" t="s">
        <v>15</v>
      </c>
      <c r="E87" s="1" t="s">
        <v>34</v>
      </c>
      <c r="F87" s="2" t="s">
        <v>15</v>
      </c>
      <c r="G87" s="1">
        <v>3</v>
      </c>
      <c r="H87" s="6">
        <v>45746</v>
      </c>
      <c r="I87" s="8">
        <v>6</v>
      </c>
      <c r="J87" s="7">
        <v>64</v>
      </c>
      <c r="K87" s="7">
        <v>64</v>
      </c>
      <c r="L87" s="7">
        <v>64</v>
      </c>
      <c r="M87" s="7" t="s">
        <v>15</v>
      </c>
      <c r="N87" s="6">
        <v>45746</v>
      </c>
      <c r="O87" s="7">
        <v>16</v>
      </c>
      <c r="P87" s="7">
        <v>16</v>
      </c>
      <c r="Q87" s="7">
        <v>16</v>
      </c>
      <c r="R87" s="7" t="s">
        <v>15</v>
      </c>
      <c r="S87" s="6"/>
      <c r="T87" s="7"/>
      <c r="U87" s="7"/>
      <c r="V87" s="7"/>
      <c r="W87" s="7"/>
      <c r="X87" s="14"/>
    </row>
    <row r="88" spans="1:24" x14ac:dyDescent="0.25">
      <c r="A88" s="1"/>
      <c r="B88" s="1"/>
      <c r="C88" s="1"/>
      <c r="D88" s="1"/>
      <c r="E88" s="1"/>
      <c r="F88" s="1"/>
      <c r="G88" s="1"/>
      <c r="H88" s="6"/>
      <c r="I88" s="7"/>
      <c r="J88" s="7"/>
      <c r="K88" s="7"/>
      <c r="L88" s="7"/>
      <c r="M88" s="7"/>
      <c r="N88" s="6"/>
      <c r="O88" s="7"/>
      <c r="P88" s="7"/>
      <c r="Q88" s="7"/>
      <c r="R88" s="7"/>
      <c r="S88" s="6"/>
      <c r="T88" s="7"/>
      <c r="U88" s="7"/>
      <c r="V88" s="7"/>
      <c r="W88" s="7"/>
      <c r="X88" s="14"/>
    </row>
    <row r="89" spans="1:24" x14ac:dyDescent="0.25">
      <c r="A89" s="1" t="s">
        <v>71</v>
      </c>
      <c r="B89" s="1">
        <v>1919</v>
      </c>
      <c r="C89" s="1" t="s">
        <v>43</v>
      </c>
      <c r="D89" s="2" t="s">
        <v>15</v>
      </c>
      <c r="E89" s="1" t="s">
        <v>34</v>
      </c>
      <c r="F89" s="2" t="s">
        <v>15</v>
      </c>
      <c r="G89" s="1">
        <v>1</v>
      </c>
      <c r="H89" s="6">
        <v>45716</v>
      </c>
      <c r="I89" s="7">
        <v>73</v>
      </c>
      <c r="J89" s="18">
        <v>64</v>
      </c>
      <c r="K89" s="18">
        <v>64</v>
      </c>
      <c r="L89" s="18">
        <v>64</v>
      </c>
      <c r="M89" s="7" t="s">
        <v>15</v>
      </c>
      <c r="N89" s="6">
        <v>45716</v>
      </c>
      <c r="O89" s="7">
        <v>16</v>
      </c>
      <c r="P89" s="7">
        <v>16</v>
      </c>
      <c r="Q89" s="7">
        <v>16</v>
      </c>
      <c r="R89" s="7" t="s">
        <v>15</v>
      </c>
      <c r="S89" s="6"/>
      <c r="T89" s="7"/>
      <c r="U89" s="7"/>
      <c r="V89" s="7"/>
      <c r="W89" s="7"/>
      <c r="X89" s="14"/>
    </row>
    <row r="90" spans="1:24" x14ac:dyDescent="0.25">
      <c r="A90" s="1" t="s">
        <v>71</v>
      </c>
      <c r="B90" s="1">
        <v>1919</v>
      </c>
      <c r="C90" s="1" t="s">
        <v>43</v>
      </c>
      <c r="D90" s="2" t="s">
        <v>15</v>
      </c>
      <c r="E90" s="1" t="s">
        <v>34</v>
      </c>
      <c r="F90" s="2" t="s">
        <v>15</v>
      </c>
      <c r="G90" s="1">
        <v>2</v>
      </c>
      <c r="H90" s="6">
        <v>45737</v>
      </c>
      <c r="I90" s="7">
        <v>54</v>
      </c>
      <c r="J90" s="18">
        <v>4</v>
      </c>
      <c r="K90" s="18">
        <v>4</v>
      </c>
      <c r="L90" s="18">
        <v>4</v>
      </c>
      <c r="M90" s="7" t="s">
        <v>15</v>
      </c>
      <c r="N90" s="6">
        <v>45737</v>
      </c>
      <c r="O90" s="7">
        <v>4</v>
      </c>
      <c r="P90" s="7">
        <v>4</v>
      </c>
      <c r="Q90" s="7">
        <v>4</v>
      </c>
      <c r="R90" s="7" t="s">
        <v>15</v>
      </c>
      <c r="S90" s="6"/>
      <c r="T90" s="7"/>
      <c r="U90" s="7"/>
      <c r="V90" s="7"/>
      <c r="W90" s="7"/>
      <c r="X90" s="14"/>
    </row>
    <row r="91" spans="1:24" x14ac:dyDescent="0.25">
      <c r="A91" s="1" t="s">
        <v>71</v>
      </c>
      <c r="B91" s="1">
        <v>1919</v>
      </c>
      <c r="C91" s="1" t="s">
        <v>43</v>
      </c>
      <c r="D91" s="2" t="s">
        <v>15</v>
      </c>
      <c r="E91" s="1" t="s">
        <v>34</v>
      </c>
      <c r="F91" s="2" t="s">
        <v>15</v>
      </c>
      <c r="G91" s="1">
        <v>3</v>
      </c>
      <c r="H91" s="6">
        <v>45746</v>
      </c>
      <c r="I91" s="7">
        <v>22</v>
      </c>
      <c r="J91" s="18">
        <v>8</v>
      </c>
      <c r="K91" s="18">
        <v>8</v>
      </c>
      <c r="L91" s="18">
        <v>8</v>
      </c>
      <c r="M91" s="7" t="s">
        <v>15</v>
      </c>
      <c r="N91" s="6">
        <v>45746</v>
      </c>
      <c r="O91" s="7">
        <v>4</v>
      </c>
      <c r="P91" s="7">
        <v>4</v>
      </c>
      <c r="Q91" s="7">
        <v>4</v>
      </c>
      <c r="R91" s="7" t="s">
        <v>15</v>
      </c>
      <c r="S91" s="6"/>
      <c r="T91" s="7"/>
      <c r="U91" s="7"/>
      <c r="V91" s="7"/>
      <c r="W91" s="7"/>
      <c r="X91" s="14"/>
    </row>
    <row r="92" spans="1:24" x14ac:dyDescent="0.25">
      <c r="A92" s="1" t="s">
        <v>71</v>
      </c>
      <c r="B92" s="1"/>
      <c r="C92" s="1"/>
      <c r="D92" s="2"/>
      <c r="E92" s="1"/>
      <c r="F92" s="2"/>
      <c r="G92" s="1"/>
      <c r="H92" s="6">
        <v>45838</v>
      </c>
      <c r="I92" s="7">
        <v>33</v>
      </c>
      <c r="J92" s="18">
        <v>128</v>
      </c>
      <c r="K92" s="18">
        <v>128</v>
      </c>
      <c r="L92" s="18">
        <v>128</v>
      </c>
      <c r="M92" s="7" t="s">
        <v>15</v>
      </c>
      <c r="N92" s="6" t="s">
        <v>91</v>
      </c>
      <c r="O92" s="6" t="s">
        <v>91</v>
      </c>
      <c r="P92" s="6" t="s">
        <v>91</v>
      </c>
      <c r="Q92" s="6" t="s">
        <v>91</v>
      </c>
      <c r="R92" s="6" t="s">
        <v>91</v>
      </c>
      <c r="S92" s="6"/>
      <c r="T92" s="6"/>
      <c r="U92" s="6"/>
      <c r="V92" s="6"/>
      <c r="W92" s="6"/>
      <c r="X92" s="14"/>
    </row>
    <row r="93" spans="1:24" x14ac:dyDescent="0.25">
      <c r="A93" s="1" t="s">
        <v>71</v>
      </c>
      <c r="B93" s="1"/>
      <c r="C93" s="1"/>
      <c r="D93" s="2"/>
      <c r="E93" s="1"/>
      <c r="F93" s="2"/>
      <c r="G93" s="1"/>
      <c r="H93" s="6">
        <v>45840</v>
      </c>
      <c r="I93" s="7">
        <v>55</v>
      </c>
      <c r="J93" s="18">
        <v>128</v>
      </c>
      <c r="K93" s="18">
        <v>128</v>
      </c>
      <c r="L93" s="18">
        <v>128</v>
      </c>
      <c r="M93" s="7" t="s">
        <v>15</v>
      </c>
      <c r="N93" s="6" t="s">
        <v>91</v>
      </c>
      <c r="O93" s="6" t="s">
        <v>91</v>
      </c>
      <c r="P93" s="6" t="s">
        <v>91</v>
      </c>
      <c r="Q93" s="6" t="s">
        <v>91</v>
      </c>
      <c r="R93" s="6" t="s">
        <v>91</v>
      </c>
      <c r="S93" s="6"/>
      <c r="T93" s="6"/>
      <c r="U93" s="6"/>
      <c r="V93" s="6"/>
      <c r="W93" s="6"/>
      <c r="X93" s="14"/>
    </row>
    <row r="94" spans="1:24" x14ac:dyDescent="0.25">
      <c r="A94" s="1"/>
      <c r="B94" s="1"/>
      <c r="C94" s="1"/>
      <c r="D94" s="1"/>
      <c r="E94" s="1"/>
      <c r="F94" s="1"/>
      <c r="G94" s="1"/>
      <c r="H94" s="6"/>
      <c r="I94" s="7"/>
      <c r="J94" s="7"/>
      <c r="K94" s="7"/>
      <c r="L94" s="7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14"/>
    </row>
    <row r="95" spans="1:24" x14ac:dyDescent="0.25">
      <c r="A95" s="1" t="s">
        <v>94</v>
      </c>
      <c r="B95" s="1"/>
      <c r="C95" s="1"/>
      <c r="D95" s="1"/>
      <c r="E95" s="1"/>
      <c r="F95" s="1"/>
      <c r="G95" s="1"/>
      <c r="H95" s="6">
        <v>45835</v>
      </c>
      <c r="I95" s="7">
        <v>27</v>
      </c>
      <c r="J95" s="7" t="s">
        <v>95</v>
      </c>
      <c r="K95" s="7" t="s">
        <v>95</v>
      </c>
      <c r="L95" s="7" t="s">
        <v>95</v>
      </c>
      <c r="M95" s="7" t="s">
        <v>15</v>
      </c>
      <c r="N95" s="6" t="s">
        <v>91</v>
      </c>
      <c r="O95" s="6" t="s">
        <v>91</v>
      </c>
      <c r="P95" s="6" t="s">
        <v>91</v>
      </c>
      <c r="Q95" s="6" t="s">
        <v>91</v>
      </c>
      <c r="R95" s="6" t="s">
        <v>91</v>
      </c>
      <c r="S95" s="6"/>
      <c r="T95" s="6"/>
      <c r="U95" s="6"/>
      <c r="V95" s="6"/>
      <c r="W95" s="6"/>
      <c r="X95" s="14"/>
    </row>
    <row r="96" spans="1:24" x14ac:dyDescent="0.25">
      <c r="A96" s="1" t="s">
        <v>94</v>
      </c>
      <c r="B96" s="1"/>
      <c r="C96" s="1"/>
      <c r="D96" s="1"/>
      <c r="E96" s="1"/>
      <c r="F96" s="1"/>
      <c r="G96" s="1"/>
      <c r="H96" s="6">
        <v>45838</v>
      </c>
      <c r="I96" s="7">
        <v>34</v>
      </c>
      <c r="J96" s="7">
        <v>64</v>
      </c>
      <c r="K96" s="7">
        <v>64</v>
      </c>
      <c r="L96" s="7">
        <v>64</v>
      </c>
      <c r="M96" s="7" t="s">
        <v>15</v>
      </c>
      <c r="N96" s="6" t="s">
        <v>91</v>
      </c>
      <c r="O96" s="6" t="s">
        <v>91</v>
      </c>
      <c r="P96" s="6" t="s">
        <v>91</v>
      </c>
      <c r="Q96" s="6" t="s">
        <v>91</v>
      </c>
      <c r="R96" s="6" t="s">
        <v>91</v>
      </c>
      <c r="S96" s="6"/>
      <c r="T96" s="6"/>
      <c r="U96" s="6"/>
      <c r="V96" s="6"/>
      <c r="W96" s="6"/>
      <c r="X96" s="14"/>
    </row>
    <row r="97" spans="1:24" x14ac:dyDescent="0.25">
      <c r="A97" s="1" t="s">
        <v>94</v>
      </c>
      <c r="B97" s="1"/>
      <c r="C97" s="1"/>
      <c r="D97" s="1"/>
      <c r="E97" s="1"/>
      <c r="F97" s="1"/>
      <c r="G97" s="1"/>
      <c r="H97" s="6">
        <v>45840</v>
      </c>
      <c r="I97" s="7">
        <v>7</v>
      </c>
      <c r="J97" s="7">
        <v>64</v>
      </c>
      <c r="K97" s="7">
        <v>64</v>
      </c>
      <c r="L97" s="7">
        <v>64</v>
      </c>
      <c r="M97" s="7" t="s">
        <v>15</v>
      </c>
      <c r="N97" s="6" t="s">
        <v>91</v>
      </c>
      <c r="O97" s="6" t="s">
        <v>91</v>
      </c>
      <c r="P97" s="6" t="s">
        <v>91</v>
      </c>
      <c r="Q97" s="6" t="s">
        <v>91</v>
      </c>
      <c r="R97" s="6" t="s">
        <v>91</v>
      </c>
      <c r="S97" s="6"/>
      <c r="T97" s="6"/>
      <c r="U97" s="6"/>
      <c r="V97" s="6"/>
      <c r="W97" s="6"/>
      <c r="X97" s="14"/>
    </row>
    <row r="98" spans="1:24" x14ac:dyDescent="0.25">
      <c r="A98" s="1" t="s">
        <v>94</v>
      </c>
      <c r="B98" s="1"/>
      <c r="C98" s="1"/>
      <c r="D98" s="1"/>
      <c r="E98" s="1"/>
      <c r="F98" s="1"/>
      <c r="G98" s="1"/>
      <c r="H98" s="6">
        <v>45841</v>
      </c>
      <c r="I98" s="7">
        <v>150</v>
      </c>
      <c r="J98" s="7">
        <v>128</v>
      </c>
      <c r="K98" s="7">
        <v>128</v>
      </c>
      <c r="L98" s="7">
        <v>128</v>
      </c>
      <c r="M98" s="7" t="s">
        <v>15</v>
      </c>
      <c r="N98" s="6" t="s">
        <v>91</v>
      </c>
      <c r="O98" s="6" t="s">
        <v>91</v>
      </c>
      <c r="P98" s="6" t="s">
        <v>91</v>
      </c>
      <c r="Q98" s="6" t="s">
        <v>91</v>
      </c>
      <c r="R98" s="6" t="s">
        <v>91</v>
      </c>
      <c r="S98" s="6"/>
      <c r="T98" s="6"/>
      <c r="U98" s="6"/>
      <c r="V98" s="6"/>
      <c r="W98" s="6"/>
      <c r="X98" s="14"/>
    </row>
    <row r="99" spans="1:24" x14ac:dyDescent="0.25">
      <c r="A99" s="1"/>
      <c r="B99" s="1"/>
      <c r="C99" s="1"/>
      <c r="D99" s="1"/>
      <c r="E99" s="1"/>
      <c r="F99" s="1"/>
      <c r="G99" s="1"/>
      <c r="H99" s="6"/>
      <c r="I99" s="7"/>
      <c r="J99" s="7"/>
      <c r="K99" s="7"/>
      <c r="L99" s="7"/>
      <c r="M99" s="7"/>
      <c r="N99" s="6"/>
      <c r="O99" s="7"/>
      <c r="P99" s="7"/>
      <c r="Q99" s="7"/>
      <c r="R99" s="7"/>
      <c r="S99" s="6"/>
      <c r="T99" s="7"/>
      <c r="U99" s="7"/>
      <c r="V99" s="7"/>
      <c r="W99" s="7"/>
      <c r="X99" s="14"/>
    </row>
    <row r="100" spans="1:24" x14ac:dyDescent="0.25">
      <c r="A100" s="1" t="s">
        <v>72</v>
      </c>
      <c r="B100" s="1">
        <v>8187</v>
      </c>
      <c r="C100" s="1" t="s">
        <v>54</v>
      </c>
      <c r="D100" s="2" t="s">
        <v>15</v>
      </c>
      <c r="E100" s="1" t="s">
        <v>34</v>
      </c>
      <c r="F100" s="1" t="s">
        <v>34</v>
      </c>
      <c r="G100" s="1">
        <v>1</v>
      </c>
      <c r="H100" s="6">
        <v>45716</v>
      </c>
      <c r="I100" s="7">
        <v>89</v>
      </c>
      <c r="J100" s="7">
        <v>16</v>
      </c>
      <c r="K100" s="7">
        <v>16</v>
      </c>
      <c r="L100" s="7">
        <v>16</v>
      </c>
      <c r="M100" s="7" t="s">
        <v>15</v>
      </c>
      <c r="N100" s="6">
        <v>45716</v>
      </c>
      <c r="O100" s="7"/>
      <c r="P100" s="7"/>
      <c r="Q100" s="7"/>
      <c r="R100" s="7"/>
      <c r="S100" s="6"/>
      <c r="T100" s="7"/>
      <c r="U100" s="7"/>
      <c r="V100" s="7"/>
      <c r="W100" s="7"/>
      <c r="X100" s="14"/>
    </row>
    <row r="101" spans="1:24" x14ac:dyDescent="0.25">
      <c r="A101" s="1" t="s">
        <v>72</v>
      </c>
      <c r="B101" s="1">
        <v>8187</v>
      </c>
      <c r="C101" s="1" t="s">
        <v>54</v>
      </c>
      <c r="D101" s="2" t="s">
        <v>15</v>
      </c>
      <c r="E101" s="1" t="s">
        <v>34</v>
      </c>
      <c r="F101" s="1" t="s">
        <v>34</v>
      </c>
      <c r="G101" s="1">
        <v>2</v>
      </c>
      <c r="H101" s="6">
        <v>45737</v>
      </c>
      <c r="I101" s="7">
        <v>71</v>
      </c>
      <c r="J101" s="7">
        <v>32</v>
      </c>
      <c r="K101" s="7">
        <v>32</v>
      </c>
      <c r="L101" s="7">
        <v>32</v>
      </c>
      <c r="M101" s="7" t="s">
        <v>15</v>
      </c>
      <c r="N101" s="6">
        <v>45737</v>
      </c>
      <c r="O101" s="7"/>
      <c r="P101" s="7"/>
      <c r="Q101" s="7"/>
      <c r="R101" s="7"/>
      <c r="S101" s="6"/>
      <c r="T101" s="7"/>
      <c r="U101" s="7"/>
      <c r="V101" s="7"/>
      <c r="W101" s="7"/>
      <c r="X101" s="14"/>
    </row>
    <row r="102" spans="1:24" x14ac:dyDescent="0.25">
      <c r="A102" s="1" t="s">
        <v>72</v>
      </c>
      <c r="B102" s="1">
        <v>8187</v>
      </c>
      <c r="C102" s="1" t="s">
        <v>54</v>
      </c>
      <c r="D102" s="2" t="s">
        <v>15</v>
      </c>
      <c r="E102" s="1" t="s">
        <v>34</v>
      </c>
      <c r="F102" s="1" t="s">
        <v>34</v>
      </c>
      <c r="G102" s="1">
        <v>3</v>
      </c>
      <c r="H102" s="6">
        <v>45746</v>
      </c>
      <c r="I102" s="8">
        <v>3</v>
      </c>
      <c r="J102" s="7">
        <v>32</v>
      </c>
      <c r="K102" s="7">
        <v>32</v>
      </c>
      <c r="L102" s="7">
        <v>32</v>
      </c>
      <c r="M102" s="7" t="s">
        <v>15</v>
      </c>
      <c r="N102" s="6">
        <v>45746</v>
      </c>
      <c r="O102" s="7"/>
      <c r="P102" s="7"/>
      <c r="Q102" s="7"/>
      <c r="R102" s="7"/>
      <c r="S102" s="6"/>
      <c r="T102" s="7"/>
      <c r="U102" s="7"/>
      <c r="V102" s="7"/>
      <c r="W102" s="7"/>
      <c r="X102" s="14"/>
    </row>
    <row r="103" spans="1:24" x14ac:dyDescent="0.25">
      <c r="A103" s="1"/>
      <c r="B103" s="1"/>
      <c r="C103" s="1"/>
      <c r="D103" s="1"/>
      <c r="E103" s="1"/>
      <c r="F103" s="1"/>
      <c r="G103" s="1"/>
      <c r="H103" s="6"/>
      <c r="I103" s="7"/>
      <c r="J103" s="7"/>
      <c r="K103" s="7"/>
      <c r="L103" s="7"/>
      <c r="M103" s="7"/>
      <c r="N103" s="6"/>
      <c r="O103" s="7"/>
      <c r="P103" s="7"/>
      <c r="Q103" s="7"/>
      <c r="R103" s="7"/>
      <c r="S103" s="6"/>
      <c r="T103" s="7"/>
      <c r="U103" s="7"/>
      <c r="V103" s="7"/>
      <c r="W103" s="7"/>
      <c r="X103" s="14"/>
    </row>
    <row r="104" spans="1:24" x14ac:dyDescent="0.25">
      <c r="A104" s="3" t="s">
        <v>73</v>
      </c>
      <c r="B104" s="1"/>
      <c r="C104" s="1" t="s">
        <v>74</v>
      </c>
      <c r="D104" s="1" t="s">
        <v>34</v>
      </c>
      <c r="E104" s="1" t="s">
        <v>34</v>
      </c>
      <c r="F104" s="1" t="s">
        <v>34</v>
      </c>
      <c r="G104" s="1">
        <v>1</v>
      </c>
      <c r="H104" s="6">
        <v>45716</v>
      </c>
      <c r="I104" s="7">
        <v>51</v>
      </c>
      <c r="J104" s="7">
        <v>0.5</v>
      </c>
      <c r="K104" s="7">
        <v>0.5</v>
      </c>
      <c r="L104" s="7">
        <v>0.5</v>
      </c>
      <c r="M104" s="7" t="s">
        <v>34</v>
      </c>
      <c r="N104" s="6">
        <v>45716</v>
      </c>
      <c r="O104" s="7">
        <v>0.06</v>
      </c>
      <c r="P104" s="7">
        <v>0.06</v>
      </c>
      <c r="Q104" s="7">
        <v>0.06</v>
      </c>
      <c r="R104" s="7" t="s">
        <v>34</v>
      </c>
      <c r="S104" s="6"/>
      <c r="T104" s="7"/>
      <c r="U104" s="7"/>
      <c r="V104" s="7"/>
      <c r="W104" s="7"/>
      <c r="X104" s="14"/>
    </row>
    <row r="105" spans="1:24" x14ac:dyDescent="0.25">
      <c r="A105" s="3" t="s">
        <v>73</v>
      </c>
      <c r="B105" s="1"/>
      <c r="C105" s="1" t="s">
        <v>74</v>
      </c>
      <c r="D105" s="1" t="s">
        <v>34</v>
      </c>
      <c r="E105" s="1" t="s">
        <v>34</v>
      </c>
      <c r="F105" s="1" t="s">
        <v>34</v>
      </c>
      <c r="G105" s="1">
        <v>2</v>
      </c>
      <c r="H105" s="6">
        <v>45737</v>
      </c>
      <c r="I105" s="7">
        <v>62</v>
      </c>
      <c r="J105" s="7">
        <v>0.06</v>
      </c>
      <c r="K105" s="7">
        <v>0.06</v>
      </c>
      <c r="L105" s="7">
        <v>0.06</v>
      </c>
      <c r="M105" s="7" t="s">
        <v>34</v>
      </c>
      <c r="N105" s="6">
        <v>45737</v>
      </c>
      <c r="O105" s="7">
        <v>0.12</v>
      </c>
      <c r="P105" s="7">
        <v>0.12</v>
      </c>
      <c r="Q105" s="7">
        <v>0.12</v>
      </c>
      <c r="R105" s="7" t="s">
        <v>34</v>
      </c>
      <c r="S105" s="6"/>
      <c r="T105" s="7"/>
      <c r="U105" s="7"/>
      <c r="V105" s="7"/>
      <c r="W105" s="7"/>
      <c r="X105" s="14"/>
    </row>
    <row r="106" spans="1:24" x14ac:dyDescent="0.25">
      <c r="A106" s="3" t="s">
        <v>73</v>
      </c>
      <c r="B106" s="1"/>
      <c r="C106" s="1" t="s">
        <v>74</v>
      </c>
      <c r="D106" s="1" t="s">
        <v>34</v>
      </c>
      <c r="E106" s="1" t="s">
        <v>34</v>
      </c>
      <c r="F106" s="1" t="s">
        <v>34</v>
      </c>
      <c r="G106" s="1">
        <v>3</v>
      </c>
      <c r="H106" s="6">
        <v>45746</v>
      </c>
      <c r="I106" s="7">
        <v>43</v>
      </c>
      <c r="J106" s="7">
        <v>0.06</v>
      </c>
      <c r="K106" s="7">
        <v>0.06</v>
      </c>
      <c r="L106" s="7">
        <v>0.06</v>
      </c>
      <c r="M106" s="7" t="s">
        <v>34</v>
      </c>
      <c r="N106" s="6">
        <v>45746</v>
      </c>
      <c r="O106" s="7">
        <v>0.12</v>
      </c>
      <c r="P106" s="7">
        <v>0.12</v>
      </c>
      <c r="Q106" s="7">
        <v>0.12</v>
      </c>
      <c r="R106" s="7" t="s">
        <v>34</v>
      </c>
      <c r="S106" s="6"/>
      <c r="T106" s="7"/>
      <c r="U106" s="7"/>
      <c r="V106" s="7"/>
      <c r="W106" s="7"/>
      <c r="X106" s="14"/>
    </row>
    <row r="107" spans="1:24" x14ac:dyDescent="0.25">
      <c r="X107" s="14"/>
    </row>
    <row r="108" spans="1:24" x14ac:dyDescent="0.25">
      <c r="X108" s="14"/>
    </row>
    <row r="109" spans="1:24" ht="18" x14ac:dyDescent="0.25">
      <c r="A109" s="9" t="s">
        <v>97</v>
      </c>
      <c r="X109" s="14"/>
    </row>
    <row r="110" spans="1:24" x14ac:dyDescent="0.25">
      <c r="A110" s="18" t="s">
        <v>92</v>
      </c>
      <c r="X110" s="14"/>
    </row>
    <row r="111" spans="1:24" x14ac:dyDescent="0.25">
      <c r="X111" s="14"/>
    </row>
    <row r="112" spans="1:24" x14ac:dyDescent="0.25">
      <c r="X112" s="14"/>
    </row>
    <row r="113" spans="24:24" x14ac:dyDescent="0.25">
      <c r="X113" s="14"/>
    </row>
    <row r="114" spans="24:24" x14ac:dyDescent="0.25">
      <c r="X114" s="14"/>
    </row>
    <row r="115" spans="24:24" x14ac:dyDescent="0.25">
      <c r="X115" s="14"/>
    </row>
    <row r="116" spans="24:24" x14ac:dyDescent="0.25">
      <c r="X116" s="14"/>
    </row>
    <row r="117" spans="24:24" x14ac:dyDescent="0.25">
      <c r="X117" s="14"/>
    </row>
    <row r="118" spans="24:24" x14ac:dyDescent="0.25">
      <c r="X118" s="14"/>
    </row>
    <row r="119" spans="24:24" x14ac:dyDescent="0.25">
      <c r="X119" s="14"/>
    </row>
    <row r="120" spans="24:24" x14ac:dyDescent="0.25">
      <c r="X120" s="14"/>
    </row>
    <row r="121" spans="24:24" x14ac:dyDescent="0.25">
      <c r="X121" s="14"/>
    </row>
    <row r="122" spans="24:24" x14ac:dyDescent="0.25">
      <c r="X122" s="14"/>
    </row>
    <row r="123" spans="24:24" x14ac:dyDescent="0.25">
      <c r="X123" s="14"/>
    </row>
    <row r="124" spans="24:24" x14ac:dyDescent="0.25">
      <c r="X124" s="14"/>
    </row>
  </sheetData>
  <mergeCells count="8">
    <mergeCell ref="AA5:AC5"/>
    <mergeCell ref="AA1:AC1"/>
    <mergeCell ref="H2:M2"/>
    <mergeCell ref="N2:R2"/>
    <mergeCell ref="S2:W2"/>
    <mergeCell ref="H3:M3"/>
    <mergeCell ref="N3:R3"/>
    <mergeCell ref="S3:W3"/>
  </mergeCells>
  <pageMargins left="0.7" right="0.7" top="0.75" bottom="0.75" header="0.3" footer="0.3"/>
  <pageSetup paperSize="9"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9BDC-DFFA-41EE-9B93-86998EE33F07}">
  <dimension ref="A1:Q107"/>
  <sheetViews>
    <sheetView topLeftCell="A10" zoomScale="190" zoomScaleNormal="190" workbookViewId="0">
      <selection activeCell="N86" sqref="N86:P86"/>
    </sheetView>
  </sheetViews>
  <sheetFormatPr defaultRowHeight="15" x14ac:dyDescent="0.25"/>
  <cols>
    <col min="1" max="1" width="11.140625" style="4" bestFit="1" customWidth="1"/>
    <col min="2" max="2" width="6.5703125" style="4" bestFit="1" customWidth="1"/>
    <col min="3" max="3" width="10.42578125" style="4" bestFit="1" customWidth="1"/>
    <col min="4" max="4" width="5" style="4" customWidth="1"/>
    <col min="5" max="5" width="4.140625" style="4" bestFit="1" customWidth="1"/>
    <col min="6" max="6" width="3.85546875" style="4" bestFit="1" customWidth="1"/>
    <col min="7" max="7" width="4.7109375" style="4" bestFit="1" customWidth="1"/>
    <col min="8" max="8" width="9.42578125" style="4" bestFit="1" customWidth="1"/>
    <col min="9" max="9" width="6.5703125" style="4" customWidth="1"/>
    <col min="10" max="10" width="6.28515625" style="4" customWidth="1"/>
    <col min="11" max="11" width="5.85546875" style="4" customWidth="1"/>
    <col min="12" max="13" width="6.5703125" style="4" customWidth="1"/>
    <col min="14" max="14" width="7.42578125" style="4" customWidth="1"/>
    <col min="15" max="15" width="7" style="4" customWidth="1"/>
    <col min="16" max="16" width="8.28515625" style="4" customWidth="1"/>
  </cols>
  <sheetData>
    <row r="1" spans="1:17" x14ac:dyDescent="0.25">
      <c r="H1" s="38" t="s">
        <v>1</v>
      </c>
      <c r="I1" s="39"/>
      <c r="J1" s="39"/>
      <c r="K1" s="39"/>
      <c r="L1" s="40"/>
      <c r="M1" s="17"/>
      <c r="N1" s="41" t="s">
        <v>1</v>
      </c>
      <c r="O1" s="41"/>
      <c r="P1" s="41"/>
      <c r="Q1" s="41"/>
    </row>
    <row r="2" spans="1:17" x14ac:dyDescent="0.25">
      <c r="D2" s="35" t="s">
        <v>7</v>
      </c>
      <c r="E2" s="36"/>
      <c r="F2" s="36"/>
      <c r="G2" s="37"/>
      <c r="H2" s="38" t="s">
        <v>79</v>
      </c>
      <c r="I2" s="39"/>
      <c r="J2" s="39"/>
      <c r="K2" s="39"/>
      <c r="L2" s="40"/>
      <c r="M2" s="17"/>
      <c r="N2" s="38" t="s">
        <v>80</v>
      </c>
      <c r="O2" s="39"/>
      <c r="P2" s="39"/>
      <c r="Q2" s="40"/>
    </row>
    <row r="3" spans="1:17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81</v>
      </c>
      <c r="N3" s="20" t="s">
        <v>26</v>
      </c>
      <c r="O3" s="20" t="s">
        <v>27</v>
      </c>
      <c r="P3" s="20" t="s">
        <v>28</v>
      </c>
      <c r="Q3" s="5" t="s">
        <v>81</v>
      </c>
    </row>
    <row r="4" spans="1:17" x14ac:dyDescent="0.25">
      <c r="A4" s="1" t="s">
        <v>32</v>
      </c>
      <c r="B4" s="1">
        <v>825</v>
      </c>
      <c r="C4" s="1" t="s">
        <v>33</v>
      </c>
      <c r="D4" s="1" t="s">
        <v>34</v>
      </c>
      <c r="E4" s="2" t="s">
        <v>15</v>
      </c>
      <c r="F4" s="1" t="s">
        <v>34</v>
      </c>
      <c r="G4" s="1" t="s">
        <v>34</v>
      </c>
      <c r="H4" s="6">
        <v>45825</v>
      </c>
      <c r="I4" s="19">
        <v>115</v>
      </c>
      <c r="J4" s="7">
        <v>217.5</v>
      </c>
      <c r="K4" s="7">
        <v>217.5</v>
      </c>
      <c r="L4" s="7">
        <v>217.5</v>
      </c>
      <c r="M4" s="7">
        <v>6</v>
      </c>
      <c r="N4" s="7">
        <v>78.125</v>
      </c>
      <c r="O4" s="7">
        <v>78.125</v>
      </c>
      <c r="P4" s="7">
        <v>78.125</v>
      </c>
      <c r="Q4" s="10">
        <v>3</v>
      </c>
    </row>
    <row r="5" spans="1:17" x14ac:dyDescent="0.25">
      <c r="A5" s="1" t="s">
        <v>32</v>
      </c>
      <c r="B5" s="1"/>
      <c r="C5" s="1"/>
      <c r="D5" s="1"/>
      <c r="E5" s="2"/>
      <c r="F5" s="1"/>
      <c r="G5" s="1"/>
      <c r="H5" s="6">
        <v>45827</v>
      </c>
      <c r="I5" s="19">
        <v>5</v>
      </c>
      <c r="J5" s="7">
        <v>217.5</v>
      </c>
      <c r="K5" s="7">
        <v>217.5</v>
      </c>
      <c r="L5" s="7">
        <v>217.5</v>
      </c>
      <c r="M5" s="7">
        <v>6</v>
      </c>
      <c r="N5" s="7">
        <v>9.7650000000000006</v>
      </c>
      <c r="O5" s="7">
        <v>9.7650000000000006</v>
      </c>
      <c r="P5" s="7">
        <v>9.7650000000000006</v>
      </c>
      <c r="Q5" s="10">
        <v>6</v>
      </c>
    </row>
    <row r="6" spans="1:17" x14ac:dyDescent="0.25">
      <c r="A6" s="1" t="s">
        <v>32</v>
      </c>
      <c r="B6" s="1"/>
      <c r="C6" s="1"/>
      <c r="D6" s="1"/>
      <c r="E6" s="2"/>
      <c r="F6" s="1"/>
      <c r="G6" s="1"/>
      <c r="H6" s="25">
        <v>45831</v>
      </c>
      <c r="I6" s="19">
        <v>3</v>
      </c>
      <c r="J6" s="7">
        <v>217.5</v>
      </c>
      <c r="K6" s="7">
        <v>217.5</v>
      </c>
      <c r="L6" s="7">
        <v>217.5</v>
      </c>
      <c r="M6" s="7">
        <v>6</v>
      </c>
      <c r="N6" s="7">
        <v>9.7650000000000006</v>
      </c>
      <c r="O6" s="7">
        <v>9.7650000000000006</v>
      </c>
      <c r="P6" s="7">
        <v>9.7650000000000006</v>
      </c>
      <c r="Q6" s="10">
        <v>6</v>
      </c>
    </row>
    <row r="7" spans="1:17" x14ac:dyDescent="0.25">
      <c r="A7" s="1"/>
      <c r="B7" s="1"/>
      <c r="C7" s="1"/>
      <c r="D7" s="1"/>
      <c r="E7" s="1"/>
      <c r="F7" s="1"/>
      <c r="G7" s="1"/>
      <c r="H7" s="6"/>
      <c r="I7" s="7"/>
      <c r="J7" s="7"/>
      <c r="K7" s="7"/>
      <c r="L7" s="7"/>
      <c r="M7" s="7"/>
      <c r="N7" s="7"/>
      <c r="O7" s="7"/>
      <c r="P7" s="7"/>
      <c r="Q7" s="10"/>
    </row>
    <row r="8" spans="1:17" x14ac:dyDescent="0.25">
      <c r="A8" s="1" t="s">
        <v>42</v>
      </c>
      <c r="B8" s="1">
        <v>6964</v>
      </c>
      <c r="C8" s="1" t="s">
        <v>52</v>
      </c>
      <c r="D8" s="2" t="s">
        <v>15</v>
      </c>
      <c r="E8" s="1" t="s">
        <v>34</v>
      </c>
      <c r="F8" s="2" t="s">
        <v>15</v>
      </c>
      <c r="G8" s="1" t="s">
        <v>34</v>
      </c>
      <c r="H8" s="6">
        <v>45825</v>
      </c>
      <c r="I8" s="19">
        <v>35</v>
      </c>
      <c r="J8" s="7">
        <v>217.5</v>
      </c>
      <c r="K8" s="7">
        <v>217.5</v>
      </c>
      <c r="L8" s="7">
        <v>217.5</v>
      </c>
      <c r="M8" s="7">
        <v>6</v>
      </c>
      <c r="N8" s="7">
        <v>78.125</v>
      </c>
      <c r="O8" s="7">
        <v>78.125</v>
      </c>
      <c r="P8" s="7">
        <v>78.125</v>
      </c>
      <c r="Q8" s="10">
        <v>3</v>
      </c>
    </row>
    <row r="9" spans="1:17" x14ac:dyDescent="0.25">
      <c r="A9" s="1" t="s">
        <v>42</v>
      </c>
      <c r="B9" s="1"/>
      <c r="C9" s="1" t="s">
        <v>54</v>
      </c>
      <c r="D9" s="2"/>
      <c r="E9" s="1"/>
      <c r="F9" s="2"/>
      <c r="G9" s="1"/>
      <c r="H9" s="6">
        <v>45827</v>
      </c>
      <c r="I9" s="19">
        <v>9</v>
      </c>
      <c r="J9" s="7">
        <v>217.5</v>
      </c>
      <c r="K9" s="7">
        <v>217.5</v>
      </c>
      <c r="L9" s="7">
        <v>217.5</v>
      </c>
      <c r="M9" s="7">
        <v>6</v>
      </c>
      <c r="N9" s="7">
        <v>9.7650000000000006</v>
      </c>
      <c r="O9" s="7">
        <v>9.7650000000000006</v>
      </c>
      <c r="P9" s="7">
        <v>9.7650000000000006</v>
      </c>
      <c r="Q9" s="10">
        <v>6</v>
      </c>
    </row>
    <row r="10" spans="1:17" x14ac:dyDescent="0.25">
      <c r="A10" s="1" t="s">
        <v>42</v>
      </c>
      <c r="B10" s="1"/>
      <c r="C10" s="1"/>
      <c r="D10" s="2"/>
      <c r="E10" s="1"/>
      <c r="F10" s="2"/>
      <c r="G10" s="1"/>
      <c r="H10" s="6">
        <v>45831</v>
      </c>
      <c r="I10" s="19">
        <v>27</v>
      </c>
      <c r="J10" s="7">
        <v>217.5</v>
      </c>
      <c r="K10" s="7">
        <v>217.5</v>
      </c>
      <c r="L10" s="7">
        <v>217.5</v>
      </c>
      <c r="M10" s="7">
        <v>6</v>
      </c>
      <c r="N10" s="7">
        <v>9.7650000000000006</v>
      </c>
      <c r="O10" s="7">
        <v>9.7650000000000006</v>
      </c>
      <c r="P10" s="7">
        <v>9.7650000000000006</v>
      </c>
      <c r="Q10" s="10">
        <v>6</v>
      </c>
    </row>
    <row r="11" spans="1:17" x14ac:dyDescent="0.25">
      <c r="A11" s="1"/>
      <c r="B11" s="1"/>
      <c r="C11" s="1"/>
      <c r="D11" s="1"/>
      <c r="E11" s="1"/>
      <c r="F11" s="1"/>
      <c r="G11" s="1"/>
      <c r="H11" s="6"/>
      <c r="I11" s="7"/>
      <c r="J11" s="7"/>
      <c r="K11" s="7"/>
      <c r="L11" s="7"/>
      <c r="M11" s="7"/>
      <c r="N11" s="7"/>
      <c r="O11" s="7"/>
      <c r="P11" s="7"/>
      <c r="Q11" s="10"/>
    </row>
    <row r="12" spans="1:17" x14ac:dyDescent="0.25">
      <c r="A12" s="1" t="s">
        <v>46</v>
      </c>
      <c r="B12" s="1" t="s">
        <v>47</v>
      </c>
      <c r="C12" s="1" t="s">
        <v>52</v>
      </c>
      <c r="D12" s="2" t="s">
        <v>15</v>
      </c>
      <c r="E12" s="1" t="s">
        <v>34</v>
      </c>
      <c r="F12" s="2" t="s">
        <v>15</v>
      </c>
      <c r="G12" s="1" t="s">
        <v>34</v>
      </c>
      <c r="H12" s="6">
        <v>45825</v>
      </c>
      <c r="I12" s="19">
        <v>132</v>
      </c>
      <c r="J12" s="7">
        <v>217.5</v>
      </c>
      <c r="K12" s="7">
        <v>217.5</v>
      </c>
      <c r="L12" s="7">
        <v>217.5</v>
      </c>
      <c r="M12" s="7">
        <v>6</v>
      </c>
      <c r="N12" s="7">
        <v>78.125</v>
      </c>
      <c r="O12" s="7">
        <v>78.125</v>
      </c>
      <c r="P12" s="7">
        <v>78.125</v>
      </c>
      <c r="Q12" s="10">
        <v>3</v>
      </c>
    </row>
    <row r="13" spans="1:17" x14ac:dyDescent="0.25">
      <c r="A13" s="1" t="s">
        <v>46</v>
      </c>
      <c r="B13" s="1"/>
      <c r="C13" s="1" t="s">
        <v>84</v>
      </c>
      <c r="D13" s="2"/>
      <c r="E13" s="1"/>
      <c r="F13" s="2"/>
      <c r="G13" s="1"/>
      <c r="H13" s="6">
        <v>45827</v>
      </c>
      <c r="I13" s="19">
        <v>5</v>
      </c>
      <c r="J13" s="7">
        <v>217.5</v>
      </c>
      <c r="K13" s="7">
        <v>217.5</v>
      </c>
      <c r="L13" s="7">
        <v>217.5</v>
      </c>
      <c r="M13" s="7">
        <v>6</v>
      </c>
      <c r="N13" s="7">
        <v>156.25</v>
      </c>
      <c r="O13" s="7">
        <v>156.25</v>
      </c>
      <c r="P13" s="7">
        <v>156.25</v>
      </c>
      <c r="Q13" s="10">
        <v>2</v>
      </c>
    </row>
    <row r="14" spans="1:17" x14ac:dyDescent="0.25">
      <c r="A14" s="1" t="s">
        <v>46</v>
      </c>
      <c r="B14" s="1"/>
      <c r="C14" s="1"/>
      <c r="D14" s="2"/>
      <c r="E14" s="1"/>
      <c r="F14" s="2"/>
      <c r="G14" s="1"/>
      <c r="H14" s="6">
        <v>45831</v>
      </c>
      <c r="I14" s="19">
        <v>95</v>
      </c>
      <c r="J14" s="7">
        <v>217.5</v>
      </c>
      <c r="K14" s="7">
        <v>217.5</v>
      </c>
      <c r="L14" s="7">
        <v>217.5</v>
      </c>
      <c r="M14" s="7">
        <v>6</v>
      </c>
      <c r="N14" s="7">
        <v>19.53</v>
      </c>
      <c r="O14" s="7">
        <v>19.53</v>
      </c>
      <c r="P14" s="7">
        <v>19.53</v>
      </c>
      <c r="Q14" s="10">
        <v>5</v>
      </c>
    </row>
    <row r="15" spans="1:17" x14ac:dyDescent="0.25">
      <c r="A15" s="1" t="s">
        <v>46</v>
      </c>
      <c r="B15" s="1"/>
      <c r="C15" s="1"/>
      <c r="D15" s="2"/>
      <c r="E15" s="1"/>
      <c r="F15" s="2"/>
      <c r="G15" s="1"/>
      <c r="H15" s="6">
        <v>45835</v>
      </c>
      <c r="I15" s="19">
        <v>16</v>
      </c>
      <c r="J15" s="7" t="s">
        <v>91</v>
      </c>
      <c r="K15" s="7" t="s">
        <v>91</v>
      </c>
      <c r="L15" s="7" t="s">
        <v>91</v>
      </c>
      <c r="M15" s="7" t="s">
        <v>91</v>
      </c>
      <c r="N15" s="7">
        <v>19.53</v>
      </c>
      <c r="O15" s="7">
        <v>19.53</v>
      </c>
      <c r="P15" s="7">
        <v>19.53</v>
      </c>
      <c r="Q15" s="10">
        <v>5</v>
      </c>
    </row>
    <row r="16" spans="1:17" x14ac:dyDescent="0.25">
      <c r="A16" s="1"/>
      <c r="B16" s="1"/>
      <c r="C16" s="1"/>
      <c r="D16" s="1"/>
      <c r="E16" s="1"/>
      <c r="F16" s="1"/>
      <c r="G16" s="1"/>
      <c r="H16" s="6"/>
      <c r="I16" s="7"/>
      <c r="J16" s="7"/>
      <c r="K16" s="7"/>
      <c r="L16" s="7"/>
      <c r="M16" s="7"/>
      <c r="N16" s="7"/>
      <c r="O16" s="7"/>
      <c r="P16" s="7"/>
      <c r="Q16" s="10"/>
    </row>
    <row r="17" spans="1:17" x14ac:dyDescent="0.25">
      <c r="A17" s="1" t="s">
        <v>51</v>
      </c>
      <c r="B17" s="1">
        <v>50</v>
      </c>
      <c r="C17" s="1" t="s">
        <v>52</v>
      </c>
      <c r="D17" s="1" t="s">
        <v>34</v>
      </c>
      <c r="E17" s="1" t="s">
        <v>34</v>
      </c>
      <c r="F17" s="2" t="s">
        <v>15</v>
      </c>
      <c r="G17" s="1" t="s">
        <v>34</v>
      </c>
      <c r="H17" s="6">
        <v>45825</v>
      </c>
      <c r="I17" s="19">
        <v>26</v>
      </c>
      <c r="J17" s="7">
        <v>217.5</v>
      </c>
      <c r="K17" s="7">
        <v>217.5</v>
      </c>
      <c r="L17" s="7">
        <v>217.5</v>
      </c>
      <c r="M17" s="7">
        <v>6</v>
      </c>
      <c r="N17" s="7">
        <v>4.88</v>
      </c>
      <c r="O17" s="7">
        <v>4.88</v>
      </c>
      <c r="P17" s="7">
        <v>4.88</v>
      </c>
      <c r="Q17" s="10">
        <v>7</v>
      </c>
    </row>
    <row r="18" spans="1:17" x14ac:dyDescent="0.25">
      <c r="A18" s="1" t="s">
        <v>51</v>
      </c>
      <c r="B18" s="1"/>
      <c r="C18" s="1"/>
      <c r="D18" s="1"/>
      <c r="E18" s="1"/>
      <c r="F18" s="2"/>
      <c r="G18" s="1"/>
      <c r="H18" s="6">
        <v>45827</v>
      </c>
      <c r="I18" s="19">
        <v>11</v>
      </c>
      <c r="J18" s="7">
        <v>217.5</v>
      </c>
      <c r="K18" s="7">
        <v>217.5</v>
      </c>
      <c r="L18" s="7">
        <v>217.5</v>
      </c>
      <c r="M18" s="7">
        <v>6</v>
      </c>
      <c r="N18" s="7">
        <v>4.88</v>
      </c>
      <c r="O18" s="7">
        <v>4.88</v>
      </c>
      <c r="P18" s="7">
        <v>4.88</v>
      </c>
      <c r="Q18" s="10">
        <v>7</v>
      </c>
    </row>
    <row r="19" spans="1:17" x14ac:dyDescent="0.25">
      <c r="A19" s="1" t="s">
        <v>51</v>
      </c>
      <c r="B19" s="1"/>
      <c r="C19" s="1"/>
      <c r="D19" s="1"/>
      <c r="E19" s="1"/>
      <c r="F19" s="2"/>
      <c r="G19" s="1"/>
      <c r="H19" s="6">
        <v>45831</v>
      </c>
      <c r="I19" s="19">
        <v>117</v>
      </c>
      <c r="J19" s="7">
        <v>217.5</v>
      </c>
      <c r="K19" s="7">
        <v>217.5</v>
      </c>
      <c r="L19" s="7">
        <v>217.5</v>
      </c>
      <c r="M19" s="7">
        <v>6</v>
      </c>
      <c r="N19" s="7">
        <v>4.88</v>
      </c>
      <c r="O19" s="7">
        <v>4.88</v>
      </c>
      <c r="P19" s="7">
        <v>4.88</v>
      </c>
      <c r="Q19" s="10">
        <v>7</v>
      </c>
    </row>
    <row r="20" spans="1:17" x14ac:dyDescent="0.25">
      <c r="A20" s="1"/>
      <c r="B20" s="1"/>
      <c r="C20" s="1"/>
      <c r="D20" s="1"/>
      <c r="E20" s="1"/>
      <c r="F20" s="1"/>
      <c r="G20" s="1"/>
      <c r="H20" s="6"/>
      <c r="I20" s="7"/>
      <c r="J20" s="7"/>
      <c r="K20" s="7"/>
      <c r="L20" s="7"/>
      <c r="M20" s="7"/>
      <c r="N20" s="7"/>
      <c r="O20" s="7"/>
      <c r="P20" s="7"/>
      <c r="Q20" s="10"/>
    </row>
    <row r="21" spans="1:17" x14ac:dyDescent="0.25">
      <c r="A21" s="1" t="s">
        <v>53</v>
      </c>
      <c r="B21" s="1">
        <v>45</v>
      </c>
      <c r="C21" s="1" t="s">
        <v>54</v>
      </c>
      <c r="D21" s="2" t="s">
        <v>15</v>
      </c>
      <c r="E21" s="1" t="s">
        <v>34</v>
      </c>
      <c r="F21" s="1" t="s">
        <v>34</v>
      </c>
      <c r="G21" s="1" t="s">
        <v>34</v>
      </c>
      <c r="H21" s="6">
        <v>45825</v>
      </c>
      <c r="I21" s="19">
        <v>60</v>
      </c>
      <c r="J21" s="7">
        <v>217.5</v>
      </c>
      <c r="K21" s="7">
        <v>217.5</v>
      </c>
      <c r="L21" s="7">
        <v>217.5</v>
      </c>
      <c r="M21" s="7">
        <v>6</v>
      </c>
      <c r="N21" s="7">
        <v>19.53</v>
      </c>
      <c r="O21" s="7">
        <v>19.53</v>
      </c>
      <c r="P21" s="7">
        <v>19.53</v>
      </c>
      <c r="Q21" s="10">
        <v>5</v>
      </c>
    </row>
    <row r="22" spans="1:17" x14ac:dyDescent="0.25">
      <c r="A22" s="1" t="s">
        <v>53</v>
      </c>
      <c r="B22" s="1"/>
      <c r="C22" s="1"/>
      <c r="D22" s="2"/>
      <c r="E22" s="1"/>
      <c r="F22" s="1"/>
      <c r="G22" s="1"/>
      <c r="H22" s="6">
        <v>45827</v>
      </c>
      <c r="I22" s="19">
        <v>10</v>
      </c>
      <c r="J22" s="7">
        <v>217.5</v>
      </c>
      <c r="K22" s="7">
        <v>217.5</v>
      </c>
      <c r="L22" s="7">
        <v>217.5</v>
      </c>
      <c r="M22" s="7">
        <v>6</v>
      </c>
      <c r="N22" s="7">
        <v>9.7650000000000006</v>
      </c>
      <c r="O22" s="7">
        <v>9.7650000000000006</v>
      </c>
      <c r="P22" s="7">
        <v>9.7650000000000006</v>
      </c>
      <c r="Q22" s="10">
        <v>6</v>
      </c>
    </row>
    <row r="23" spans="1:17" x14ac:dyDescent="0.25">
      <c r="A23" s="1" t="s">
        <v>53</v>
      </c>
      <c r="B23" s="1"/>
      <c r="C23" s="1"/>
      <c r="D23" s="2"/>
      <c r="E23" s="1"/>
      <c r="F23" s="1"/>
      <c r="G23" s="1"/>
      <c r="H23" s="6">
        <v>45831</v>
      </c>
      <c r="I23" s="19">
        <v>25</v>
      </c>
      <c r="J23" s="7">
        <v>217.5</v>
      </c>
      <c r="K23" s="7">
        <v>217.5</v>
      </c>
      <c r="L23" s="7">
        <v>217.5</v>
      </c>
      <c r="M23" s="7">
        <v>6</v>
      </c>
      <c r="N23" s="7">
        <v>9.7650000000000006</v>
      </c>
      <c r="O23" s="7">
        <v>9.7650000000000006</v>
      </c>
      <c r="P23" s="7">
        <v>9.7650000000000006</v>
      </c>
      <c r="Q23" s="10">
        <v>6</v>
      </c>
    </row>
    <row r="24" spans="1:17" x14ac:dyDescent="0.25">
      <c r="A24" s="1"/>
      <c r="B24" s="1"/>
      <c r="C24" s="1"/>
      <c r="D24" s="1"/>
      <c r="E24" s="1"/>
      <c r="F24" s="1"/>
      <c r="G24" s="1"/>
      <c r="H24" s="6"/>
      <c r="I24" s="7"/>
      <c r="J24" s="7"/>
      <c r="K24" s="7"/>
      <c r="L24" s="7"/>
      <c r="M24" s="7"/>
      <c r="N24" s="7"/>
      <c r="O24" s="7"/>
      <c r="P24" s="7"/>
      <c r="Q24" s="10"/>
    </row>
    <row r="25" spans="1:17" x14ac:dyDescent="0.25">
      <c r="A25" s="1" t="s">
        <v>55</v>
      </c>
      <c r="B25" s="1">
        <v>436</v>
      </c>
      <c r="C25" s="1" t="s">
        <v>33</v>
      </c>
      <c r="D25" s="2" t="s">
        <v>15</v>
      </c>
      <c r="E25" s="1" t="s">
        <v>34</v>
      </c>
      <c r="F25" s="1" t="s">
        <v>34</v>
      </c>
      <c r="G25" s="1" t="s">
        <v>34</v>
      </c>
      <c r="H25" s="6">
        <v>45825</v>
      </c>
      <c r="I25" s="19">
        <v>123</v>
      </c>
      <c r="J25" s="7">
        <v>217.5</v>
      </c>
      <c r="K25" s="7">
        <v>217.5</v>
      </c>
      <c r="L25" s="7">
        <v>217.5</v>
      </c>
      <c r="M25" s="7">
        <v>6</v>
      </c>
      <c r="N25" s="7">
        <v>9.7650000000000006</v>
      </c>
      <c r="O25" s="7">
        <v>9.7650000000000006</v>
      </c>
      <c r="P25" s="7">
        <v>9.7650000000000006</v>
      </c>
      <c r="Q25" s="10">
        <v>6</v>
      </c>
    </row>
    <row r="26" spans="1:17" x14ac:dyDescent="0.25">
      <c r="A26" s="1" t="s">
        <v>55</v>
      </c>
      <c r="B26" s="1"/>
      <c r="C26" s="1"/>
      <c r="D26" s="2"/>
      <c r="E26" s="1"/>
      <c r="F26" s="1"/>
      <c r="G26" s="1"/>
      <c r="H26" s="6">
        <v>45827</v>
      </c>
      <c r="I26" s="19">
        <v>15</v>
      </c>
      <c r="J26" s="7">
        <v>217.5</v>
      </c>
      <c r="K26" s="7">
        <v>217.5</v>
      </c>
      <c r="L26" s="7">
        <v>217.5</v>
      </c>
      <c r="M26" s="7">
        <v>6</v>
      </c>
      <c r="N26" s="7">
        <v>9.7650000000000006</v>
      </c>
      <c r="O26" s="7">
        <v>9.7650000000000006</v>
      </c>
      <c r="P26" s="7">
        <v>9.7650000000000006</v>
      </c>
      <c r="Q26" s="10">
        <v>6</v>
      </c>
    </row>
    <row r="27" spans="1:17" x14ac:dyDescent="0.25">
      <c r="A27" s="1" t="s">
        <v>55</v>
      </c>
      <c r="B27" s="1"/>
      <c r="C27" s="1"/>
      <c r="D27" s="2"/>
      <c r="E27" s="1"/>
      <c r="F27" s="1"/>
      <c r="G27" s="1"/>
      <c r="H27" s="6">
        <v>45831</v>
      </c>
      <c r="I27" s="19">
        <v>8</v>
      </c>
      <c r="J27" s="7">
        <v>217.5</v>
      </c>
      <c r="K27" s="7">
        <v>217.5</v>
      </c>
      <c r="L27" s="7">
        <v>217.5</v>
      </c>
      <c r="M27" s="7">
        <v>6</v>
      </c>
      <c r="N27" s="7">
        <v>9.7650000000000006</v>
      </c>
      <c r="O27" s="7">
        <v>9.7650000000000006</v>
      </c>
      <c r="P27" s="7">
        <v>9.7650000000000006</v>
      </c>
      <c r="Q27" s="10">
        <v>6</v>
      </c>
    </row>
    <row r="28" spans="1:17" x14ac:dyDescent="0.25">
      <c r="A28" s="1"/>
      <c r="B28" s="1"/>
      <c r="C28" s="1"/>
      <c r="D28" s="1"/>
      <c r="E28" s="1"/>
      <c r="F28" s="1"/>
      <c r="G28" s="1"/>
      <c r="H28" s="6"/>
      <c r="I28" s="7"/>
      <c r="J28" s="7"/>
      <c r="K28" s="7"/>
      <c r="L28" s="7"/>
      <c r="M28" s="7"/>
      <c r="N28" s="7"/>
      <c r="O28" s="7"/>
      <c r="P28" s="7"/>
      <c r="Q28" s="10"/>
    </row>
    <row r="29" spans="1:17" x14ac:dyDescent="0.25">
      <c r="A29" s="1" t="s">
        <v>56</v>
      </c>
      <c r="B29" s="1">
        <v>50</v>
      </c>
      <c r="C29" s="1" t="s">
        <v>52</v>
      </c>
      <c r="D29" s="2" t="s">
        <v>15</v>
      </c>
      <c r="E29" s="1" t="s">
        <v>34</v>
      </c>
      <c r="F29" s="2" t="s">
        <v>15</v>
      </c>
      <c r="G29" s="1" t="s">
        <v>34</v>
      </c>
      <c r="H29" s="6">
        <v>45825</v>
      </c>
      <c r="I29" s="19">
        <v>15</v>
      </c>
      <c r="J29" s="7">
        <v>217.5</v>
      </c>
      <c r="K29" s="7">
        <v>217.5</v>
      </c>
      <c r="L29" s="7">
        <v>217.5</v>
      </c>
      <c r="M29" s="7">
        <v>6</v>
      </c>
      <c r="N29" s="7">
        <v>9.7650000000000006</v>
      </c>
      <c r="O29" s="7">
        <v>9.7650000000000006</v>
      </c>
      <c r="P29" s="7">
        <v>9.7650000000000006</v>
      </c>
      <c r="Q29" s="10">
        <v>6</v>
      </c>
    </row>
    <row r="30" spans="1:17" x14ac:dyDescent="0.25">
      <c r="A30" s="1" t="s">
        <v>56</v>
      </c>
      <c r="B30" s="1"/>
      <c r="C30" s="1" t="s">
        <v>54</v>
      </c>
      <c r="D30" s="2"/>
      <c r="E30" s="1"/>
      <c r="F30" s="2"/>
      <c r="G30" s="1"/>
      <c r="H30" s="6">
        <v>45827</v>
      </c>
      <c r="I30" s="19">
        <v>7</v>
      </c>
      <c r="J30" s="7">
        <v>217.5</v>
      </c>
      <c r="K30" s="7">
        <v>217.5</v>
      </c>
      <c r="L30" s="7">
        <v>217.5</v>
      </c>
      <c r="M30" s="7">
        <v>6</v>
      </c>
      <c r="N30" s="7">
        <v>9.7650000000000006</v>
      </c>
      <c r="O30" s="7">
        <v>9.7650000000000006</v>
      </c>
      <c r="P30" s="7">
        <v>9.7650000000000006</v>
      </c>
      <c r="Q30" s="10">
        <v>6</v>
      </c>
    </row>
    <row r="31" spans="1:17" x14ac:dyDescent="0.25">
      <c r="A31" s="1" t="s">
        <v>56</v>
      </c>
      <c r="B31" s="1"/>
      <c r="C31" s="1"/>
      <c r="D31" s="2"/>
      <c r="E31" s="1"/>
      <c r="F31" s="2"/>
      <c r="G31" s="1"/>
      <c r="H31" s="6">
        <v>45831</v>
      </c>
      <c r="I31" s="19">
        <v>24</v>
      </c>
      <c r="J31" s="7">
        <v>217.5</v>
      </c>
      <c r="K31" s="7">
        <v>217.5</v>
      </c>
      <c r="L31" s="7">
        <v>217.5</v>
      </c>
      <c r="M31" s="7">
        <v>6</v>
      </c>
      <c r="N31" s="7">
        <v>9.7650000000000006</v>
      </c>
      <c r="O31" s="7">
        <v>9.7650000000000006</v>
      </c>
      <c r="P31" s="7">
        <v>9.7650000000000006</v>
      </c>
      <c r="Q31" s="10">
        <v>6</v>
      </c>
    </row>
    <row r="32" spans="1:17" x14ac:dyDescent="0.25">
      <c r="A32" s="1"/>
      <c r="B32" s="1"/>
      <c r="C32" s="1"/>
      <c r="D32" s="1"/>
      <c r="E32" s="1"/>
      <c r="F32" s="1"/>
      <c r="G32" s="1"/>
      <c r="H32" s="6"/>
      <c r="I32" s="7"/>
      <c r="J32" s="7"/>
      <c r="K32" s="7"/>
      <c r="L32" s="7"/>
      <c r="M32" s="7"/>
      <c r="N32" s="7"/>
      <c r="O32" s="7"/>
      <c r="P32" s="7"/>
      <c r="Q32" s="10"/>
    </row>
    <row r="33" spans="1:17" x14ac:dyDescent="0.25">
      <c r="A33" s="1"/>
      <c r="B33" s="1"/>
      <c r="C33" s="1"/>
      <c r="D33" s="1" t="s">
        <v>19</v>
      </c>
      <c r="E33" s="1" t="s">
        <v>20</v>
      </c>
      <c r="F33" s="1" t="s">
        <v>21</v>
      </c>
      <c r="G33" s="1" t="s">
        <v>22</v>
      </c>
      <c r="H33" s="5" t="s">
        <v>24</v>
      </c>
      <c r="I33" s="5" t="s">
        <v>25</v>
      </c>
      <c r="J33" s="5" t="s">
        <v>26</v>
      </c>
      <c r="K33" s="5" t="s">
        <v>27</v>
      </c>
      <c r="L33" s="5" t="s">
        <v>28</v>
      </c>
      <c r="M33" s="5" t="s">
        <v>81</v>
      </c>
      <c r="N33" s="20" t="s">
        <v>26</v>
      </c>
      <c r="O33" s="20" t="s">
        <v>27</v>
      </c>
      <c r="P33" s="20" t="s">
        <v>28</v>
      </c>
      <c r="Q33" s="5" t="s">
        <v>81</v>
      </c>
    </row>
    <row r="34" spans="1:17" x14ac:dyDescent="0.25">
      <c r="A34" s="1" t="s">
        <v>57</v>
      </c>
      <c r="B34" s="1">
        <v>2081</v>
      </c>
      <c r="C34" s="1" t="s">
        <v>52</v>
      </c>
      <c r="D34" s="2" t="s">
        <v>15</v>
      </c>
      <c r="E34" s="1" t="s">
        <v>34</v>
      </c>
      <c r="F34" s="2" t="s">
        <v>15</v>
      </c>
      <c r="G34" s="1" t="s">
        <v>34</v>
      </c>
      <c r="H34" s="6">
        <v>45825</v>
      </c>
      <c r="I34" s="19">
        <v>7</v>
      </c>
      <c r="J34" s="7">
        <v>217.5</v>
      </c>
      <c r="K34" s="7">
        <v>217.5</v>
      </c>
      <c r="L34" s="7">
        <v>217.5</v>
      </c>
      <c r="M34" s="7">
        <v>6</v>
      </c>
      <c r="N34" s="7">
        <v>19.53</v>
      </c>
      <c r="O34" s="7">
        <v>19.53</v>
      </c>
      <c r="P34" s="7">
        <v>19.53</v>
      </c>
      <c r="Q34" s="10">
        <v>5</v>
      </c>
    </row>
    <row r="35" spans="1:17" x14ac:dyDescent="0.25">
      <c r="A35" s="1" t="s">
        <v>57</v>
      </c>
      <c r="B35" s="1"/>
      <c r="C35" s="1"/>
      <c r="D35" s="2"/>
      <c r="E35" s="1"/>
      <c r="F35" s="2"/>
      <c r="G35" s="1"/>
      <c r="H35" s="6">
        <v>45827</v>
      </c>
      <c r="I35" s="19">
        <v>5</v>
      </c>
      <c r="J35" s="7">
        <v>108.75</v>
      </c>
      <c r="K35" s="7">
        <v>108.75</v>
      </c>
      <c r="L35" s="7">
        <v>108.75</v>
      </c>
      <c r="M35" s="7">
        <v>7</v>
      </c>
      <c r="N35" s="7">
        <v>9.7650000000000006</v>
      </c>
      <c r="O35" s="7">
        <v>9.7650000000000006</v>
      </c>
      <c r="P35" s="7">
        <v>9.7650000000000006</v>
      </c>
      <c r="Q35" s="10">
        <v>6</v>
      </c>
    </row>
    <row r="36" spans="1:17" x14ac:dyDescent="0.25">
      <c r="A36" s="1" t="s">
        <v>57</v>
      </c>
      <c r="B36" s="1"/>
      <c r="C36" s="1"/>
      <c r="D36" s="2"/>
      <c r="E36" s="1"/>
      <c r="F36" s="2"/>
      <c r="G36" s="1"/>
      <c r="H36" s="6">
        <v>45831</v>
      </c>
      <c r="I36" s="19">
        <v>9</v>
      </c>
      <c r="J36" s="7">
        <v>217.5</v>
      </c>
      <c r="K36" s="7">
        <v>217.5</v>
      </c>
      <c r="L36" s="7">
        <v>217.5</v>
      </c>
      <c r="M36" s="7">
        <v>6</v>
      </c>
      <c r="N36" s="7">
        <v>9.7650000000000006</v>
      </c>
      <c r="O36" s="7">
        <v>9.7650000000000006</v>
      </c>
      <c r="P36" s="7">
        <v>9.7650000000000006</v>
      </c>
      <c r="Q36" s="10">
        <v>6</v>
      </c>
    </row>
    <row r="37" spans="1:17" x14ac:dyDescent="0.25">
      <c r="A37" s="1"/>
      <c r="B37" s="1"/>
      <c r="C37" s="1"/>
      <c r="D37" s="1"/>
      <c r="E37" s="1"/>
      <c r="F37" s="1"/>
      <c r="G37" s="1"/>
      <c r="H37" s="6"/>
      <c r="I37" s="7"/>
      <c r="J37" s="7"/>
      <c r="K37" s="7"/>
      <c r="L37" s="7"/>
      <c r="M37" s="7"/>
      <c r="N37" s="7"/>
      <c r="O37" s="7"/>
      <c r="P37" s="7"/>
      <c r="Q37" s="10"/>
    </row>
    <row r="38" spans="1:17" x14ac:dyDescent="0.25">
      <c r="A38" s="1" t="s">
        <v>58</v>
      </c>
      <c r="B38" s="1">
        <v>530</v>
      </c>
      <c r="C38" s="1" t="s">
        <v>52</v>
      </c>
      <c r="D38" s="2" t="s">
        <v>15</v>
      </c>
      <c r="E38" s="1" t="s">
        <v>34</v>
      </c>
      <c r="F38" s="2" t="s">
        <v>15</v>
      </c>
      <c r="G38" s="1" t="s">
        <v>34</v>
      </c>
      <c r="H38" s="6">
        <v>45825</v>
      </c>
      <c r="I38" s="19">
        <v>94</v>
      </c>
      <c r="J38" s="7">
        <v>217.5</v>
      </c>
      <c r="K38" s="7">
        <v>217.5</v>
      </c>
      <c r="L38" s="7">
        <v>217.5</v>
      </c>
      <c r="M38" s="7">
        <v>6</v>
      </c>
      <c r="N38" s="7">
        <v>4.88</v>
      </c>
      <c r="O38" s="7">
        <v>4.88</v>
      </c>
      <c r="P38" s="7">
        <v>4.88</v>
      </c>
      <c r="Q38" s="10">
        <v>7</v>
      </c>
    </row>
    <row r="39" spans="1:17" x14ac:dyDescent="0.25">
      <c r="A39" s="1" t="s">
        <v>58</v>
      </c>
      <c r="B39" s="1"/>
      <c r="C39" s="1"/>
      <c r="D39" s="2"/>
      <c r="E39" s="1"/>
      <c r="F39" s="2"/>
      <c r="G39" s="1"/>
      <c r="H39" s="6">
        <v>45827</v>
      </c>
      <c r="I39" s="19">
        <v>9</v>
      </c>
      <c r="J39" s="7">
        <v>108.75</v>
      </c>
      <c r="K39" s="7">
        <v>108.75</v>
      </c>
      <c r="L39" s="7">
        <v>108.75</v>
      </c>
      <c r="M39" s="7">
        <v>7</v>
      </c>
      <c r="N39" s="7">
        <v>2.44</v>
      </c>
      <c r="O39" s="7">
        <v>2.44</v>
      </c>
      <c r="P39" s="7">
        <v>2.44</v>
      </c>
      <c r="Q39" s="10">
        <v>8</v>
      </c>
    </row>
    <row r="40" spans="1:17" x14ac:dyDescent="0.25">
      <c r="A40" s="1" t="s">
        <v>58</v>
      </c>
      <c r="B40" s="1"/>
      <c r="C40" s="1"/>
      <c r="D40" s="2"/>
      <c r="E40" s="1"/>
      <c r="F40" s="2"/>
      <c r="G40" s="1"/>
      <c r="H40" s="6">
        <v>45831</v>
      </c>
      <c r="I40" s="19">
        <v>4</v>
      </c>
      <c r="J40" s="7">
        <v>217.5</v>
      </c>
      <c r="K40" s="7">
        <v>217.5</v>
      </c>
      <c r="L40" s="7">
        <v>217.5</v>
      </c>
      <c r="M40" s="7">
        <v>6</v>
      </c>
      <c r="N40" s="7">
        <v>4.88</v>
      </c>
      <c r="O40" s="7">
        <v>4.88</v>
      </c>
      <c r="P40" s="7">
        <v>4.88</v>
      </c>
      <c r="Q40" s="10">
        <v>7</v>
      </c>
    </row>
    <row r="41" spans="1:17" x14ac:dyDescent="0.25">
      <c r="A41" s="1"/>
      <c r="B41" s="1"/>
      <c r="C41" s="1"/>
      <c r="D41" s="2"/>
      <c r="E41" s="1"/>
      <c r="F41" s="2"/>
      <c r="G41" s="1"/>
      <c r="H41" s="6">
        <v>45835</v>
      </c>
      <c r="I41" s="19">
        <v>39</v>
      </c>
      <c r="J41" s="7" t="s">
        <v>91</v>
      </c>
      <c r="K41" s="7" t="s">
        <v>91</v>
      </c>
      <c r="L41" s="7" t="s">
        <v>91</v>
      </c>
      <c r="M41" s="7" t="s">
        <v>91</v>
      </c>
      <c r="N41" s="7">
        <v>4.88</v>
      </c>
      <c r="O41" s="7">
        <v>4.88</v>
      </c>
      <c r="P41" s="7">
        <v>4.88</v>
      </c>
      <c r="Q41" s="10">
        <v>7</v>
      </c>
    </row>
    <row r="42" spans="1:17" x14ac:dyDescent="0.25">
      <c r="A42" s="1"/>
      <c r="B42" s="1"/>
      <c r="C42" s="1"/>
      <c r="D42" s="1"/>
      <c r="E42" s="1"/>
      <c r="F42" s="1"/>
      <c r="G42" s="1"/>
      <c r="H42" s="6"/>
      <c r="I42" s="7"/>
      <c r="J42" s="7"/>
      <c r="K42" s="7"/>
      <c r="L42" s="7"/>
      <c r="M42" s="7"/>
      <c r="N42" s="7"/>
      <c r="O42" s="7"/>
      <c r="P42" s="7"/>
      <c r="Q42" s="10"/>
    </row>
    <row r="43" spans="1:17" x14ac:dyDescent="0.25">
      <c r="A43" s="1" t="s">
        <v>59</v>
      </c>
      <c r="B43" s="1">
        <v>50</v>
      </c>
      <c r="C43" s="1" t="s">
        <v>52</v>
      </c>
      <c r="D43" s="2" t="s">
        <v>15</v>
      </c>
      <c r="E43" s="1" t="s">
        <v>34</v>
      </c>
      <c r="F43" s="2" t="s">
        <v>15</v>
      </c>
      <c r="G43" s="1" t="s">
        <v>34</v>
      </c>
      <c r="H43" s="6">
        <v>45825</v>
      </c>
      <c r="I43" s="19">
        <v>21</v>
      </c>
      <c r="J43" s="7">
        <v>217.5</v>
      </c>
      <c r="K43" s="7">
        <v>217.5</v>
      </c>
      <c r="L43" s="7">
        <v>217.5</v>
      </c>
      <c r="M43" s="7">
        <v>6</v>
      </c>
      <c r="N43" s="7">
        <v>9.7650000000000006</v>
      </c>
      <c r="O43" s="7">
        <v>9.7650000000000006</v>
      </c>
      <c r="P43" s="7">
        <v>9.7650000000000006</v>
      </c>
      <c r="Q43" s="10">
        <v>6</v>
      </c>
    </row>
    <row r="44" spans="1:17" x14ac:dyDescent="0.25">
      <c r="A44" s="1" t="s">
        <v>59</v>
      </c>
      <c r="B44" s="1"/>
      <c r="C44" s="1" t="s">
        <v>54</v>
      </c>
      <c r="D44" s="2"/>
      <c r="E44" s="1"/>
      <c r="F44" s="2"/>
      <c r="G44" s="1"/>
      <c r="H44" s="6">
        <v>45827</v>
      </c>
      <c r="I44" s="19">
        <v>3</v>
      </c>
      <c r="J44" s="7">
        <v>217.5</v>
      </c>
      <c r="K44" s="7">
        <v>217.5</v>
      </c>
      <c r="L44" s="7">
        <v>217.5</v>
      </c>
      <c r="M44" s="7">
        <v>6</v>
      </c>
      <c r="N44" s="7">
        <v>4.88</v>
      </c>
      <c r="O44" s="7">
        <v>4.88</v>
      </c>
      <c r="P44" s="7">
        <v>4.88</v>
      </c>
      <c r="Q44" s="10">
        <v>7</v>
      </c>
    </row>
    <row r="45" spans="1:17" x14ac:dyDescent="0.25">
      <c r="A45" s="1" t="s">
        <v>59</v>
      </c>
      <c r="B45" s="1"/>
      <c r="C45" s="1"/>
      <c r="D45" s="2"/>
      <c r="E45" s="1"/>
      <c r="F45" s="2"/>
      <c r="G45" s="1"/>
      <c r="H45" s="6">
        <v>45831</v>
      </c>
      <c r="I45" s="19">
        <v>46</v>
      </c>
      <c r="J45" s="7">
        <v>217.5</v>
      </c>
      <c r="K45" s="7">
        <v>217.5</v>
      </c>
      <c r="L45" s="7">
        <v>217.5</v>
      </c>
      <c r="M45" s="7">
        <v>6</v>
      </c>
      <c r="N45" s="7">
        <v>9.7650000000000006</v>
      </c>
      <c r="O45" s="7">
        <v>9.7650000000000006</v>
      </c>
      <c r="P45" s="7">
        <v>9.7650000000000006</v>
      </c>
      <c r="Q45" s="10">
        <v>6</v>
      </c>
    </row>
    <row r="46" spans="1:17" x14ac:dyDescent="0.25">
      <c r="A46" s="1"/>
      <c r="B46" s="1"/>
      <c r="C46" s="1"/>
      <c r="D46" s="1"/>
      <c r="E46" s="1"/>
      <c r="F46" s="1"/>
      <c r="G46" s="1"/>
      <c r="H46" s="6"/>
      <c r="I46" s="7"/>
      <c r="J46" s="7"/>
      <c r="K46" s="7"/>
      <c r="L46" s="7"/>
      <c r="M46" s="7"/>
      <c r="N46" s="7"/>
      <c r="O46" s="7"/>
      <c r="P46" s="7"/>
      <c r="Q46" s="10"/>
    </row>
    <row r="47" spans="1:17" x14ac:dyDescent="0.25">
      <c r="A47" s="1" t="s">
        <v>60</v>
      </c>
      <c r="B47" s="1">
        <v>830</v>
      </c>
      <c r="C47" s="1" t="s">
        <v>54</v>
      </c>
      <c r="D47" s="2" t="s">
        <v>15</v>
      </c>
      <c r="E47" s="2" t="s">
        <v>15</v>
      </c>
      <c r="F47" s="2" t="s">
        <v>15</v>
      </c>
      <c r="G47" s="2" t="s">
        <v>15</v>
      </c>
      <c r="H47" s="6">
        <v>45825</v>
      </c>
      <c r="I47" s="19">
        <v>163</v>
      </c>
      <c r="J47" s="7">
        <v>217.5</v>
      </c>
      <c r="K47" s="7">
        <v>217.5</v>
      </c>
      <c r="L47" s="7">
        <v>217.5</v>
      </c>
      <c r="M47" s="7">
        <v>6</v>
      </c>
      <c r="N47" s="7">
        <v>78.125</v>
      </c>
      <c r="O47" s="7">
        <v>78.125</v>
      </c>
      <c r="P47" s="7">
        <v>78.125</v>
      </c>
      <c r="Q47" s="10">
        <v>3</v>
      </c>
    </row>
    <row r="48" spans="1:17" x14ac:dyDescent="0.25">
      <c r="A48" s="1" t="s">
        <v>60</v>
      </c>
      <c r="B48" s="1"/>
      <c r="C48" s="1"/>
      <c r="D48" s="2"/>
      <c r="E48" s="2"/>
      <c r="F48" s="2"/>
      <c r="G48" s="2"/>
      <c r="H48" s="6">
        <v>45827</v>
      </c>
      <c r="I48" s="19">
        <v>4</v>
      </c>
      <c r="J48" s="7">
        <v>217.5</v>
      </c>
      <c r="K48" s="7">
        <v>217.5</v>
      </c>
      <c r="L48" s="7">
        <v>217.5</v>
      </c>
      <c r="M48" s="7">
        <v>6</v>
      </c>
      <c r="N48" s="7">
        <v>9.7650000000000006</v>
      </c>
      <c r="O48" s="7">
        <v>9.7650000000000006</v>
      </c>
      <c r="P48" s="7">
        <v>9.7650000000000006</v>
      </c>
      <c r="Q48" s="10">
        <v>6</v>
      </c>
    </row>
    <row r="49" spans="1:17" x14ac:dyDescent="0.25">
      <c r="A49" s="1" t="s">
        <v>60</v>
      </c>
      <c r="B49" s="1"/>
      <c r="C49" s="1"/>
      <c r="D49" s="2"/>
      <c r="E49" s="2"/>
      <c r="F49" s="2"/>
      <c r="G49" s="2"/>
      <c r="H49" s="6">
        <v>45831</v>
      </c>
      <c r="I49" s="19">
        <v>17</v>
      </c>
      <c r="J49" s="7">
        <v>217.5</v>
      </c>
      <c r="K49" s="7">
        <v>217.5</v>
      </c>
      <c r="L49" s="7">
        <v>217.5</v>
      </c>
      <c r="M49" s="7">
        <v>6</v>
      </c>
      <c r="N49" s="7">
        <v>2.44</v>
      </c>
      <c r="O49" s="7">
        <v>2.44</v>
      </c>
      <c r="P49" s="7">
        <v>2.44</v>
      </c>
      <c r="Q49" s="10">
        <v>8</v>
      </c>
    </row>
    <row r="50" spans="1:17" x14ac:dyDescent="0.25">
      <c r="A50" s="1" t="s">
        <v>60</v>
      </c>
      <c r="B50" s="1"/>
      <c r="C50" s="1"/>
      <c r="D50" s="2"/>
      <c r="E50" s="2"/>
      <c r="F50" s="2"/>
      <c r="G50" s="2"/>
      <c r="H50" s="6">
        <v>45835</v>
      </c>
      <c r="I50" s="19">
        <v>90</v>
      </c>
      <c r="J50" s="7" t="s">
        <v>91</v>
      </c>
      <c r="K50" s="7" t="s">
        <v>91</v>
      </c>
      <c r="L50" s="7" t="s">
        <v>91</v>
      </c>
      <c r="M50" s="7" t="s">
        <v>91</v>
      </c>
      <c r="N50" s="7">
        <v>9.7650000000000006</v>
      </c>
      <c r="O50" s="7">
        <v>9.7650000000000006</v>
      </c>
      <c r="P50" s="7">
        <v>9.7650000000000006</v>
      </c>
      <c r="Q50" s="10">
        <v>6</v>
      </c>
    </row>
    <row r="51" spans="1:17" x14ac:dyDescent="0.25">
      <c r="A51" s="1"/>
      <c r="B51" s="1"/>
      <c r="C51" s="1"/>
      <c r="D51" s="1"/>
      <c r="E51" s="1"/>
      <c r="F51" s="1"/>
      <c r="G51" s="1"/>
      <c r="H51" s="6"/>
      <c r="I51" s="7"/>
      <c r="J51" s="7"/>
      <c r="K51" s="7"/>
      <c r="L51" s="7"/>
      <c r="M51" s="7"/>
      <c r="N51" s="7"/>
      <c r="O51" s="7"/>
      <c r="P51" s="7"/>
      <c r="Q51" s="10"/>
    </row>
    <row r="52" spans="1:17" x14ac:dyDescent="0.25">
      <c r="A52" s="1" t="s">
        <v>61</v>
      </c>
      <c r="B52" s="1" t="s">
        <v>62</v>
      </c>
      <c r="C52" s="1" t="s">
        <v>54</v>
      </c>
      <c r="D52" s="2" t="s">
        <v>15</v>
      </c>
      <c r="E52" s="1" t="s">
        <v>34</v>
      </c>
      <c r="F52" s="2" t="s">
        <v>15</v>
      </c>
      <c r="G52" s="1" t="s">
        <v>34</v>
      </c>
      <c r="H52" s="6">
        <v>45825</v>
      </c>
      <c r="I52" s="19">
        <v>25</v>
      </c>
      <c r="J52" s="7">
        <v>217.5</v>
      </c>
      <c r="K52" s="7">
        <v>217.5</v>
      </c>
      <c r="L52" s="7">
        <v>217.5</v>
      </c>
      <c r="M52" s="7">
        <v>6</v>
      </c>
      <c r="N52" s="7">
        <v>78.125</v>
      </c>
      <c r="O52" s="7">
        <v>78.125</v>
      </c>
      <c r="P52" s="7">
        <v>78.125</v>
      </c>
      <c r="Q52" s="10">
        <v>3</v>
      </c>
    </row>
    <row r="53" spans="1:17" x14ac:dyDescent="0.25">
      <c r="A53" s="1" t="s">
        <v>61</v>
      </c>
      <c r="B53" s="1"/>
      <c r="C53" s="1"/>
      <c r="D53" s="2"/>
      <c r="E53" s="1"/>
      <c r="F53" s="2"/>
      <c r="G53" s="1"/>
      <c r="H53" s="6">
        <v>45827</v>
      </c>
      <c r="I53" s="19">
        <v>11</v>
      </c>
      <c r="J53" s="7">
        <v>217.5</v>
      </c>
      <c r="K53" s="7">
        <v>217.5</v>
      </c>
      <c r="L53" s="7">
        <v>217.5</v>
      </c>
      <c r="M53" s="7">
        <v>6</v>
      </c>
      <c r="N53" s="7">
        <v>19.53</v>
      </c>
      <c r="O53" s="7">
        <v>19.53</v>
      </c>
      <c r="P53" s="7">
        <v>19.53</v>
      </c>
      <c r="Q53" s="10">
        <v>5</v>
      </c>
    </row>
    <row r="54" spans="1:17" x14ac:dyDescent="0.25">
      <c r="A54" s="1" t="s">
        <v>61</v>
      </c>
      <c r="B54" s="1"/>
      <c r="C54" s="1"/>
      <c r="D54" s="2"/>
      <c r="E54" s="1"/>
      <c r="F54" s="2"/>
      <c r="G54" s="1"/>
      <c r="H54" s="6">
        <v>45831</v>
      </c>
      <c r="I54" s="19">
        <v>71</v>
      </c>
      <c r="J54" s="7">
        <v>217.5</v>
      </c>
      <c r="K54" s="7">
        <v>217.5</v>
      </c>
      <c r="L54" s="7">
        <v>217.5</v>
      </c>
      <c r="M54" s="7">
        <v>6</v>
      </c>
      <c r="N54" s="7">
        <v>4.88</v>
      </c>
      <c r="O54" s="7">
        <v>4.88</v>
      </c>
      <c r="P54" s="7">
        <v>4.88</v>
      </c>
      <c r="Q54" s="10">
        <v>7</v>
      </c>
    </row>
    <row r="55" spans="1:17" x14ac:dyDescent="0.25">
      <c r="A55" s="1"/>
      <c r="B55" s="1"/>
      <c r="C55" s="1"/>
      <c r="D55" s="2"/>
      <c r="E55" s="1"/>
      <c r="F55" s="2"/>
      <c r="G55" s="1"/>
      <c r="H55" s="6">
        <v>45835</v>
      </c>
      <c r="I55" s="19">
        <v>62</v>
      </c>
      <c r="J55" s="7" t="s">
        <v>91</v>
      </c>
      <c r="K55" s="7" t="s">
        <v>91</v>
      </c>
      <c r="L55" s="7" t="s">
        <v>91</v>
      </c>
      <c r="M55" s="7" t="s">
        <v>91</v>
      </c>
      <c r="N55" s="7">
        <v>19.53</v>
      </c>
      <c r="O55" s="7">
        <v>19.53</v>
      </c>
      <c r="P55" s="7">
        <v>19.53</v>
      </c>
      <c r="Q55" s="10">
        <v>5</v>
      </c>
    </row>
    <row r="56" spans="1:17" x14ac:dyDescent="0.25">
      <c r="A56" s="1"/>
      <c r="B56" s="1"/>
      <c r="C56" s="1"/>
      <c r="D56" s="1"/>
      <c r="E56" s="1"/>
      <c r="F56" s="1"/>
      <c r="G56" s="1"/>
      <c r="H56" s="6"/>
      <c r="I56" s="7"/>
      <c r="J56" s="7"/>
      <c r="K56" s="7"/>
      <c r="L56" s="7"/>
      <c r="M56" s="7"/>
      <c r="N56" s="7"/>
      <c r="O56" s="7"/>
      <c r="P56" s="7"/>
      <c r="Q56" s="10"/>
    </row>
    <row r="57" spans="1:17" x14ac:dyDescent="0.25">
      <c r="A57" s="1" t="s">
        <v>63</v>
      </c>
      <c r="B57" s="1">
        <v>535</v>
      </c>
      <c r="C57" s="1" t="s">
        <v>33</v>
      </c>
      <c r="D57" s="1" t="s">
        <v>34</v>
      </c>
      <c r="E57" s="1" t="s">
        <v>34</v>
      </c>
      <c r="F57" s="2" t="s">
        <v>15</v>
      </c>
      <c r="G57" s="1" t="s">
        <v>34</v>
      </c>
      <c r="H57" s="6">
        <v>45825</v>
      </c>
      <c r="I57" s="19">
        <v>18</v>
      </c>
      <c r="J57" s="7">
        <v>217.5</v>
      </c>
      <c r="K57" s="7">
        <v>217.5</v>
      </c>
      <c r="L57" s="7">
        <v>217.5</v>
      </c>
      <c r="M57" s="7">
        <v>6</v>
      </c>
      <c r="N57" s="7">
        <v>4.88</v>
      </c>
      <c r="O57" s="7">
        <v>4.88</v>
      </c>
      <c r="P57" s="7">
        <v>4.88</v>
      </c>
      <c r="Q57" s="10">
        <v>7</v>
      </c>
    </row>
    <row r="58" spans="1:17" x14ac:dyDescent="0.25">
      <c r="A58" s="1" t="s">
        <v>63</v>
      </c>
      <c r="B58" s="1"/>
      <c r="C58" s="1"/>
      <c r="D58" s="1"/>
      <c r="E58" s="1"/>
      <c r="F58" s="2"/>
      <c r="G58" s="1"/>
      <c r="H58" s="6">
        <v>45827</v>
      </c>
      <c r="I58" s="19">
        <v>23</v>
      </c>
      <c r="J58" s="7">
        <v>217.5</v>
      </c>
      <c r="K58" s="7">
        <v>217.5</v>
      </c>
      <c r="L58" s="7">
        <v>217.5</v>
      </c>
      <c r="M58" s="7">
        <v>6</v>
      </c>
      <c r="N58" s="7">
        <v>9.7650000000000006</v>
      </c>
      <c r="O58" s="7">
        <v>9.7650000000000006</v>
      </c>
      <c r="P58" s="7">
        <v>9.7650000000000006</v>
      </c>
      <c r="Q58" s="10">
        <v>6</v>
      </c>
    </row>
    <row r="59" spans="1:17" x14ac:dyDescent="0.25">
      <c r="A59" s="1" t="s">
        <v>63</v>
      </c>
      <c r="B59" s="1"/>
      <c r="C59" s="1"/>
      <c r="D59" s="1"/>
      <c r="E59" s="1"/>
      <c r="F59" s="2"/>
      <c r="G59" s="1"/>
      <c r="H59" s="6">
        <v>45831</v>
      </c>
      <c r="I59" s="19">
        <v>106</v>
      </c>
      <c r="J59" s="7">
        <v>217.5</v>
      </c>
      <c r="K59" s="7">
        <v>217.5</v>
      </c>
      <c r="L59" s="7">
        <v>217.5</v>
      </c>
      <c r="M59" s="7">
        <v>6</v>
      </c>
      <c r="N59" s="7">
        <v>9.7650000000000006</v>
      </c>
      <c r="O59" s="7">
        <v>9.7650000000000006</v>
      </c>
      <c r="P59" s="7">
        <v>9.7650000000000006</v>
      </c>
      <c r="Q59" s="10">
        <v>6</v>
      </c>
    </row>
    <row r="60" spans="1:17" x14ac:dyDescent="0.25">
      <c r="A60" s="1"/>
      <c r="B60" s="1"/>
      <c r="C60" s="1"/>
      <c r="D60" s="1"/>
      <c r="E60" s="1"/>
      <c r="F60" s="1"/>
      <c r="G60" s="1"/>
      <c r="H60" s="6"/>
      <c r="I60" s="7"/>
      <c r="J60" s="7"/>
      <c r="K60" s="7"/>
      <c r="L60" s="7"/>
      <c r="M60" s="7"/>
      <c r="N60" s="7"/>
      <c r="O60" s="7"/>
      <c r="P60" s="7"/>
      <c r="Q60" s="10"/>
    </row>
    <row r="61" spans="1:17" x14ac:dyDescent="0.25">
      <c r="A61" s="1" t="s">
        <v>64</v>
      </c>
      <c r="B61" s="1" t="s">
        <v>65</v>
      </c>
      <c r="C61" s="1" t="s">
        <v>52</v>
      </c>
      <c r="D61" s="2" t="s">
        <v>15</v>
      </c>
      <c r="E61" s="1" t="s">
        <v>34</v>
      </c>
      <c r="F61" s="2" t="s">
        <v>15</v>
      </c>
      <c r="G61" s="1" t="s">
        <v>34</v>
      </c>
      <c r="H61" s="6">
        <v>45825</v>
      </c>
      <c r="I61" s="19">
        <v>5</v>
      </c>
      <c r="J61" s="7">
        <v>217.5</v>
      </c>
      <c r="K61" s="7">
        <v>217.5</v>
      </c>
      <c r="L61" s="7">
        <v>217.5</v>
      </c>
      <c r="M61" s="7">
        <v>6</v>
      </c>
      <c r="N61" s="7">
        <v>78.125</v>
      </c>
      <c r="O61" s="7">
        <v>78.125</v>
      </c>
      <c r="P61" s="7">
        <v>78.125</v>
      </c>
      <c r="Q61" s="10">
        <v>3</v>
      </c>
    </row>
    <row r="62" spans="1:17" x14ac:dyDescent="0.25">
      <c r="A62" s="1" t="s">
        <v>64</v>
      </c>
      <c r="B62" s="1"/>
      <c r="C62" s="1" t="s">
        <v>54</v>
      </c>
      <c r="D62" s="2"/>
      <c r="E62" s="1"/>
      <c r="F62" s="2"/>
      <c r="G62" s="1"/>
      <c r="H62" s="6">
        <v>45827</v>
      </c>
      <c r="I62" s="19">
        <v>20</v>
      </c>
      <c r="J62" s="7">
        <v>217.5</v>
      </c>
      <c r="K62" s="7">
        <v>217.5</v>
      </c>
      <c r="L62" s="7">
        <v>217.5</v>
      </c>
      <c r="M62" s="7">
        <v>6</v>
      </c>
      <c r="N62" s="7">
        <v>9.7650000000000006</v>
      </c>
      <c r="O62" s="7">
        <v>9.7650000000000006</v>
      </c>
      <c r="P62" s="7">
        <v>9.7650000000000006</v>
      </c>
      <c r="Q62" s="10">
        <v>6</v>
      </c>
    </row>
    <row r="63" spans="1:17" x14ac:dyDescent="0.25">
      <c r="A63" s="1" t="s">
        <v>64</v>
      </c>
      <c r="B63" s="1"/>
      <c r="C63" s="1"/>
      <c r="D63" s="2"/>
      <c r="E63" s="1"/>
      <c r="F63" s="2"/>
      <c r="G63" s="1"/>
      <c r="H63" s="6">
        <v>45831</v>
      </c>
      <c r="I63" s="19">
        <v>13</v>
      </c>
      <c r="J63" s="7">
        <v>217.5</v>
      </c>
      <c r="K63" s="7">
        <v>217.5</v>
      </c>
      <c r="L63" s="7">
        <v>217.5</v>
      </c>
      <c r="M63" s="7">
        <v>6</v>
      </c>
      <c r="N63" s="7">
        <v>2.44</v>
      </c>
      <c r="O63" s="7">
        <v>2.44</v>
      </c>
      <c r="P63" s="7">
        <v>2.44</v>
      </c>
      <c r="Q63" s="10">
        <v>8</v>
      </c>
    </row>
    <row r="64" spans="1:17" x14ac:dyDescent="0.25">
      <c r="A64" s="1" t="s">
        <v>64</v>
      </c>
      <c r="B64" s="1"/>
      <c r="C64" s="1"/>
      <c r="D64" s="2"/>
      <c r="E64" s="1"/>
      <c r="F64" s="2"/>
      <c r="G64" s="1"/>
      <c r="H64" s="6">
        <v>45835</v>
      </c>
      <c r="I64" s="19">
        <v>106</v>
      </c>
      <c r="J64" s="7" t="s">
        <v>91</v>
      </c>
      <c r="K64" s="7" t="s">
        <v>91</v>
      </c>
      <c r="L64" s="7" t="s">
        <v>91</v>
      </c>
      <c r="M64" s="7" t="s">
        <v>91</v>
      </c>
      <c r="N64" s="7">
        <v>9.7650000000000006</v>
      </c>
      <c r="O64" s="7">
        <v>9.7650000000000006</v>
      </c>
      <c r="P64" s="7">
        <v>9.7650000000000006</v>
      </c>
      <c r="Q64" s="10">
        <v>6</v>
      </c>
    </row>
    <row r="65" spans="1:17" x14ac:dyDescent="0.25">
      <c r="A65" s="1"/>
      <c r="B65" s="1"/>
      <c r="C65" s="1"/>
      <c r="D65" s="1"/>
      <c r="E65" s="1"/>
      <c r="F65" s="1"/>
      <c r="G65" s="1"/>
      <c r="H65" s="6"/>
      <c r="I65" s="7"/>
      <c r="J65" s="7"/>
      <c r="K65" s="7"/>
      <c r="L65" s="7"/>
      <c r="M65" s="7"/>
      <c r="N65" s="7"/>
      <c r="O65" s="7"/>
      <c r="P65" s="7"/>
      <c r="Q65" s="10"/>
    </row>
    <row r="66" spans="1:17" x14ac:dyDescent="0.25">
      <c r="A66" s="1" t="s">
        <v>66</v>
      </c>
      <c r="B66" s="1">
        <v>8658</v>
      </c>
      <c r="C66" s="1" t="s">
        <v>52</v>
      </c>
      <c r="D66" s="2" t="s">
        <v>15</v>
      </c>
      <c r="E66" s="1" t="s">
        <v>34</v>
      </c>
      <c r="F66" s="2" t="s">
        <v>15</v>
      </c>
      <c r="G66" s="1" t="s">
        <v>34</v>
      </c>
      <c r="H66" s="6">
        <v>45825</v>
      </c>
      <c r="I66" s="19">
        <v>19</v>
      </c>
      <c r="J66" s="7">
        <v>217.5</v>
      </c>
      <c r="K66" s="7">
        <v>217.5</v>
      </c>
      <c r="L66" s="7">
        <v>217.5</v>
      </c>
      <c r="M66" s="7">
        <v>6</v>
      </c>
      <c r="N66" s="7">
        <v>78.125</v>
      </c>
      <c r="O66" s="7">
        <v>78.125</v>
      </c>
      <c r="P66" s="7">
        <v>78.125</v>
      </c>
      <c r="Q66" s="10">
        <v>3</v>
      </c>
    </row>
    <row r="67" spans="1:17" x14ac:dyDescent="0.25">
      <c r="A67" s="1" t="s">
        <v>66</v>
      </c>
      <c r="B67" s="1"/>
      <c r="C67" s="1" t="s">
        <v>54</v>
      </c>
      <c r="D67" s="2"/>
      <c r="E67" s="1"/>
      <c r="F67" s="2"/>
      <c r="G67" s="1"/>
      <c r="H67" s="6">
        <v>45827</v>
      </c>
      <c r="I67" s="19">
        <v>4</v>
      </c>
      <c r="J67" s="7">
        <v>217.5</v>
      </c>
      <c r="K67" s="7">
        <v>217.5</v>
      </c>
      <c r="L67" s="7">
        <v>217.5</v>
      </c>
      <c r="M67" s="7">
        <v>6</v>
      </c>
      <c r="N67" s="7">
        <v>9.7650000000000006</v>
      </c>
      <c r="O67" s="7">
        <v>9.7650000000000006</v>
      </c>
      <c r="P67" s="7">
        <v>9.7650000000000006</v>
      </c>
      <c r="Q67" s="10">
        <v>6</v>
      </c>
    </row>
    <row r="68" spans="1:17" x14ac:dyDescent="0.25">
      <c r="A68" s="1" t="s">
        <v>66</v>
      </c>
      <c r="B68" s="1"/>
      <c r="C68" s="1"/>
      <c r="D68" s="2"/>
      <c r="E68" s="1"/>
      <c r="F68" s="2"/>
      <c r="G68" s="1"/>
      <c r="H68" s="6">
        <v>45831</v>
      </c>
      <c r="I68" s="19">
        <v>116</v>
      </c>
      <c r="J68" s="7">
        <v>217.5</v>
      </c>
      <c r="K68" s="7">
        <v>217.5</v>
      </c>
      <c r="L68" s="7">
        <v>217.5</v>
      </c>
      <c r="M68" s="7">
        <v>6</v>
      </c>
      <c r="N68" s="7">
        <v>9.7650000000000006</v>
      </c>
      <c r="O68" s="7">
        <v>9.7650000000000006</v>
      </c>
      <c r="P68" s="7">
        <v>9.7650000000000006</v>
      </c>
      <c r="Q68" s="10">
        <v>6</v>
      </c>
    </row>
    <row r="69" spans="1:17" x14ac:dyDescent="0.25">
      <c r="A69" s="1"/>
      <c r="B69" s="1"/>
      <c r="C69" s="1"/>
      <c r="D69" s="1" t="s">
        <v>19</v>
      </c>
      <c r="E69" s="1" t="s">
        <v>20</v>
      </c>
      <c r="F69" s="1" t="s">
        <v>21</v>
      </c>
      <c r="G69" s="1" t="s">
        <v>22</v>
      </c>
      <c r="H69" s="5" t="s">
        <v>24</v>
      </c>
      <c r="I69" s="5" t="s">
        <v>25</v>
      </c>
      <c r="J69" s="5" t="s">
        <v>26</v>
      </c>
      <c r="K69" s="5" t="s">
        <v>27</v>
      </c>
      <c r="L69" s="5" t="s">
        <v>28</v>
      </c>
      <c r="M69" s="5" t="s">
        <v>81</v>
      </c>
      <c r="N69" s="20" t="s">
        <v>26</v>
      </c>
      <c r="O69" s="20" t="s">
        <v>27</v>
      </c>
      <c r="P69" s="20" t="s">
        <v>28</v>
      </c>
      <c r="Q69" s="5" t="s">
        <v>81</v>
      </c>
    </row>
    <row r="70" spans="1:17" x14ac:dyDescent="0.25">
      <c r="A70" s="1" t="s">
        <v>67</v>
      </c>
      <c r="B70" s="1">
        <v>27</v>
      </c>
      <c r="C70" s="1" t="s">
        <v>83</v>
      </c>
      <c r="D70" s="1" t="s">
        <v>34</v>
      </c>
      <c r="E70" s="1" t="s">
        <v>34</v>
      </c>
      <c r="F70" s="2" t="s">
        <v>15</v>
      </c>
      <c r="G70" s="1" t="s">
        <v>34</v>
      </c>
      <c r="H70" s="6">
        <v>45825</v>
      </c>
      <c r="I70" s="19">
        <v>60</v>
      </c>
      <c r="J70" s="7">
        <v>217.5</v>
      </c>
      <c r="K70" s="7">
        <v>217.5</v>
      </c>
      <c r="L70" s="7">
        <v>217.5</v>
      </c>
      <c r="M70" s="7">
        <v>6</v>
      </c>
      <c r="N70" s="7">
        <v>9.7650000000000006</v>
      </c>
      <c r="O70" s="7">
        <v>9.7650000000000006</v>
      </c>
      <c r="P70" s="7">
        <v>9.7650000000000006</v>
      </c>
      <c r="Q70" s="10">
        <v>6</v>
      </c>
    </row>
    <row r="71" spans="1:17" x14ac:dyDescent="0.25">
      <c r="A71" s="1" t="s">
        <v>67</v>
      </c>
      <c r="B71" s="1"/>
      <c r="C71" s="1" t="s">
        <v>52</v>
      </c>
      <c r="D71" s="1"/>
      <c r="E71" s="1"/>
      <c r="F71" s="2"/>
      <c r="G71" s="1"/>
      <c r="H71" s="6">
        <v>45827</v>
      </c>
      <c r="I71" s="19">
        <v>5</v>
      </c>
      <c r="J71" s="7">
        <v>217.5</v>
      </c>
      <c r="K71" s="7">
        <v>217.5</v>
      </c>
      <c r="L71" s="7">
        <v>217.5</v>
      </c>
      <c r="M71" s="7">
        <v>6</v>
      </c>
      <c r="N71" s="7">
        <v>4.88</v>
      </c>
      <c r="O71" s="7">
        <v>4.88</v>
      </c>
      <c r="P71" s="7">
        <v>4.88</v>
      </c>
      <c r="Q71" s="10">
        <v>7</v>
      </c>
    </row>
    <row r="72" spans="1:17" x14ac:dyDescent="0.25">
      <c r="A72" s="1" t="s">
        <v>67</v>
      </c>
      <c r="B72" s="1"/>
      <c r="C72" s="1"/>
      <c r="D72" s="1"/>
      <c r="E72" s="1"/>
      <c r="F72" s="2"/>
      <c r="G72" s="1"/>
      <c r="H72" s="6">
        <v>45831</v>
      </c>
      <c r="I72" s="19">
        <v>32</v>
      </c>
      <c r="J72" s="7">
        <v>217.5</v>
      </c>
      <c r="K72" s="7">
        <v>217.5</v>
      </c>
      <c r="L72" s="7">
        <v>217.5</v>
      </c>
      <c r="M72" s="7">
        <v>6</v>
      </c>
      <c r="N72" s="7">
        <v>4.88</v>
      </c>
      <c r="O72" s="7">
        <v>4.88</v>
      </c>
      <c r="P72" s="7">
        <v>4.88</v>
      </c>
      <c r="Q72" s="10">
        <v>7</v>
      </c>
    </row>
    <row r="73" spans="1:17" x14ac:dyDescent="0.25">
      <c r="A73" s="1"/>
      <c r="B73" s="1"/>
      <c r="C73" s="1"/>
      <c r="D73" s="1"/>
      <c r="E73" s="1"/>
      <c r="F73" s="1"/>
      <c r="G73" s="1"/>
      <c r="H73" s="6"/>
      <c r="I73" s="7"/>
      <c r="J73" s="7"/>
      <c r="K73" s="7"/>
      <c r="L73" s="7"/>
      <c r="M73" s="7"/>
      <c r="N73" s="7"/>
      <c r="O73" s="7"/>
      <c r="P73" s="7"/>
      <c r="Q73" s="10"/>
    </row>
    <row r="74" spans="1:17" x14ac:dyDescent="0.25">
      <c r="A74" s="1" t="s">
        <v>69</v>
      </c>
      <c r="B74" s="1">
        <v>6964</v>
      </c>
      <c r="C74" s="1" t="s">
        <v>83</v>
      </c>
      <c r="D74" s="2" t="s">
        <v>15</v>
      </c>
      <c r="E74" s="1" t="s">
        <v>34</v>
      </c>
      <c r="F74" s="2" t="s">
        <v>15</v>
      </c>
      <c r="G74" s="1" t="s">
        <v>34</v>
      </c>
      <c r="H74" s="6">
        <v>45825</v>
      </c>
      <c r="I74" s="19">
        <v>31</v>
      </c>
      <c r="J74" s="7">
        <v>217.5</v>
      </c>
      <c r="K74" s="7">
        <v>217.5</v>
      </c>
      <c r="L74" s="7">
        <v>217.5</v>
      </c>
      <c r="M74" s="7">
        <v>6</v>
      </c>
      <c r="N74" s="7">
        <v>4.88</v>
      </c>
      <c r="O74" s="7">
        <v>4.88</v>
      </c>
      <c r="P74" s="7">
        <v>4.88</v>
      </c>
      <c r="Q74" s="10">
        <v>7</v>
      </c>
    </row>
    <row r="75" spans="1:17" x14ac:dyDescent="0.25">
      <c r="A75" s="1" t="s">
        <v>69</v>
      </c>
      <c r="B75" s="1"/>
      <c r="C75" s="1" t="s">
        <v>52</v>
      </c>
      <c r="D75" s="2"/>
      <c r="E75" s="1"/>
      <c r="F75" s="2"/>
      <c r="G75" s="1"/>
      <c r="H75" s="6">
        <v>45827</v>
      </c>
      <c r="I75" s="19">
        <v>15</v>
      </c>
      <c r="J75" s="7">
        <v>217.5</v>
      </c>
      <c r="K75" s="7">
        <v>217.5</v>
      </c>
      <c r="L75" s="7">
        <v>217.5</v>
      </c>
      <c r="M75" s="7">
        <v>6</v>
      </c>
      <c r="N75" s="7">
        <v>4.88</v>
      </c>
      <c r="O75" s="7">
        <v>4.88</v>
      </c>
      <c r="P75" s="7">
        <v>4.88</v>
      </c>
      <c r="Q75" s="10">
        <v>7</v>
      </c>
    </row>
    <row r="76" spans="1:17" x14ac:dyDescent="0.25">
      <c r="A76" s="1" t="s">
        <v>69</v>
      </c>
      <c r="B76" s="1"/>
      <c r="C76" s="1" t="s">
        <v>54</v>
      </c>
      <c r="D76" s="2"/>
      <c r="E76" s="1"/>
      <c r="F76" s="2"/>
      <c r="G76" s="1"/>
      <c r="H76" s="6">
        <v>45831</v>
      </c>
      <c r="I76" s="19">
        <v>30</v>
      </c>
      <c r="J76" s="7">
        <v>217.5</v>
      </c>
      <c r="K76" s="7">
        <v>217.5</v>
      </c>
      <c r="L76" s="7">
        <v>217.5</v>
      </c>
      <c r="M76" s="7">
        <v>6</v>
      </c>
      <c r="N76" s="7">
        <v>4.88</v>
      </c>
      <c r="O76" s="7">
        <v>4.88</v>
      </c>
      <c r="P76" s="7">
        <v>4.88</v>
      </c>
      <c r="Q76" s="10">
        <v>7</v>
      </c>
    </row>
    <row r="77" spans="1:17" x14ac:dyDescent="0.25">
      <c r="A77" s="1"/>
      <c r="B77" s="1"/>
      <c r="C77" s="1"/>
      <c r="D77" s="1"/>
      <c r="E77" s="1"/>
      <c r="F77" s="1"/>
      <c r="G77" s="1"/>
      <c r="H77" s="6"/>
      <c r="I77" s="7"/>
      <c r="J77" s="7"/>
      <c r="K77" s="7"/>
      <c r="L77" s="7"/>
      <c r="M77" s="7"/>
      <c r="N77" s="7"/>
      <c r="O77" s="7"/>
      <c r="P77" s="7"/>
      <c r="Q77" s="10"/>
    </row>
    <row r="78" spans="1:17" x14ac:dyDescent="0.25">
      <c r="A78" s="1" t="s">
        <v>71</v>
      </c>
      <c r="B78" s="1">
        <v>1919</v>
      </c>
      <c r="C78" s="1" t="s">
        <v>52</v>
      </c>
      <c r="D78" s="2" t="s">
        <v>15</v>
      </c>
      <c r="E78" s="1" t="s">
        <v>34</v>
      </c>
      <c r="F78" s="2" t="s">
        <v>15</v>
      </c>
      <c r="G78" s="1" t="s">
        <v>34</v>
      </c>
      <c r="H78" s="6">
        <v>45825</v>
      </c>
      <c r="I78" s="19">
        <v>7</v>
      </c>
      <c r="J78" s="7">
        <v>108.75</v>
      </c>
      <c r="K78" s="7">
        <v>108.75</v>
      </c>
      <c r="L78" s="7">
        <v>108.75</v>
      </c>
      <c r="M78" s="7">
        <v>7</v>
      </c>
      <c r="N78" s="7">
        <v>4.88</v>
      </c>
      <c r="O78" s="7">
        <v>4.88</v>
      </c>
      <c r="P78" s="7">
        <v>4.88</v>
      </c>
      <c r="Q78" s="10">
        <v>7</v>
      </c>
    </row>
    <row r="79" spans="1:17" x14ac:dyDescent="0.25">
      <c r="A79" s="1" t="s">
        <v>71</v>
      </c>
      <c r="B79" s="1"/>
      <c r="C79" s="1" t="s">
        <v>54</v>
      </c>
      <c r="D79" s="2"/>
      <c r="E79" s="1"/>
      <c r="F79" s="2"/>
      <c r="G79" s="1"/>
      <c r="H79" s="6">
        <v>45827</v>
      </c>
      <c r="I79" s="19">
        <v>4</v>
      </c>
      <c r="J79" s="7">
        <v>217.5</v>
      </c>
      <c r="K79" s="7">
        <v>217.5</v>
      </c>
      <c r="L79" s="7">
        <v>217.5</v>
      </c>
      <c r="M79" s="7">
        <v>6</v>
      </c>
      <c r="N79" s="7">
        <v>4.88</v>
      </c>
      <c r="O79" s="7">
        <v>4.88</v>
      </c>
      <c r="P79" s="7">
        <v>4.88</v>
      </c>
      <c r="Q79" s="10">
        <v>7</v>
      </c>
    </row>
    <row r="80" spans="1:17" x14ac:dyDescent="0.25">
      <c r="A80" s="1" t="s">
        <v>71</v>
      </c>
      <c r="B80" s="1"/>
      <c r="C80" s="1"/>
      <c r="D80" s="2"/>
      <c r="E80" s="1"/>
      <c r="F80" s="2"/>
      <c r="G80" s="1"/>
      <c r="H80" s="6">
        <v>45831</v>
      </c>
      <c r="I80" s="19">
        <v>27</v>
      </c>
      <c r="J80" s="7">
        <v>217.5</v>
      </c>
      <c r="K80" s="7">
        <v>217.5</v>
      </c>
      <c r="L80" s="7">
        <v>217.5</v>
      </c>
      <c r="M80" s="7">
        <v>6</v>
      </c>
      <c r="N80" s="7">
        <v>9.7650000000000006</v>
      </c>
      <c r="O80" s="7">
        <v>9.7650000000000006</v>
      </c>
      <c r="P80" s="7">
        <v>9.7650000000000006</v>
      </c>
      <c r="Q80" s="10">
        <v>6</v>
      </c>
    </row>
    <row r="81" spans="1:17" x14ac:dyDescent="0.25">
      <c r="A81" s="1"/>
      <c r="B81" s="1"/>
      <c r="C81" s="1"/>
      <c r="D81" s="1"/>
      <c r="E81" s="1"/>
      <c r="F81" s="1"/>
      <c r="G81" s="1"/>
      <c r="H81" s="6"/>
      <c r="I81" s="7"/>
      <c r="J81" s="7"/>
      <c r="K81" s="7"/>
      <c r="L81" s="7"/>
      <c r="M81" s="7"/>
      <c r="N81" s="7"/>
      <c r="O81" s="7"/>
      <c r="P81" s="7"/>
      <c r="Q81" s="10"/>
    </row>
    <row r="82" spans="1:17" x14ac:dyDescent="0.25">
      <c r="A82" s="1" t="s">
        <v>72</v>
      </c>
      <c r="B82" s="1">
        <v>8187</v>
      </c>
      <c r="C82" s="1" t="s">
        <v>54</v>
      </c>
      <c r="D82" s="2" t="s">
        <v>15</v>
      </c>
      <c r="E82" s="1" t="s">
        <v>34</v>
      </c>
      <c r="F82" s="1" t="s">
        <v>34</v>
      </c>
      <c r="G82" s="1" t="s">
        <v>34</v>
      </c>
      <c r="H82" s="6">
        <v>45825</v>
      </c>
      <c r="I82" s="19">
        <v>42</v>
      </c>
      <c r="J82" s="7">
        <v>217.5</v>
      </c>
      <c r="K82" s="7">
        <v>217.5</v>
      </c>
      <c r="L82" s="7">
        <v>217.5</v>
      </c>
      <c r="M82" s="7">
        <v>6</v>
      </c>
      <c r="N82" s="7">
        <v>2.44</v>
      </c>
      <c r="O82" s="7">
        <v>2.44</v>
      </c>
      <c r="P82" s="7">
        <v>2.44</v>
      </c>
      <c r="Q82" s="10">
        <v>8</v>
      </c>
    </row>
    <row r="83" spans="1:17" x14ac:dyDescent="0.25">
      <c r="A83" s="1" t="s">
        <v>72</v>
      </c>
      <c r="B83" s="1"/>
      <c r="C83" s="1"/>
      <c r="D83" s="2"/>
      <c r="E83" s="1"/>
      <c r="F83" s="1"/>
      <c r="G83" s="1"/>
      <c r="H83" s="6">
        <v>45827</v>
      </c>
      <c r="I83" s="19">
        <v>5</v>
      </c>
      <c r="J83" s="7">
        <v>108.75</v>
      </c>
      <c r="K83" s="7">
        <v>108.75</v>
      </c>
      <c r="L83" s="7">
        <v>108.75</v>
      </c>
      <c r="M83" s="7">
        <v>7</v>
      </c>
      <c r="N83" s="7">
        <v>9.7650000000000006</v>
      </c>
      <c r="O83" s="7">
        <v>9.7650000000000006</v>
      </c>
      <c r="P83" s="7">
        <v>9.7650000000000006</v>
      </c>
      <c r="Q83" s="10">
        <v>6</v>
      </c>
    </row>
    <row r="84" spans="1:17" x14ac:dyDescent="0.25">
      <c r="A84" s="1" t="s">
        <v>72</v>
      </c>
      <c r="B84" s="1"/>
      <c r="C84" s="1"/>
      <c r="D84" s="2"/>
      <c r="E84" s="1"/>
      <c r="F84" s="1"/>
      <c r="G84" s="1"/>
      <c r="H84" s="6">
        <v>45831</v>
      </c>
      <c r="I84" s="19">
        <v>13</v>
      </c>
      <c r="J84" s="7">
        <v>217.5</v>
      </c>
      <c r="K84" s="7">
        <v>217.5</v>
      </c>
      <c r="L84" s="7">
        <v>217.5</v>
      </c>
      <c r="M84" s="7">
        <v>6</v>
      </c>
      <c r="N84" s="7">
        <v>9.7650000000000006</v>
      </c>
      <c r="O84" s="7">
        <v>9.7650000000000006</v>
      </c>
      <c r="P84" s="7">
        <v>9.7650000000000006</v>
      </c>
      <c r="Q84" s="10">
        <v>6</v>
      </c>
    </row>
    <row r="85" spans="1:17" x14ac:dyDescent="0.25">
      <c r="A85" s="1"/>
      <c r="B85" s="1"/>
      <c r="C85" s="1"/>
      <c r="D85" s="1"/>
      <c r="E85" s="1"/>
      <c r="F85" s="1"/>
      <c r="G85" s="1"/>
      <c r="H85" s="6"/>
      <c r="I85" s="7"/>
      <c r="J85" s="7"/>
      <c r="K85" s="7"/>
      <c r="L85" s="7"/>
      <c r="M85" s="7"/>
      <c r="N85" s="7"/>
      <c r="O85" s="7"/>
      <c r="P85" s="7"/>
      <c r="Q85" s="10"/>
    </row>
    <row r="86" spans="1:17" x14ac:dyDescent="0.25">
      <c r="A86" s="3" t="s">
        <v>73</v>
      </c>
      <c r="B86" s="1"/>
      <c r="C86" s="1" t="s">
        <v>78</v>
      </c>
      <c r="D86" s="1" t="s">
        <v>34</v>
      </c>
      <c r="E86" s="1" t="s">
        <v>34</v>
      </c>
      <c r="F86" s="1" t="s">
        <v>34</v>
      </c>
      <c r="G86" s="1" t="s">
        <v>34</v>
      </c>
      <c r="H86" s="6">
        <v>45825</v>
      </c>
      <c r="I86" s="19">
        <v>12</v>
      </c>
      <c r="J86" s="7">
        <v>217.5</v>
      </c>
      <c r="K86" s="7">
        <v>217.5</v>
      </c>
      <c r="L86" s="7">
        <v>217.5</v>
      </c>
      <c r="M86" s="7">
        <v>6</v>
      </c>
      <c r="N86" s="7">
        <v>4.88</v>
      </c>
      <c r="O86" s="7">
        <v>4.88</v>
      </c>
      <c r="P86" s="7">
        <v>4.88</v>
      </c>
      <c r="Q86" s="10">
        <v>7</v>
      </c>
    </row>
    <row r="87" spans="1:17" x14ac:dyDescent="0.25">
      <c r="A87" s="3" t="s">
        <v>73</v>
      </c>
      <c r="B87" s="1"/>
      <c r="C87" s="1"/>
      <c r="D87" s="1"/>
      <c r="E87" s="1"/>
      <c r="F87" s="1"/>
      <c r="G87" s="1"/>
      <c r="H87" s="6">
        <v>45827</v>
      </c>
      <c r="I87" s="19">
        <v>6</v>
      </c>
      <c r="J87" s="7">
        <v>217.5</v>
      </c>
      <c r="K87" s="7">
        <v>217.5</v>
      </c>
      <c r="L87" s="7">
        <v>217.5</v>
      </c>
      <c r="M87" s="7">
        <v>6</v>
      </c>
      <c r="N87" s="7">
        <v>4.88</v>
      </c>
      <c r="O87" s="7">
        <v>4.88</v>
      </c>
      <c r="P87" s="7">
        <v>4.88</v>
      </c>
      <c r="Q87" s="10">
        <v>7</v>
      </c>
    </row>
    <row r="88" spans="1:17" x14ac:dyDescent="0.25">
      <c r="A88" s="3" t="s">
        <v>73</v>
      </c>
      <c r="B88" s="1"/>
      <c r="C88" s="1"/>
      <c r="D88" s="1"/>
      <c r="E88" s="1"/>
      <c r="F88" s="1"/>
      <c r="G88" s="1"/>
      <c r="H88" s="6">
        <v>45831</v>
      </c>
      <c r="I88" s="19">
        <v>99</v>
      </c>
      <c r="J88" s="7">
        <v>217.5</v>
      </c>
      <c r="K88" s="7">
        <v>217.5</v>
      </c>
      <c r="L88" s="7">
        <v>217.5</v>
      </c>
      <c r="M88" s="7">
        <v>6</v>
      </c>
      <c r="N88" s="7">
        <v>4.88</v>
      </c>
      <c r="O88" s="7">
        <v>4.88</v>
      </c>
      <c r="P88" s="7">
        <v>4.88</v>
      </c>
      <c r="Q88" s="10">
        <v>7</v>
      </c>
    </row>
    <row r="98" spans="1:13" x14ac:dyDescent="0.25">
      <c r="A98" s="4" t="s">
        <v>85</v>
      </c>
    </row>
    <row r="99" spans="1:13" ht="15.75" thickBot="1" x14ac:dyDescent="0.3">
      <c r="A99" s="4" t="s">
        <v>86</v>
      </c>
    </row>
    <row r="100" spans="1:13" ht="15.75" thickBot="1" x14ac:dyDescent="0.3">
      <c r="A100" s="4" t="s">
        <v>87</v>
      </c>
      <c r="B100" s="21">
        <v>1</v>
      </c>
      <c r="C100" s="22">
        <v>2</v>
      </c>
      <c r="D100" s="22">
        <v>3</v>
      </c>
      <c r="E100" s="22">
        <v>4</v>
      </c>
      <c r="F100" s="22">
        <v>5</v>
      </c>
      <c r="G100" s="22">
        <v>6</v>
      </c>
      <c r="H100" s="22">
        <v>7</v>
      </c>
      <c r="I100" s="22">
        <v>8</v>
      </c>
      <c r="J100" s="22">
        <v>9</v>
      </c>
      <c r="K100" s="22">
        <v>10</v>
      </c>
      <c r="L100" s="22">
        <v>11</v>
      </c>
      <c r="M100" s="22">
        <v>12</v>
      </c>
    </row>
    <row r="101" spans="1:13" ht="15.75" thickBot="1" x14ac:dyDescent="0.3">
      <c r="A101" s="4" t="s">
        <v>88</v>
      </c>
      <c r="B101" s="23">
        <v>12</v>
      </c>
      <c r="C101" s="24">
        <v>6</v>
      </c>
      <c r="D101" s="24">
        <v>3</v>
      </c>
      <c r="E101" s="24">
        <v>1.5</v>
      </c>
      <c r="F101" s="24">
        <v>0.75</v>
      </c>
      <c r="G101" s="24">
        <v>0.37</v>
      </c>
      <c r="H101" s="24">
        <v>0.18</v>
      </c>
      <c r="I101" s="24">
        <v>0.09</v>
      </c>
      <c r="J101" s="24">
        <v>0.04</v>
      </c>
      <c r="K101" s="24">
        <v>0.02</v>
      </c>
      <c r="L101" s="24">
        <v>0.01</v>
      </c>
      <c r="M101" s="24">
        <v>5.0000000000000001E-3</v>
      </c>
    </row>
    <row r="102" spans="1:13" ht="15.75" thickBot="1" x14ac:dyDescent="0.3">
      <c r="A102" s="4" t="s">
        <v>89</v>
      </c>
      <c r="B102" s="23">
        <v>6960</v>
      </c>
      <c r="C102" s="24">
        <v>3480</v>
      </c>
      <c r="D102" s="24">
        <v>1740</v>
      </c>
      <c r="E102" s="24">
        <v>870</v>
      </c>
      <c r="F102" s="24">
        <v>435</v>
      </c>
      <c r="G102" s="24">
        <v>217.5</v>
      </c>
      <c r="H102" s="24">
        <v>108.75</v>
      </c>
      <c r="I102" s="24">
        <v>54.37</v>
      </c>
      <c r="J102" s="24">
        <v>27.18</v>
      </c>
      <c r="K102" s="24">
        <v>13.59</v>
      </c>
      <c r="L102" s="24">
        <v>6.79</v>
      </c>
      <c r="M102" s="24">
        <v>3.39</v>
      </c>
    </row>
    <row r="104" spans="1:13" ht="15.75" thickBot="1" x14ac:dyDescent="0.3">
      <c r="A104" s="4" t="s">
        <v>90</v>
      </c>
    </row>
    <row r="105" spans="1:13" ht="15.75" thickBot="1" x14ac:dyDescent="0.3">
      <c r="A105" s="4" t="s">
        <v>87</v>
      </c>
      <c r="B105" s="21">
        <v>1</v>
      </c>
      <c r="C105" s="22">
        <v>2</v>
      </c>
      <c r="D105" s="22">
        <v>3</v>
      </c>
      <c r="E105" s="22">
        <v>4</v>
      </c>
      <c r="F105" s="22">
        <v>5</v>
      </c>
      <c r="G105" s="22">
        <v>6</v>
      </c>
      <c r="H105" s="22">
        <v>7</v>
      </c>
      <c r="I105" s="22">
        <v>8</v>
      </c>
      <c r="J105" s="22">
        <v>9</v>
      </c>
      <c r="K105" s="22">
        <v>10</v>
      </c>
      <c r="L105" s="22">
        <v>11</v>
      </c>
      <c r="M105" s="22">
        <v>12</v>
      </c>
    </row>
    <row r="106" spans="1:13" ht="15.75" thickBot="1" x14ac:dyDescent="0.3">
      <c r="A106" s="4" t="s">
        <v>88</v>
      </c>
      <c r="B106" s="23">
        <v>5</v>
      </c>
      <c r="C106" s="24">
        <v>2.5</v>
      </c>
      <c r="D106" s="24">
        <v>1.2</v>
      </c>
      <c r="E106" s="24">
        <v>0.6</v>
      </c>
      <c r="F106" s="24">
        <v>0.3</v>
      </c>
      <c r="G106" s="24">
        <v>0.15</v>
      </c>
      <c r="H106" s="24">
        <v>7.4999999999999997E-2</v>
      </c>
      <c r="I106" s="24">
        <v>0.03</v>
      </c>
      <c r="J106" s="24">
        <v>0.01</v>
      </c>
      <c r="K106" s="24">
        <v>5.0000000000000001E-3</v>
      </c>
      <c r="L106" s="24">
        <v>2E-3</v>
      </c>
      <c r="M106" s="24">
        <v>1E-3</v>
      </c>
    </row>
    <row r="107" spans="1:13" ht="15.75" thickBot="1" x14ac:dyDescent="0.3">
      <c r="A107" s="4" t="s">
        <v>89</v>
      </c>
      <c r="B107" s="23">
        <v>1250</v>
      </c>
      <c r="C107" s="24">
        <v>625</v>
      </c>
      <c r="D107" s="24">
        <v>312.5</v>
      </c>
      <c r="E107" s="24">
        <v>156.25</v>
      </c>
      <c r="F107" s="24">
        <v>78.099999999999994</v>
      </c>
      <c r="G107" s="24">
        <v>39.06</v>
      </c>
      <c r="H107" s="24">
        <v>19.53</v>
      </c>
      <c r="I107" s="24">
        <v>9.76</v>
      </c>
      <c r="J107" s="24">
        <v>4.88</v>
      </c>
      <c r="K107" s="24">
        <v>2.44</v>
      </c>
      <c r="L107" s="24">
        <v>1.22</v>
      </c>
      <c r="M107" s="24">
        <v>0.61</v>
      </c>
    </row>
  </sheetData>
  <autoFilter ref="P1:P117" xr:uid="{E4F79BDC-DFFA-41EE-9B93-86998EE33F07}"/>
  <mergeCells count="5">
    <mergeCell ref="H1:L1"/>
    <mergeCell ref="N1:Q1"/>
    <mergeCell ref="D2:G2"/>
    <mergeCell ref="H2:L2"/>
    <mergeCell ref="N2:Q2"/>
  </mergeCells>
  <pageMargins left="0.7" right="0.7" top="0.75" bottom="0.75" header="0.3" footer="0.3"/>
  <pageSetup paperSize="9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1F58-ADF3-46B7-B42D-E0FA184D5A28}">
  <dimension ref="A1:Q107"/>
  <sheetViews>
    <sheetView topLeftCell="A64" zoomScale="205" zoomScaleNormal="205" workbookViewId="0">
      <selection activeCell="N86" sqref="N86:P86"/>
    </sheetView>
  </sheetViews>
  <sheetFormatPr defaultRowHeight="15" x14ac:dyDescent="0.25"/>
  <cols>
    <col min="1" max="1" width="11.140625" style="4" bestFit="1" customWidth="1"/>
    <col min="2" max="2" width="6.5703125" style="4" bestFit="1" customWidth="1"/>
    <col min="3" max="3" width="10.42578125" style="4" bestFit="1" customWidth="1"/>
    <col min="4" max="4" width="5" style="4" customWidth="1"/>
    <col min="5" max="5" width="4.140625" style="4" bestFit="1" customWidth="1"/>
    <col min="6" max="6" width="3.85546875" style="4" bestFit="1" customWidth="1"/>
    <col min="7" max="7" width="4.7109375" style="4" bestFit="1" customWidth="1"/>
    <col min="8" max="8" width="8.85546875" style="4" customWidth="1"/>
    <col min="9" max="9" width="6.5703125" style="4" customWidth="1"/>
    <col min="10" max="10" width="6.28515625" style="4" customWidth="1"/>
    <col min="11" max="11" width="5.85546875" style="4" customWidth="1"/>
    <col min="12" max="13" width="6.5703125" style="4" customWidth="1"/>
    <col min="14" max="14" width="7.42578125" style="4" customWidth="1"/>
    <col min="15" max="15" width="7" style="4" customWidth="1"/>
    <col min="16" max="16" width="8.28515625" style="4" customWidth="1"/>
  </cols>
  <sheetData>
    <row r="1" spans="1:17" x14ac:dyDescent="0.25">
      <c r="H1" s="38" t="s">
        <v>82</v>
      </c>
      <c r="I1" s="39"/>
      <c r="J1" s="39"/>
      <c r="K1" s="39"/>
      <c r="L1" s="40"/>
      <c r="M1" s="17"/>
      <c r="N1" s="41" t="s">
        <v>82</v>
      </c>
      <c r="O1" s="41"/>
      <c r="P1" s="41"/>
      <c r="Q1" s="41"/>
    </row>
    <row r="2" spans="1:17" x14ac:dyDescent="0.25">
      <c r="D2" s="35" t="s">
        <v>7</v>
      </c>
      <c r="E2" s="36"/>
      <c r="F2" s="36"/>
      <c r="G2" s="37"/>
      <c r="H2" s="38" t="s">
        <v>79</v>
      </c>
      <c r="I2" s="39"/>
      <c r="J2" s="39"/>
      <c r="K2" s="39"/>
      <c r="L2" s="40"/>
      <c r="M2" s="17"/>
      <c r="N2" s="38" t="s">
        <v>80</v>
      </c>
      <c r="O2" s="39"/>
      <c r="P2" s="39"/>
      <c r="Q2" s="40"/>
    </row>
    <row r="3" spans="1:17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81</v>
      </c>
      <c r="N3" s="20" t="s">
        <v>26</v>
      </c>
      <c r="O3" s="20" t="s">
        <v>27</v>
      </c>
      <c r="P3" s="20" t="s">
        <v>28</v>
      </c>
      <c r="Q3" s="5" t="s">
        <v>81</v>
      </c>
    </row>
    <row r="4" spans="1:17" x14ac:dyDescent="0.25">
      <c r="A4" s="1" t="s">
        <v>32</v>
      </c>
      <c r="B4" s="1">
        <v>825</v>
      </c>
      <c r="C4" s="1" t="s">
        <v>33</v>
      </c>
      <c r="D4" s="1" t="s">
        <v>34</v>
      </c>
      <c r="E4" s="2" t="s">
        <v>15</v>
      </c>
      <c r="F4" s="1" t="s">
        <v>34</v>
      </c>
      <c r="G4" s="1" t="s">
        <v>34</v>
      </c>
      <c r="H4" s="6">
        <v>45825</v>
      </c>
      <c r="I4" s="19">
        <v>115</v>
      </c>
      <c r="J4" s="7">
        <v>435</v>
      </c>
      <c r="K4" s="7">
        <v>435</v>
      </c>
      <c r="L4" s="7">
        <v>435</v>
      </c>
      <c r="M4" s="7">
        <v>5</v>
      </c>
      <c r="N4" s="7">
        <v>156.25</v>
      </c>
      <c r="O4" s="7">
        <v>156.25</v>
      </c>
      <c r="P4" s="7">
        <v>156.25</v>
      </c>
      <c r="Q4" s="10">
        <v>4</v>
      </c>
    </row>
    <row r="5" spans="1:17" x14ac:dyDescent="0.25">
      <c r="A5" s="1" t="s">
        <v>32</v>
      </c>
      <c r="B5" s="1"/>
      <c r="C5" s="1"/>
      <c r="D5" s="1"/>
      <c r="E5" s="2"/>
      <c r="F5" s="1"/>
      <c r="G5" s="1"/>
      <c r="H5" s="6">
        <v>45827</v>
      </c>
      <c r="I5" s="19">
        <v>5</v>
      </c>
      <c r="J5" s="7">
        <v>435</v>
      </c>
      <c r="K5" s="7">
        <v>435</v>
      </c>
      <c r="L5" s="7">
        <v>435</v>
      </c>
      <c r="M5" s="7">
        <v>5</v>
      </c>
      <c r="N5" s="7">
        <v>19.53</v>
      </c>
      <c r="O5" s="7">
        <v>19.53</v>
      </c>
      <c r="P5" s="7">
        <v>19.53</v>
      </c>
      <c r="Q5" s="10">
        <v>7</v>
      </c>
    </row>
    <row r="6" spans="1:17" x14ac:dyDescent="0.25">
      <c r="A6" s="1" t="s">
        <v>32</v>
      </c>
      <c r="B6" s="1"/>
      <c r="C6" s="1"/>
      <c r="D6" s="1"/>
      <c r="E6" s="2"/>
      <c r="F6" s="1"/>
      <c r="G6" s="1"/>
      <c r="H6" s="6">
        <v>45831</v>
      </c>
      <c r="I6" s="19">
        <v>3</v>
      </c>
      <c r="J6" s="7">
        <v>435</v>
      </c>
      <c r="K6" s="7">
        <v>435</v>
      </c>
      <c r="L6" s="7">
        <v>435</v>
      </c>
      <c r="M6" s="7">
        <v>5</v>
      </c>
      <c r="N6" s="7">
        <v>19.53</v>
      </c>
      <c r="O6" s="7">
        <v>19.53</v>
      </c>
      <c r="P6" s="7">
        <v>19.53</v>
      </c>
      <c r="Q6" s="10">
        <v>7</v>
      </c>
    </row>
    <row r="7" spans="1:17" x14ac:dyDescent="0.25">
      <c r="A7" s="1"/>
      <c r="B7" s="1"/>
      <c r="C7" s="1"/>
      <c r="D7" s="1"/>
      <c r="E7" s="1"/>
      <c r="F7" s="1"/>
      <c r="G7" s="1"/>
      <c r="H7" s="6"/>
      <c r="I7" s="7"/>
      <c r="J7" s="7"/>
      <c r="K7" s="7"/>
      <c r="L7" s="7"/>
      <c r="M7" s="7"/>
      <c r="N7" s="7"/>
      <c r="O7" s="7"/>
      <c r="P7" s="7"/>
      <c r="Q7" s="10"/>
    </row>
    <row r="8" spans="1:17" x14ac:dyDescent="0.25">
      <c r="A8" s="1" t="s">
        <v>42</v>
      </c>
      <c r="B8" s="1">
        <v>6964</v>
      </c>
      <c r="C8" s="1" t="s">
        <v>52</v>
      </c>
      <c r="D8" s="2" t="s">
        <v>15</v>
      </c>
      <c r="E8" s="1" t="s">
        <v>34</v>
      </c>
      <c r="F8" s="2" t="s">
        <v>15</v>
      </c>
      <c r="G8" s="1" t="s">
        <v>34</v>
      </c>
      <c r="H8" s="6">
        <v>45825</v>
      </c>
      <c r="I8" s="19">
        <v>35</v>
      </c>
      <c r="J8" s="7">
        <v>435</v>
      </c>
      <c r="K8" s="7">
        <v>435</v>
      </c>
      <c r="L8" s="7">
        <v>435</v>
      </c>
      <c r="M8" s="7">
        <v>5</v>
      </c>
      <c r="N8" s="7">
        <v>156.25</v>
      </c>
      <c r="O8" s="7">
        <v>156.25</v>
      </c>
      <c r="P8" s="7">
        <v>156.25</v>
      </c>
      <c r="Q8" s="10">
        <v>4</v>
      </c>
    </row>
    <row r="9" spans="1:17" x14ac:dyDescent="0.25">
      <c r="A9" s="1" t="s">
        <v>42</v>
      </c>
      <c r="B9" s="1"/>
      <c r="C9" s="1" t="s">
        <v>54</v>
      </c>
      <c r="D9" s="2"/>
      <c r="E9" s="1"/>
      <c r="F9" s="2"/>
      <c r="G9" s="1"/>
      <c r="H9" s="6">
        <v>45827</v>
      </c>
      <c r="I9" s="19">
        <v>9</v>
      </c>
      <c r="J9" s="7">
        <v>435</v>
      </c>
      <c r="K9" s="7">
        <v>435</v>
      </c>
      <c r="L9" s="7">
        <v>435</v>
      </c>
      <c r="M9" s="7">
        <v>5</v>
      </c>
      <c r="N9" s="7">
        <v>19.53</v>
      </c>
      <c r="O9" s="7">
        <v>19.53</v>
      </c>
      <c r="P9" s="7">
        <v>19.53</v>
      </c>
      <c r="Q9" s="10">
        <v>7</v>
      </c>
    </row>
    <row r="10" spans="1:17" x14ac:dyDescent="0.25">
      <c r="A10" s="1" t="s">
        <v>42</v>
      </c>
      <c r="B10" s="1"/>
      <c r="C10" s="1"/>
      <c r="D10" s="2"/>
      <c r="E10" s="1"/>
      <c r="F10" s="2"/>
      <c r="G10" s="1"/>
      <c r="H10" s="6">
        <v>45831</v>
      </c>
      <c r="I10" s="19">
        <v>27</v>
      </c>
      <c r="J10" s="7">
        <v>435</v>
      </c>
      <c r="K10" s="7">
        <v>435</v>
      </c>
      <c r="L10" s="7">
        <v>435</v>
      </c>
      <c r="M10" s="7">
        <v>5</v>
      </c>
      <c r="N10" s="7">
        <v>19.53</v>
      </c>
      <c r="O10" s="7">
        <v>19.53</v>
      </c>
      <c r="P10" s="7">
        <v>19.53</v>
      </c>
      <c r="Q10" s="10">
        <v>7</v>
      </c>
    </row>
    <row r="11" spans="1:17" x14ac:dyDescent="0.25">
      <c r="A11" s="1"/>
      <c r="B11" s="1"/>
      <c r="C11" s="1"/>
      <c r="D11" s="1"/>
      <c r="E11" s="1"/>
      <c r="F11" s="1"/>
      <c r="G11" s="1"/>
      <c r="H11" s="6"/>
      <c r="I11" s="7"/>
      <c r="J11" s="7"/>
      <c r="K11" s="7"/>
      <c r="L11" s="7"/>
      <c r="M11" s="7"/>
      <c r="N11" s="7"/>
      <c r="O11" s="7"/>
      <c r="P11" s="7"/>
      <c r="Q11" s="10"/>
    </row>
    <row r="12" spans="1:17" x14ac:dyDescent="0.25">
      <c r="A12" s="1" t="s">
        <v>46</v>
      </c>
      <c r="B12" s="1" t="s">
        <v>47</v>
      </c>
      <c r="C12" s="1" t="s">
        <v>52</v>
      </c>
      <c r="D12" s="2" t="s">
        <v>15</v>
      </c>
      <c r="E12" s="1" t="s">
        <v>34</v>
      </c>
      <c r="F12" s="2" t="s">
        <v>15</v>
      </c>
      <c r="G12" s="1" t="s">
        <v>34</v>
      </c>
      <c r="H12" s="6">
        <v>45825</v>
      </c>
      <c r="I12" s="19">
        <v>132</v>
      </c>
      <c r="J12" s="7">
        <v>435</v>
      </c>
      <c r="K12" s="7">
        <v>435</v>
      </c>
      <c r="L12" s="7">
        <v>435</v>
      </c>
      <c r="M12" s="7">
        <v>5</v>
      </c>
      <c r="N12" s="7">
        <v>156.25</v>
      </c>
      <c r="O12" s="7">
        <v>156.25</v>
      </c>
      <c r="P12" s="7">
        <v>156.25</v>
      </c>
      <c r="Q12" s="10">
        <v>4</v>
      </c>
    </row>
    <row r="13" spans="1:17" x14ac:dyDescent="0.25">
      <c r="A13" s="1" t="s">
        <v>46</v>
      </c>
      <c r="B13" s="1"/>
      <c r="C13" s="1" t="s">
        <v>84</v>
      </c>
      <c r="D13" s="2"/>
      <c r="E13" s="1"/>
      <c r="F13" s="2"/>
      <c r="G13" s="1"/>
      <c r="H13" s="6">
        <v>45827</v>
      </c>
      <c r="I13" s="19">
        <v>5</v>
      </c>
      <c r="J13" s="7">
        <v>435</v>
      </c>
      <c r="K13" s="7">
        <v>435</v>
      </c>
      <c r="L13" s="7">
        <v>435</v>
      </c>
      <c r="M13" s="7">
        <v>5</v>
      </c>
      <c r="N13" s="7">
        <v>312.5</v>
      </c>
      <c r="O13" s="7">
        <v>312.5</v>
      </c>
      <c r="P13" s="7">
        <v>312.5</v>
      </c>
      <c r="Q13" s="10">
        <v>3</v>
      </c>
    </row>
    <row r="14" spans="1:17" x14ac:dyDescent="0.25">
      <c r="A14" s="1" t="s">
        <v>46</v>
      </c>
      <c r="B14" s="1"/>
      <c r="C14" s="1"/>
      <c r="D14" s="2"/>
      <c r="E14" s="1"/>
      <c r="F14" s="2"/>
      <c r="G14" s="1"/>
      <c r="H14" s="6">
        <v>45831</v>
      </c>
      <c r="I14" s="19">
        <v>95</v>
      </c>
      <c r="J14" s="7">
        <v>435</v>
      </c>
      <c r="K14" s="7">
        <v>435</v>
      </c>
      <c r="L14" s="7">
        <v>435</v>
      </c>
      <c r="M14" s="7">
        <v>5</v>
      </c>
      <c r="N14" s="7">
        <v>39.06</v>
      </c>
      <c r="O14" s="7">
        <v>39.06</v>
      </c>
      <c r="P14" s="7">
        <v>39.06</v>
      </c>
      <c r="Q14" s="10">
        <v>6</v>
      </c>
    </row>
    <row r="15" spans="1:17" x14ac:dyDescent="0.25">
      <c r="A15" s="1" t="s">
        <v>46</v>
      </c>
      <c r="B15" s="1"/>
      <c r="C15" s="1"/>
      <c r="D15" s="2"/>
      <c r="E15" s="1"/>
      <c r="F15" s="2"/>
      <c r="G15" s="1"/>
      <c r="H15" s="6">
        <v>45835</v>
      </c>
      <c r="I15" s="19">
        <v>16</v>
      </c>
      <c r="J15" s="7" t="s">
        <v>91</v>
      </c>
      <c r="K15" s="7" t="s">
        <v>91</v>
      </c>
      <c r="L15" s="7" t="s">
        <v>91</v>
      </c>
      <c r="M15" s="7" t="s">
        <v>91</v>
      </c>
      <c r="N15" s="7">
        <v>39.06</v>
      </c>
      <c r="O15" s="7">
        <v>39.06</v>
      </c>
      <c r="P15" s="7">
        <v>39.06</v>
      </c>
      <c r="Q15" s="10">
        <v>6</v>
      </c>
    </row>
    <row r="16" spans="1:17" x14ac:dyDescent="0.25">
      <c r="A16" s="1"/>
      <c r="B16" s="1"/>
      <c r="C16" s="1"/>
      <c r="D16" s="1"/>
      <c r="E16" s="1"/>
      <c r="F16" s="1"/>
      <c r="G16" s="1"/>
      <c r="H16" s="6"/>
      <c r="I16" s="7"/>
      <c r="J16" s="7"/>
      <c r="K16" s="7"/>
      <c r="L16" s="7"/>
      <c r="M16" s="7"/>
      <c r="N16" s="7"/>
      <c r="O16" s="7"/>
      <c r="P16" s="7"/>
      <c r="Q16" s="10"/>
    </row>
    <row r="17" spans="1:17" x14ac:dyDescent="0.25">
      <c r="A17" s="1" t="s">
        <v>51</v>
      </c>
      <c r="B17" s="1">
        <v>50</v>
      </c>
      <c r="C17" s="1" t="s">
        <v>52</v>
      </c>
      <c r="D17" s="1" t="s">
        <v>34</v>
      </c>
      <c r="E17" s="1" t="s">
        <v>34</v>
      </c>
      <c r="F17" s="2" t="s">
        <v>15</v>
      </c>
      <c r="G17" s="1" t="s">
        <v>34</v>
      </c>
      <c r="H17" s="6">
        <v>45825</v>
      </c>
      <c r="I17" s="19">
        <v>26</v>
      </c>
      <c r="J17" s="7">
        <v>435</v>
      </c>
      <c r="K17" s="7">
        <v>435</v>
      </c>
      <c r="L17" s="7">
        <v>435</v>
      </c>
      <c r="M17" s="7">
        <v>5</v>
      </c>
      <c r="N17" s="7">
        <v>9.76</v>
      </c>
      <c r="O17" s="7">
        <v>9.76</v>
      </c>
      <c r="P17" s="7">
        <v>9.76</v>
      </c>
      <c r="Q17" s="10">
        <v>8</v>
      </c>
    </row>
    <row r="18" spans="1:17" x14ac:dyDescent="0.25">
      <c r="A18" s="1" t="s">
        <v>51</v>
      </c>
      <c r="B18" s="1"/>
      <c r="C18" s="1"/>
      <c r="D18" s="1"/>
      <c r="E18" s="1"/>
      <c r="F18" s="2"/>
      <c r="G18" s="1"/>
      <c r="H18" s="6">
        <v>45827</v>
      </c>
      <c r="I18" s="19">
        <v>11</v>
      </c>
      <c r="J18" s="7">
        <v>435</v>
      </c>
      <c r="K18" s="7">
        <v>435</v>
      </c>
      <c r="L18" s="7">
        <v>435</v>
      </c>
      <c r="M18" s="7">
        <v>5</v>
      </c>
      <c r="N18" s="7">
        <v>9.76</v>
      </c>
      <c r="O18" s="7">
        <v>9.76</v>
      </c>
      <c r="P18" s="7">
        <v>9.76</v>
      </c>
      <c r="Q18" s="10">
        <v>8</v>
      </c>
    </row>
    <row r="19" spans="1:17" x14ac:dyDescent="0.25">
      <c r="A19" s="1" t="s">
        <v>51</v>
      </c>
      <c r="B19" s="1"/>
      <c r="C19" s="1"/>
      <c r="D19" s="1"/>
      <c r="E19" s="1"/>
      <c r="F19" s="2"/>
      <c r="G19" s="1"/>
      <c r="H19" s="6">
        <v>45831</v>
      </c>
      <c r="I19" s="19">
        <v>117</v>
      </c>
      <c r="J19" s="7">
        <v>435</v>
      </c>
      <c r="K19" s="7">
        <v>435</v>
      </c>
      <c r="L19" s="7">
        <v>435</v>
      </c>
      <c r="M19" s="7">
        <v>5</v>
      </c>
      <c r="N19" s="7">
        <v>9.76</v>
      </c>
      <c r="O19" s="7">
        <v>9.76</v>
      </c>
      <c r="P19" s="7">
        <v>9.76</v>
      </c>
      <c r="Q19" s="10">
        <v>8</v>
      </c>
    </row>
    <row r="20" spans="1:17" x14ac:dyDescent="0.25">
      <c r="A20" s="1"/>
      <c r="B20" s="1"/>
      <c r="C20" s="1"/>
      <c r="D20" s="1"/>
      <c r="E20" s="1"/>
      <c r="F20" s="1"/>
      <c r="G20" s="1"/>
      <c r="H20" s="6"/>
      <c r="I20" s="7"/>
      <c r="J20" s="7"/>
      <c r="K20" s="7"/>
      <c r="L20" s="7"/>
      <c r="M20" s="7"/>
      <c r="N20" s="7"/>
      <c r="O20" s="7"/>
      <c r="P20" s="7"/>
      <c r="Q20" s="10"/>
    </row>
    <row r="21" spans="1:17" x14ac:dyDescent="0.25">
      <c r="A21" s="1" t="s">
        <v>53</v>
      </c>
      <c r="B21" s="1">
        <v>45</v>
      </c>
      <c r="C21" s="1" t="s">
        <v>54</v>
      </c>
      <c r="D21" s="2" t="s">
        <v>15</v>
      </c>
      <c r="E21" s="1" t="s">
        <v>34</v>
      </c>
      <c r="F21" s="1" t="s">
        <v>34</v>
      </c>
      <c r="G21" s="1" t="s">
        <v>34</v>
      </c>
      <c r="H21" s="6">
        <v>45825</v>
      </c>
      <c r="I21" s="19">
        <v>60</v>
      </c>
      <c r="J21" s="7">
        <v>435</v>
      </c>
      <c r="K21" s="7">
        <v>435</v>
      </c>
      <c r="L21" s="7">
        <v>435</v>
      </c>
      <c r="M21" s="7">
        <v>5</v>
      </c>
      <c r="N21" s="7">
        <v>39.06</v>
      </c>
      <c r="O21" s="7">
        <v>39.06</v>
      </c>
      <c r="P21" s="7">
        <v>39.06</v>
      </c>
      <c r="Q21" s="10">
        <v>6</v>
      </c>
    </row>
    <row r="22" spans="1:17" x14ac:dyDescent="0.25">
      <c r="A22" s="1" t="s">
        <v>53</v>
      </c>
      <c r="B22" s="1"/>
      <c r="C22" s="1"/>
      <c r="D22" s="2"/>
      <c r="E22" s="1"/>
      <c r="F22" s="1"/>
      <c r="G22" s="1"/>
      <c r="H22" s="6">
        <v>45827</v>
      </c>
      <c r="I22" s="19">
        <v>10</v>
      </c>
      <c r="J22" s="7">
        <v>435</v>
      </c>
      <c r="K22" s="7">
        <v>435</v>
      </c>
      <c r="L22" s="7">
        <v>435</v>
      </c>
      <c r="M22" s="7">
        <v>5</v>
      </c>
      <c r="N22" s="7">
        <v>19.53</v>
      </c>
      <c r="O22" s="7">
        <v>19.53</v>
      </c>
      <c r="P22" s="7">
        <v>19.53</v>
      </c>
      <c r="Q22" s="10">
        <v>7</v>
      </c>
    </row>
    <row r="23" spans="1:17" x14ac:dyDescent="0.25">
      <c r="A23" s="1" t="s">
        <v>53</v>
      </c>
      <c r="B23" s="1"/>
      <c r="C23" s="1"/>
      <c r="D23" s="2"/>
      <c r="E23" s="1"/>
      <c r="F23" s="1"/>
      <c r="G23" s="1"/>
      <c r="H23" s="6">
        <v>45831</v>
      </c>
      <c r="I23" s="19">
        <v>25</v>
      </c>
      <c r="J23" s="7">
        <v>435</v>
      </c>
      <c r="K23" s="7">
        <v>435</v>
      </c>
      <c r="L23" s="7">
        <v>435</v>
      </c>
      <c r="M23" s="7">
        <v>5</v>
      </c>
      <c r="N23" s="7">
        <v>19.53</v>
      </c>
      <c r="O23" s="7">
        <v>19.53</v>
      </c>
      <c r="P23" s="7">
        <v>19.53</v>
      </c>
      <c r="Q23" s="10">
        <v>7</v>
      </c>
    </row>
    <row r="24" spans="1:17" x14ac:dyDescent="0.25">
      <c r="A24" s="1"/>
      <c r="B24" s="1"/>
      <c r="C24" s="1"/>
      <c r="D24" s="1"/>
      <c r="E24" s="1"/>
      <c r="F24" s="1"/>
      <c r="G24" s="1"/>
      <c r="H24" s="6"/>
      <c r="I24" s="7"/>
      <c r="J24" s="7"/>
      <c r="K24" s="7"/>
      <c r="L24" s="7"/>
      <c r="M24" s="7"/>
      <c r="N24" s="7"/>
      <c r="O24" s="7"/>
      <c r="P24" s="7"/>
      <c r="Q24" s="10"/>
    </row>
    <row r="25" spans="1:17" x14ac:dyDescent="0.25">
      <c r="A25" s="1" t="s">
        <v>55</v>
      </c>
      <c r="B25" s="1">
        <v>436</v>
      </c>
      <c r="C25" s="1" t="s">
        <v>33</v>
      </c>
      <c r="D25" s="2" t="s">
        <v>15</v>
      </c>
      <c r="E25" s="1" t="s">
        <v>34</v>
      </c>
      <c r="F25" s="1" t="s">
        <v>34</v>
      </c>
      <c r="G25" s="1" t="s">
        <v>34</v>
      </c>
      <c r="H25" s="6">
        <v>45825</v>
      </c>
      <c r="I25" s="19">
        <v>123</v>
      </c>
      <c r="J25" s="7">
        <v>435</v>
      </c>
      <c r="K25" s="7">
        <v>435</v>
      </c>
      <c r="L25" s="7">
        <v>435</v>
      </c>
      <c r="M25" s="7">
        <v>5</v>
      </c>
      <c r="N25" s="7">
        <v>19.53</v>
      </c>
      <c r="O25" s="7">
        <v>19.53</v>
      </c>
      <c r="P25" s="7">
        <v>19.53</v>
      </c>
      <c r="Q25" s="10">
        <v>7</v>
      </c>
    </row>
    <row r="26" spans="1:17" x14ac:dyDescent="0.25">
      <c r="A26" s="1" t="s">
        <v>55</v>
      </c>
      <c r="B26" s="1"/>
      <c r="C26" s="1"/>
      <c r="D26" s="2"/>
      <c r="E26" s="1"/>
      <c r="F26" s="1"/>
      <c r="G26" s="1"/>
      <c r="H26" s="6">
        <v>45827</v>
      </c>
      <c r="I26" s="19">
        <v>15</v>
      </c>
      <c r="J26" s="7">
        <v>435</v>
      </c>
      <c r="K26" s="7">
        <v>435</v>
      </c>
      <c r="L26" s="7">
        <v>435</v>
      </c>
      <c r="M26" s="7">
        <v>5</v>
      </c>
      <c r="N26" s="7">
        <v>19.53</v>
      </c>
      <c r="O26" s="7">
        <v>19.53</v>
      </c>
      <c r="P26" s="7">
        <v>19.53</v>
      </c>
      <c r="Q26" s="10">
        <v>7</v>
      </c>
    </row>
    <row r="27" spans="1:17" x14ac:dyDescent="0.25">
      <c r="A27" s="1" t="s">
        <v>55</v>
      </c>
      <c r="B27" s="1"/>
      <c r="C27" s="1"/>
      <c r="D27" s="2"/>
      <c r="E27" s="1"/>
      <c r="F27" s="1"/>
      <c r="G27" s="1"/>
      <c r="H27" s="6">
        <v>45831</v>
      </c>
      <c r="I27" s="19">
        <v>8</v>
      </c>
      <c r="J27" s="7">
        <v>435</v>
      </c>
      <c r="K27" s="7">
        <v>435</v>
      </c>
      <c r="L27" s="7">
        <v>435</v>
      </c>
      <c r="M27" s="7">
        <v>5</v>
      </c>
      <c r="N27" s="7">
        <v>19.53</v>
      </c>
      <c r="O27" s="7">
        <v>19.53</v>
      </c>
      <c r="P27" s="7">
        <v>19.53</v>
      </c>
      <c r="Q27" s="10">
        <v>7</v>
      </c>
    </row>
    <row r="28" spans="1:17" x14ac:dyDescent="0.25">
      <c r="A28" s="1"/>
      <c r="B28" s="1"/>
      <c r="C28" s="1"/>
      <c r="D28" s="1"/>
      <c r="E28" s="1"/>
      <c r="F28" s="1"/>
      <c r="G28" s="1"/>
      <c r="H28" s="6"/>
      <c r="I28" s="7"/>
      <c r="J28" s="7"/>
      <c r="K28" s="7"/>
      <c r="L28" s="7"/>
      <c r="M28" s="7"/>
      <c r="N28" s="7"/>
      <c r="O28" s="7"/>
      <c r="P28" s="7"/>
      <c r="Q28" s="10"/>
    </row>
    <row r="29" spans="1:17" x14ac:dyDescent="0.25">
      <c r="A29" s="1" t="s">
        <v>56</v>
      </c>
      <c r="B29" s="1">
        <v>50</v>
      </c>
      <c r="C29" s="1" t="s">
        <v>52</v>
      </c>
      <c r="D29" s="2" t="s">
        <v>15</v>
      </c>
      <c r="E29" s="1" t="s">
        <v>34</v>
      </c>
      <c r="F29" s="2" t="s">
        <v>15</v>
      </c>
      <c r="G29" s="1" t="s">
        <v>34</v>
      </c>
      <c r="H29" s="6">
        <v>45825</v>
      </c>
      <c r="I29" s="19">
        <v>15</v>
      </c>
      <c r="J29" s="7">
        <v>435</v>
      </c>
      <c r="K29" s="7">
        <v>435</v>
      </c>
      <c r="L29" s="7">
        <v>435</v>
      </c>
      <c r="M29" s="7">
        <v>5</v>
      </c>
      <c r="N29" s="7">
        <v>19.53</v>
      </c>
      <c r="O29" s="7">
        <v>19.53</v>
      </c>
      <c r="P29" s="7">
        <v>19.53</v>
      </c>
      <c r="Q29" s="10">
        <v>7</v>
      </c>
    </row>
    <row r="30" spans="1:17" x14ac:dyDescent="0.25">
      <c r="A30" s="1" t="s">
        <v>56</v>
      </c>
      <c r="B30" s="1"/>
      <c r="C30" s="1" t="s">
        <v>54</v>
      </c>
      <c r="D30" s="2"/>
      <c r="E30" s="1"/>
      <c r="F30" s="2"/>
      <c r="G30" s="1"/>
      <c r="H30" s="6">
        <v>45827</v>
      </c>
      <c r="I30" s="19">
        <v>7</v>
      </c>
      <c r="J30" s="7">
        <v>435</v>
      </c>
      <c r="K30" s="7">
        <v>435</v>
      </c>
      <c r="L30" s="7">
        <v>435</v>
      </c>
      <c r="M30" s="7">
        <v>5</v>
      </c>
      <c r="N30" s="7">
        <v>19.53</v>
      </c>
      <c r="O30" s="7">
        <v>19.53</v>
      </c>
      <c r="P30" s="7">
        <v>19.53</v>
      </c>
      <c r="Q30" s="10">
        <v>7</v>
      </c>
    </row>
    <row r="31" spans="1:17" x14ac:dyDescent="0.25">
      <c r="A31" s="1" t="s">
        <v>56</v>
      </c>
      <c r="B31" s="1"/>
      <c r="C31" s="1"/>
      <c r="D31" s="2"/>
      <c r="E31" s="1"/>
      <c r="F31" s="2"/>
      <c r="G31" s="1"/>
      <c r="H31" s="6">
        <v>45831</v>
      </c>
      <c r="I31" s="19">
        <v>24</v>
      </c>
      <c r="J31" s="7">
        <v>435</v>
      </c>
      <c r="K31" s="7">
        <v>435</v>
      </c>
      <c r="L31" s="7">
        <v>435</v>
      </c>
      <c r="M31" s="7">
        <v>5</v>
      </c>
      <c r="N31" s="7">
        <v>19.53</v>
      </c>
      <c r="O31" s="7">
        <v>19.53</v>
      </c>
      <c r="P31" s="7">
        <v>19.53</v>
      </c>
      <c r="Q31" s="10">
        <v>7</v>
      </c>
    </row>
    <row r="32" spans="1:17" x14ac:dyDescent="0.25">
      <c r="A32" s="1"/>
      <c r="B32" s="1"/>
      <c r="C32" s="1"/>
      <c r="D32" s="1"/>
      <c r="E32" s="1"/>
      <c r="F32" s="1"/>
      <c r="G32" s="1"/>
      <c r="H32" s="6"/>
      <c r="I32" s="7"/>
      <c r="J32" s="7"/>
      <c r="K32" s="7"/>
      <c r="L32" s="7"/>
      <c r="M32" s="7"/>
      <c r="N32" s="7"/>
      <c r="O32" s="7"/>
      <c r="P32" s="7"/>
      <c r="Q32" s="10"/>
    </row>
    <row r="33" spans="1:17" x14ac:dyDescent="0.25">
      <c r="A33" s="1"/>
      <c r="B33" s="1"/>
      <c r="C33" s="1"/>
      <c r="D33" s="1" t="s">
        <v>19</v>
      </c>
      <c r="E33" s="1" t="s">
        <v>20</v>
      </c>
      <c r="F33" s="1" t="s">
        <v>21</v>
      </c>
      <c r="G33" s="1" t="s">
        <v>22</v>
      </c>
      <c r="H33" s="5" t="s">
        <v>24</v>
      </c>
      <c r="I33" s="5" t="s">
        <v>25</v>
      </c>
      <c r="J33" s="5" t="s">
        <v>26</v>
      </c>
      <c r="K33" s="5" t="s">
        <v>27</v>
      </c>
      <c r="L33" s="5" t="s">
        <v>28</v>
      </c>
      <c r="M33" s="5" t="s">
        <v>81</v>
      </c>
      <c r="N33" s="20" t="s">
        <v>26</v>
      </c>
      <c r="O33" s="20" t="s">
        <v>27</v>
      </c>
      <c r="P33" s="20" t="s">
        <v>28</v>
      </c>
      <c r="Q33" s="5" t="s">
        <v>81</v>
      </c>
    </row>
    <row r="34" spans="1:17" x14ac:dyDescent="0.25">
      <c r="A34" s="1" t="s">
        <v>57</v>
      </c>
      <c r="B34" s="1">
        <v>2081</v>
      </c>
      <c r="C34" s="1" t="s">
        <v>52</v>
      </c>
      <c r="D34" s="2" t="s">
        <v>15</v>
      </c>
      <c r="E34" s="1" t="s">
        <v>34</v>
      </c>
      <c r="F34" s="2" t="s">
        <v>15</v>
      </c>
      <c r="G34" s="1" t="s">
        <v>34</v>
      </c>
      <c r="H34" s="6">
        <v>45825</v>
      </c>
      <c r="I34" s="19">
        <v>7</v>
      </c>
      <c r="J34" s="7">
        <v>435</v>
      </c>
      <c r="K34" s="7">
        <v>435</v>
      </c>
      <c r="L34" s="7">
        <v>435</v>
      </c>
      <c r="M34" s="7">
        <v>5</v>
      </c>
      <c r="N34" s="7">
        <v>39.06</v>
      </c>
      <c r="O34" s="7">
        <v>39.06</v>
      </c>
      <c r="P34" s="7">
        <v>39.06</v>
      </c>
      <c r="Q34" s="10">
        <v>6</v>
      </c>
    </row>
    <row r="35" spans="1:17" x14ac:dyDescent="0.25">
      <c r="A35" s="1" t="s">
        <v>57</v>
      </c>
      <c r="B35" s="1"/>
      <c r="C35" s="1"/>
      <c r="D35" s="2"/>
      <c r="E35" s="1"/>
      <c r="F35" s="2"/>
      <c r="G35" s="1"/>
      <c r="H35" s="6">
        <v>45827</v>
      </c>
      <c r="I35" s="19">
        <v>5</v>
      </c>
      <c r="J35" s="7">
        <v>217.5</v>
      </c>
      <c r="K35" s="7">
        <v>217.5</v>
      </c>
      <c r="L35" s="7">
        <v>217.5</v>
      </c>
      <c r="M35" s="7">
        <v>6</v>
      </c>
      <c r="N35" s="7">
        <v>19.53</v>
      </c>
      <c r="O35" s="7">
        <v>19.53</v>
      </c>
      <c r="P35" s="7">
        <v>19.53</v>
      </c>
      <c r="Q35" s="10">
        <v>7</v>
      </c>
    </row>
    <row r="36" spans="1:17" x14ac:dyDescent="0.25">
      <c r="A36" s="1" t="s">
        <v>57</v>
      </c>
      <c r="B36" s="1"/>
      <c r="C36" s="1"/>
      <c r="D36" s="2"/>
      <c r="E36" s="1"/>
      <c r="F36" s="2"/>
      <c r="G36" s="1"/>
      <c r="H36" s="6">
        <v>45831</v>
      </c>
      <c r="I36" s="19">
        <v>9</v>
      </c>
      <c r="J36" s="7">
        <v>435</v>
      </c>
      <c r="K36" s="7">
        <v>435</v>
      </c>
      <c r="L36" s="7">
        <v>435</v>
      </c>
      <c r="M36" s="7">
        <v>5</v>
      </c>
      <c r="N36" s="7">
        <v>19.53</v>
      </c>
      <c r="O36" s="7">
        <v>19.53</v>
      </c>
      <c r="P36" s="7">
        <v>19.53</v>
      </c>
      <c r="Q36" s="10">
        <v>7</v>
      </c>
    </row>
    <row r="37" spans="1:17" x14ac:dyDescent="0.25">
      <c r="A37" s="1"/>
      <c r="B37" s="1"/>
      <c r="C37" s="1"/>
      <c r="D37" s="1"/>
      <c r="E37" s="1"/>
      <c r="F37" s="1"/>
      <c r="G37" s="1"/>
      <c r="H37" s="6"/>
      <c r="I37" s="7"/>
      <c r="J37" s="7"/>
      <c r="K37" s="7"/>
      <c r="L37" s="7"/>
      <c r="M37" s="7"/>
      <c r="N37" s="7"/>
      <c r="O37" s="7"/>
      <c r="P37" s="7"/>
      <c r="Q37" s="10"/>
    </row>
    <row r="38" spans="1:17" x14ac:dyDescent="0.25">
      <c r="A38" s="1" t="s">
        <v>58</v>
      </c>
      <c r="B38" s="1">
        <v>530</v>
      </c>
      <c r="C38" s="1" t="s">
        <v>52</v>
      </c>
      <c r="D38" s="2" t="s">
        <v>15</v>
      </c>
      <c r="E38" s="1" t="s">
        <v>34</v>
      </c>
      <c r="F38" s="2" t="s">
        <v>15</v>
      </c>
      <c r="G38" s="1" t="s">
        <v>34</v>
      </c>
      <c r="H38" s="6">
        <v>45825</v>
      </c>
      <c r="I38" s="19">
        <v>94</v>
      </c>
      <c r="J38" s="7">
        <v>435</v>
      </c>
      <c r="K38" s="7">
        <v>435</v>
      </c>
      <c r="L38" s="7">
        <v>435</v>
      </c>
      <c r="M38" s="7">
        <v>5</v>
      </c>
      <c r="N38" s="7">
        <v>9.76</v>
      </c>
      <c r="O38" s="7">
        <v>9.76</v>
      </c>
      <c r="P38" s="7">
        <v>9.76</v>
      </c>
      <c r="Q38" s="10">
        <v>8</v>
      </c>
    </row>
    <row r="39" spans="1:17" x14ac:dyDescent="0.25">
      <c r="A39" s="1" t="s">
        <v>58</v>
      </c>
      <c r="B39" s="1"/>
      <c r="C39" s="1"/>
      <c r="D39" s="2"/>
      <c r="E39" s="1"/>
      <c r="F39" s="2"/>
      <c r="G39" s="1"/>
      <c r="H39" s="6">
        <v>45827</v>
      </c>
      <c r="I39" s="19">
        <v>9</v>
      </c>
      <c r="J39" s="7">
        <v>217.5</v>
      </c>
      <c r="K39" s="7">
        <v>217.5</v>
      </c>
      <c r="L39" s="7">
        <v>217.5</v>
      </c>
      <c r="M39" s="7">
        <v>6</v>
      </c>
      <c r="N39" s="7">
        <v>4.88</v>
      </c>
      <c r="O39" s="7">
        <v>4.88</v>
      </c>
      <c r="P39" s="7">
        <v>4.88</v>
      </c>
      <c r="Q39" s="10">
        <v>9</v>
      </c>
    </row>
    <row r="40" spans="1:17" x14ac:dyDescent="0.25">
      <c r="A40" s="1" t="s">
        <v>58</v>
      </c>
      <c r="B40" s="1"/>
      <c r="C40" s="1"/>
      <c r="D40" s="2"/>
      <c r="E40" s="1"/>
      <c r="F40" s="2"/>
      <c r="G40" s="1"/>
      <c r="H40" s="6">
        <v>45831</v>
      </c>
      <c r="I40" s="19">
        <v>4</v>
      </c>
      <c r="J40" s="7">
        <v>435</v>
      </c>
      <c r="K40" s="7">
        <v>435</v>
      </c>
      <c r="L40" s="7">
        <v>435</v>
      </c>
      <c r="M40" s="7">
        <v>5</v>
      </c>
      <c r="N40" s="7">
        <v>9.76</v>
      </c>
      <c r="O40" s="7">
        <v>9.76</v>
      </c>
      <c r="P40" s="7">
        <v>9.76</v>
      </c>
      <c r="Q40" s="10">
        <v>8</v>
      </c>
    </row>
    <row r="41" spans="1:17" x14ac:dyDescent="0.25">
      <c r="A41" s="1" t="s">
        <v>58</v>
      </c>
      <c r="B41" s="1"/>
      <c r="C41" s="1"/>
      <c r="D41" s="2"/>
      <c r="E41" s="1"/>
      <c r="F41" s="2"/>
      <c r="G41" s="1"/>
      <c r="H41" s="6">
        <v>45835</v>
      </c>
      <c r="I41" s="19">
        <v>39</v>
      </c>
      <c r="J41" s="7" t="s">
        <v>91</v>
      </c>
      <c r="K41" s="7" t="s">
        <v>91</v>
      </c>
      <c r="L41" s="7" t="s">
        <v>91</v>
      </c>
      <c r="M41" s="7" t="s">
        <v>91</v>
      </c>
      <c r="N41" s="7">
        <v>9.76</v>
      </c>
      <c r="O41" s="7">
        <v>9.76</v>
      </c>
      <c r="P41" s="7">
        <v>9.76</v>
      </c>
      <c r="Q41" s="10">
        <v>8</v>
      </c>
    </row>
    <row r="42" spans="1:17" x14ac:dyDescent="0.25">
      <c r="A42" s="1"/>
      <c r="B42" s="1"/>
      <c r="C42" s="1"/>
      <c r="D42" s="1"/>
      <c r="E42" s="1"/>
      <c r="F42" s="1"/>
      <c r="G42" s="1"/>
      <c r="H42" s="6"/>
      <c r="I42" s="7"/>
      <c r="J42" s="7"/>
      <c r="K42" s="7"/>
      <c r="L42" s="7"/>
      <c r="M42" s="7"/>
      <c r="N42" s="7"/>
      <c r="O42" s="7"/>
      <c r="P42" s="7"/>
      <c r="Q42" s="10"/>
    </row>
    <row r="43" spans="1:17" x14ac:dyDescent="0.25">
      <c r="A43" s="1" t="s">
        <v>59</v>
      </c>
      <c r="B43" s="1">
        <v>50</v>
      </c>
      <c r="C43" s="1" t="s">
        <v>52</v>
      </c>
      <c r="D43" s="2" t="s">
        <v>15</v>
      </c>
      <c r="E43" s="1" t="s">
        <v>34</v>
      </c>
      <c r="F43" s="2" t="s">
        <v>15</v>
      </c>
      <c r="G43" s="1" t="s">
        <v>34</v>
      </c>
      <c r="H43" s="6">
        <v>45825</v>
      </c>
      <c r="I43" s="19">
        <v>21</v>
      </c>
      <c r="J43" s="7">
        <v>435</v>
      </c>
      <c r="K43" s="7">
        <v>435</v>
      </c>
      <c r="L43" s="7">
        <v>435</v>
      </c>
      <c r="M43" s="7">
        <v>5</v>
      </c>
      <c r="N43" s="7">
        <v>19.53</v>
      </c>
      <c r="O43" s="7">
        <v>19.53</v>
      </c>
      <c r="P43" s="7">
        <v>19.53</v>
      </c>
      <c r="Q43" s="10">
        <v>7</v>
      </c>
    </row>
    <row r="44" spans="1:17" x14ac:dyDescent="0.25">
      <c r="A44" s="1" t="s">
        <v>59</v>
      </c>
      <c r="B44" s="1"/>
      <c r="C44" s="1" t="s">
        <v>54</v>
      </c>
      <c r="D44" s="2"/>
      <c r="E44" s="1"/>
      <c r="F44" s="2"/>
      <c r="G44" s="1"/>
      <c r="H44" s="6">
        <v>45827</v>
      </c>
      <c r="I44" s="19">
        <v>3</v>
      </c>
      <c r="J44" s="7">
        <v>435</v>
      </c>
      <c r="K44" s="7">
        <v>435</v>
      </c>
      <c r="L44" s="7">
        <v>435</v>
      </c>
      <c r="M44" s="7">
        <v>5</v>
      </c>
      <c r="N44" s="7">
        <v>9.76</v>
      </c>
      <c r="O44" s="7">
        <v>9.76</v>
      </c>
      <c r="P44" s="7">
        <v>9.76</v>
      </c>
      <c r="Q44" s="10">
        <v>8</v>
      </c>
    </row>
    <row r="45" spans="1:17" x14ac:dyDescent="0.25">
      <c r="A45" s="1" t="s">
        <v>59</v>
      </c>
      <c r="B45" s="1"/>
      <c r="C45" s="1"/>
      <c r="D45" s="2"/>
      <c r="E45" s="1"/>
      <c r="F45" s="2"/>
      <c r="G45" s="1"/>
      <c r="H45" s="6">
        <v>45831</v>
      </c>
      <c r="I45" s="19">
        <v>46</v>
      </c>
      <c r="J45" s="7">
        <v>435</v>
      </c>
      <c r="K45" s="7">
        <v>435</v>
      </c>
      <c r="L45" s="7">
        <v>435</v>
      </c>
      <c r="M45" s="7">
        <v>5</v>
      </c>
      <c r="N45" s="7">
        <v>9.76</v>
      </c>
      <c r="O45" s="7">
        <v>9.76</v>
      </c>
      <c r="P45" s="7">
        <v>9.76</v>
      </c>
      <c r="Q45" s="10">
        <v>8</v>
      </c>
    </row>
    <row r="46" spans="1:17" x14ac:dyDescent="0.25">
      <c r="A46" s="1"/>
      <c r="B46" s="1"/>
      <c r="C46" s="1"/>
      <c r="D46" s="1"/>
      <c r="E46" s="1"/>
      <c r="F46" s="1"/>
      <c r="G46" s="1"/>
      <c r="H46" s="6"/>
      <c r="I46" s="7"/>
      <c r="J46" s="7"/>
      <c r="K46" s="7"/>
      <c r="L46" s="7"/>
      <c r="M46" s="7"/>
      <c r="N46" s="7"/>
      <c r="O46" s="7"/>
      <c r="P46" s="7"/>
      <c r="Q46" s="10"/>
    </row>
    <row r="47" spans="1:17" x14ac:dyDescent="0.25">
      <c r="A47" s="1" t="s">
        <v>60</v>
      </c>
      <c r="B47" s="1">
        <v>830</v>
      </c>
      <c r="C47" s="1" t="s">
        <v>54</v>
      </c>
      <c r="D47" s="2" t="s">
        <v>15</v>
      </c>
      <c r="E47" s="2" t="s">
        <v>15</v>
      </c>
      <c r="F47" s="2" t="s">
        <v>15</v>
      </c>
      <c r="G47" s="2" t="s">
        <v>15</v>
      </c>
      <c r="H47" s="6">
        <v>45825</v>
      </c>
      <c r="I47" s="19">
        <v>163</v>
      </c>
      <c r="J47" s="7">
        <v>435</v>
      </c>
      <c r="K47" s="7">
        <v>435</v>
      </c>
      <c r="L47" s="7">
        <v>435</v>
      </c>
      <c r="M47" s="7">
        <v>5</v>
      </c>
      <c r="N47" s="7">
        <v>156.25</v>
      </c>
      <c r="O47" s="7">
        <v>156.25</v>
      </c>
      <c r="P47" s="7">
        <v>156.25</v>
      </c>
      <c r="Q47" s="10">
        <v>4</v>
      </c>
    </row>
    <row r="48" spans="1:17" x14ac:dyDescent="0.25">
      <c r="A48" s="1" t="s">
        <v>60</v>
      </c>
      <c r="B48" s="1"/>
      <c r="C48" s="1"/>
      <c r="D48" s="2"/>
      <c r="E48" s="2"/>
      <c r="F48" s="2"/>
      <c r="G48" s="2"/>
      <c r="H48" s="6">
        <v>45827</v>
      </c>
      <c r="I48" s="19">
        <v>4</v>
      </c>
      <c r="J48" s="7">
        <v>435</v>
      </c>
      <c r="K48" s="7">
        <v>435</v>
      </c>
      <c r="L48" s="7">
        <v>435</v>
      </c>
      <c r="M48" s="7">
        <v>5</v>
      </c>
      <c r="N48" s="7">
        <v>19.53</v>
      </c>
      <c r="O48" s="7">
        <v>19.53</v>
      </c>
      <c r="P48" s="7">
        <v>19.53</v>
      </c>
      <c r="Q48" s="10">
        <v>7</v>
      </c>
    </row>
    <row r="49" spans="1:17" x14ac:dyDescent="0.25">
      <c r="A49" s="1" t="s">
        <v>60</v>
      </c>
      <c r="B49" s="1"/>
      <c r="C49" s="1"/>
      <c r="D49" s="2"/>
      <c r="E49" s="2"/>
      <c r="F49" s="2"/>
      <c r="G49" s="2"/>
      <c r="H49" s="6">
        <v>45831</v>
      </c>
      <c r="I49" s="19">
        <v>17</v>
      </c>
      <c r="J49" s="7">
        <v>435</v>
      </c>
      <c r="K49" s="7">
        <v>435</v>
      </c>
      <c r="L49" s="7">
        <v>435</v>
      </c>
      <c r="M49" s="7">
        <v>5</v>
      </c>
      <c r="N49" s="7">
        <v>4.88</v>
      </c>
      <c r="O49" s="7">
        <v>4.88</v>
      </c>
      <c r="P49" s="7">
        <v>4.88</v>
      </c>
      <c r="Q49" s="10">
        <v>9</v>
      </c>
    </row>
    <row r="50" spans="1:17" x14ac:dyDescent="0.25">
      <c r="A50" s="1" t="s">
        <v>60</v>
      </c>
      <c r="B50" s="1"/>
      <c r="C50" s="1"/>
      <c r="D50" s="2"/>
      <c r="E50" s="2"/>
      <c r="F50" s="2"/>
      <c r="G50" s="2"/>
      <c r="H50" s="6">
        <v>45835</v>
      </c>
      <c r="I50" s="19">
        <v>90</v>
      </c>
      <c r="J50" s="7" t="s">
        <v>91</v>
      </c>
      <c r="K50" s="7" t="s">
        <v>91</v>
      </c>
      <c r="L50" s="7" t="s">
        <v>91</v>
      </c>
      <c r="M50" s="7" t="s">
        <v>91</v>
      </c>
      <c r="N50" s="7">
        <v>19.53</v>
      </c>
      <c r="O50" s="7">
        <v>19.53</v>
      </c>
      <c r="P50" s="7">
        <v>19.53</v>
      </c>
      <c r="Q50" s="10">
        <v>7</v>
      </c>
    </row>
    <row r="51" spans="1:17" x14ac:dyDescent="0.25">
      <c r="A51" s="1"/>
      <c r="B51" s="1"/>
      <c r="C51" s="1"/>
      <c r="D51" s="1"/>
      <c r="E51" s="1"/>
      <c r="F51" s="1"/>
      <c r="G51" s="1"/>
      <c r="H51" s="6"/>
      <c r="I51" s="7"/>
      <c r="J51" s="7"/>
      <c r="K51" s="7"/>
      <c r="L51" s="7"/>
      <c r="M51" s="7"/>
      <c r="N51" s="7"/>
      <c r="O51" s="7"/>
      <c r="P51" s="7"/>
      <c r="Q51" s="10"/>
    </row>
    <row r="52" spans="1:17" x14ac:dyDescent="0.25">
      <c r="A52" s="1" t="s">
        <v>61</v>
      </c>
      <c r="B52" s="1" t="s">
        <v>62</v>
      </c>
      <c r="C52" s="1" t="s">
        <v>54</v>
      </c>
      <c r="D52" s="2" t="s">
        <v>15</v>
      </c>
      <c r="E52" s="1" t="s">
        <v>34</v>
      </c>
      <c r="F52" s="2" t="s">
        <v>15</v>
      </c>
      <c r="G52" s="1" t="s">
        <v>34</v>
      </c>
      <c r="H52" s="6">
        <v>45825</v>
      </c>
      <c r="I52" s="19">
        <v>25</v>
      </c>
      <c r="J52" s="7">
        <v>435</v>
      </c>
      <c r="K52" s="7">
        <v>435</v>
      </c>
      <c r="L52" s="7">
        <v>435</v>
      </c>
      <c r="M52" s="7">
        <v>5</v>
      </c>
      <c r="N52" s="7">
        <v>156.25</v>
      </c>
      <c r="O52" s="7">
        <v>156.25</v>
      </c>
      <c r="P52" s="7">
        <v>156.25</v>
      </c>
      <c r="Q52" s="10">
        <v>4</v>
      </c>
    </row>
    <row r="53" spans="1:17" x14ac:dyDescent="0.25">
      <c r="A53" s="1" t="s">
        <v>61</v>
      </c>
      <c r="B53" s="1"/>
      <c r="C53" s="1"/>
      <c r="D53" s="2"/>
      <c r="E53" s="1"/>
      <c r="F53" s="2"/>
      <c r="G53" s="1"/>
      <c r="H53" s="6">
        <v>45827</v>
      </c>
      <c r="I53" s="19">
        <v>11</v>
      </c>
      <c r="J53" s="7">
        <v>435</v>
      </c>
      <c r="K53" s="7">
        <v>435</v>
      </c>
      <c r="L53" s="7">
        <v>435</v>
      </c>
      <c r="M53" s="7">
        <v>5</v>
      </c>
      <c r="N53" s="7">
        <v>39.06</v>
      </c>
      <c r="O53" s="7">
        <v>39.06</v>
      </c>
      <c r="P53" s="7">
        <v>39.06</v>
      </c>
      <c r="Q53" s="10">
        <v>6</v>
      </c>
    </row>
    <row r="54" spans="1:17" x14ac:dyDescent="0.25">
      <c r="A54" s="1" t="s">
        <v>61</v>
      </c>
      <c r="B54" s="1"/>
      <c r="C54" s="1"/>
      <c r="D54" s="2"/>
      <c r="E54" s="1"/>
      <c r="F54" s="2"/>
      <c r="G54" s="1"/>
      <c r="H54" s="6">
        <v>45831</v>
      </c>
      <c r="I54" s="19">
        <v>71</v>
      </c>
      <c r="J54" s="7">
        <v>435</v>
      </c>
      <c r="K54" s="7">
        <v>435</v>
      </c>
      <c r="L54" s="7">
        <v>435</v>
      </c>
      <c r="M54" s="7">
        <v>5</v>
      </c>
      <c r="N54" s="7">
        <v>9.76</v>
      </c>
      <c r="O54" s="7">
        <v>9.76</v>
      </c>
      <c r="P54" s="7">
        <v>9.76</v>
      </c>
      <c r="Q54" s="10">
        <v>8</v>
      </c>
    </row>
    <row r="55" spans="1:17" x14ac:dyDescent="0.25">
      <c r="A55" s="1"/>
      <c r="B55" s="1"/>
      <c r="C55" s="1"/>
      <c r="D55" s="2"/>
      <c r="E55" s="1"/>
      <c r="F55" s="2"/>
      <c r="G55" s="1"/>
      <c r="H55" s="6">
        <v>45835</v>
      </c>
      <c r="I55" s="19">
        <v>62</v>
      </c>
      <c r="J55" s="7" t="s">
        <v>91</v>
      </c>
      <c r="K55" s="7" t="s">
        <v>91</v>
      </c>
      <c r="L55" s="7" t="s">
        <v>91</v>
      </c>
      <c r="M55" s="7" t="s">
        <v>91</v>
      </c>
      <c r="N55" s="7">
        <v>39.06</v>
      </c>
      <c r="O55" s="7">
        <v>39.06</v>
      </c>
      <c r="P55" s="7">
        <v>39.06</v>
      </c>
      <c r="Q55" s="10">
        <v>6</v>
      </c>
    </row>
    <row r="56" spans="1:17" x14ac:dyDescent="0.25">
      <c r="A56" s="1"/>
      <c r="B56" s="1"/>
      <c r="C56" s="1"/>
      <c r="D56" s="1"/>
      <c r="E56" s="1"/>
      <c r="F56" s="1"/>
      <c r="G56" s="1"/>
      <c r="H56" s="6"/>
      <c r="I56" s="7"/>
      <c r="J56" s="7"/>
      <c r="K56" s="7"/>
      <c r="L56" s="7"/>
      <c r="M56" s="7"/>
      <c r="N56" s="7"/>
      <c r="O56" s="7"/>
      <c r="P56" s="7"/>
      <c r="Q56" s="10"/>
    </row>
    <row r="57" spans="1:17" x14ac:dyDescent="0.25">
      <c r="A57" s="1" t="s">
        <v>63</v>
      </c>
      <c r="B57" s="1">
        <v>535</v>
      </c>
      <c r="C57" s="1" t="s">
        <v>33</v>
      </c>
      <c r="D57" s="1" t="s">
        <v>34</v>
      </c>
      <c r="E57" s="1" t="s">
        <v>34</v>
      </c>
      <c r="F57" s="2" t="s">
        <v>15</v>
      </c>
      <c r="G57" s="1" t="s">
        <v>34</v>
      </c>
      <c r="H57" s="6">
        <v>45825</v>
      </c>
      <c r="I57" s="19">
        <v>18</v>
      </c>
      <c r="J57" s="7">
        <v>435</v>
      </c>
      <c r="K57" s="7">
        <v>435</v>
      </c>
      <c r="L57" s="7">
        <v>435</v>
      </c>
      <c r="M57" s="7">
        <v>5</v>
      </c>
      <c r="N57" s="7">
        <v>9.76</v>
      </c>
      <c r="O57" s="7">
        <v>9.76</v>
      </c>
      <c r="P57" s="7">
        <v>9.76</v>
      </c>
      <c r="Q57" s="10">
        <v>8</v>
      </c>
    </row>
    <row r="58" spans="1:17" x14ac:dyDescent="0.25">
      <c r="A58" s="1" t="s">
        <v>63</v>
      </c>
      <c r="B58" s="1"/>
      <c r="C58" s="1"/>
      <c r="D58" s="1"/>
      <c r="E58" s="1"/>
      <c r="F58" s="2"/>
      <c r="G58" s="1"/>
      <c r="H58" s="6">
        <v>45827</v>
      </c>
      <c r="I58" s="19">
        <v>23</v>
      </c>
      <c r="J58" s="7">
        <v>435</v>
      </c>
      <c r="K58" s="7">
        <v>435</v>
      </c>
      <c r="L58" s="7">
        <v>435</v>
      </c>
      <c r="M58" s="7">
        <v>5</v>
      </c>
      <c r="N58" s="7">
        <v>19.53</v>
      </c>
      <c r="O58" s="7">
        <v>19.53</v>
      </c>
      <c r="P58" s="7">
        <v>19.53</v>
      </c>
      <c r="Q58" s="10">
        <v>7</v>
      </c>
    </row>
    <row r="59" spans="1:17" x14ac:dyDescent="0.25">
      <c r="A59" s="1" t="s">
        <v>63</v>
      </c>
      <c r="B59" s="1"/>
      <c r="C59" s="1"/>
      <c r="D59" s="1"/>
      <c r="E59" s="1"/>
      <c r="F59" s="2"/>
      <c r="G59" s="1"/>
      <c r="H59" s="6">
        <v>45831</v>
      </c>
      <c r="I59" s="19">
        <v>106</v>
      </c>
      <c r="J59" s="7">
        <v>435</v>
      </c>
      <c r="K59" s="7">
        <v>435</v>
      </c>
      <c r="L59" s="7">
        <v>435</v>
      </c>
      <c r="M59" s="7">
        <v>5</v>
      </c>
      <c r="N59" s="7">
        <v>19.53</v>
      </c>
      <c r="O59" s="7">
        <v>19.53</v>
      </c>
      <c r="P59" s="7">
        <v>19.53</v>
      </c>
      <c r="Q59" s="10">
        <v>7</v>
      </c>
    </row>
    <row r="60" spans="1:17" x14ac:dyDescent="0.25">
      <c r="A60" s="1"/>
      <c r="B60" s="1"/>
      <c r="C60" s="1"/>
      <c r="D60" s="1"/>
      <c r="E60" s="1"/>
      <c r="F60" s="1"/>
      <c r="G60" s="1"/>
      <c r="H60" s="6"/>
      <c r="I60" s="7"/>
      <c r="J60" s="7"/>
      <c r="K60" s="7"/>
      <c r="L60" s="7"/>
      <c r="M60" s="7"/>
      <c r="N60" s="7"/>
      <c r="O60" s="7"/>
      <c r="P60" s="7"/>
      <c r="Q60" s="10"/>
    </row>
    <row r="61" spans="1:17" x14ac:dyDescent="0.25">
      <c r="A61" s="1" t="s">
        <v>64</v>
      </c>
      <c r="B61" s="1" t="s">
        <v>65</v>
      </c>
      <c r="C61" s="1" t="s">
        <v>52</v>
      </c>
      <c r="D61" s="2" t="s">
        <v>15</v>
      </c>
      <c r="E61" s="1" t="s">
        <v>34</v>
      </c>
      <c r="F61" s="2" t="s">
        <v>15</v>
      </c>
      <c r="G61" s="1" t="s">
        <v>34</v>
      </c>
      <c r="H61" s="6">
        <v>45825</v>
      </c>
      <c r="I61" s="19">
        <v>5</v>
      </c>
      <c r="J61" s="7">
        <v>435</v>
      </c>
      <c r="K61" s="7">
        <v>435</v>
      </c>
      <c r="L61" s="7">
        <v>435</v>
      </c>
      <c r="M61" s="7">
        <v>5</v>
      </c>
      <c r="N61" s="7">
        <v>156.25</v>
      </c>
      <c r="O61" s="7">
        <v>156.25</v>
      </c>
      <c r="P61" s="7">
        <v>156.25</v>
      </c>
      <c r="Q61" s="10">
        <v>4</v>
      </c>
    </row>
    <row r="62" spans="1:17" x14ac:dyDescent="0.25">
      <c r="A62" s="1" t="s">
        <v>64</v>
      </c>
      <c r="B62" s="1"/>
      <c r="C62" s="1" t="s">
        <v>54</v>
      </c>
      <c r="D62" s="2"/>
      <c r="E62" s="1"/>
      <c r="F62" s="2"/>
      <c r="G62" s="1"/>
      <c r="H62" s="6">
        <v>45827</v>
      </c>
      <c r="I62" s="19">
        <v>20</v>
      </c>
      <c r="J62" s="7">
        <v>435</v>
      </c>
      <c r="K62" s="7">
        <v>435</v>
      </c>
      <c r="L62" s="7">
        <v>435</v>
      </c>
      <c r="M62" s="7">
        <v>5</v>
      </c>
      <c r="N62" s="7">
        <v>19.53</v>
      </c>
      <c r="O62" s="7">
        <v>19.53</v>
      </c>
      <c r="P62" s="7">
        <v>19.53</v>
      </c>
      <c r="Q62" s="10">
        <v>7</v>
      </c>
    </row>
    <row r="63" spans="1:17" x14ac:dyDescent="0.25">
      <c r="A63" s="1" t="s">
        <v>64</v>
      </c>
      <c r="B63" s="1"/>
      <c r="C63" s="1"/>
      <c r="D63" s="2"/>
      <c r="E63" s="1"/>
      <c r="F63" s="2"/>
      <c r="G63" s="1"/>
      <c r="H63" s="6">
        <v>45831</v>
      </c>
      <c r="I63" s="19">
        <v>13</v>
      </c>
      <c r="J63" s="7">
        <v>435</v>
      </c>
      <c r="K63" s="7">
        <v>435</v>
      </c>
      <c r="L63" s="7">
        <v>435</v>
      </c>
      <c r="M63" s="7">
        <v>5</v>
      </c>
      <c r="N63" s="7">
        <v>4.88</v>
      </c>
      <c r="O63" s="7">
        <v>4.88</v>
      </c>
      <c r="P63" s="7">
        <v>4.88</v>
      </c>
      <c r="Q63" s="10">
        <v>9</v>
      </c>
    </row>
    <row r="64" spans="1:17" x14ac:dyDescent="0.25">
      <c r="A64" s="1"/>
      <c r="B64" s="1"/>
      <c r="C64" s="1"/>
      <c r="D64" s="2"/>
      <c r="E64" s="1"/>
      <c r="F64" s="2"/>
      <c r="G64" s="1"/>
      <c r="H64" s="6">
        <v>45835</v>
      </c>
      <c r="I64" s="19">
        <v>106</v>
      </c>
      <c r="J64" s="7" t="s">
        <v>91</v>
      </c>
      <c r="K64" s="7" t="s">
        <v>91</v>
      </c>
      <c r="L64" s="7" t="s">
        <v>91</v>
      </c>
      <c r="M64" s="7" t="s">
        <v>91</v>
      </c>
      <c r="N64" s="7">
        <v>19.53</v>
      </c>
      <c r="O64" s="7">
        <v>19.53</v>
      </c>
      <c r="P64" s="7">
        <v>19.53</v>
      </c>
      <c r="Q64" s="10">
        <v>7</v>
      </c>
    </row>
    <row r="65" spans="1:17" x14ac:dyDescent="0.25">
      <c r="A65" s="1"/>
      <c r="B65" s="1"/>
      <c r="C65" s="1"/>
      <c r="D65" s="1"/>
      <c r="E65" s="1"/>
      <c r="F65" s="1"/>
      <c r="G65" s="1"/>
      <c r="H65" s="6"/>
      <c r="I65" s="7"/>
      <c r="J65" s="7"/>
      <c r="K65" s="7"/>
      <c r="L65" s="7"/>
      <c r="M65" s="7"/>
      <c r="N65" s="7"/>
      <c r="O65" s="7"/>
      <c r="P65" s="7"/>
      <c r="Q65" s="10"/>
    </row>
    <row r="66" spans="1:17" x14ac:dyDescent="0.25">
      <c r="A66" s="1" t="s">
        <v>66</v>
      </c>
      <c r="B66" s="1">
        <v>8658</v>
      </c>
      <c r="C66" s="1" t="s">
        <v>52</v>
      </c>
      <c r="D66" s="2" t="s">
        <v>15</v>
      </c>
      <c r="E66" s="1" t="s">
        <v>34</v>
      </c>
      <c r="F66" s="2" t="s">
        <v>15</v>
      </c>
      <c r="G66" s="1" t="s">
        <v>34</v>
      </c>
      <c r="H66" s="6">
        <v>45825</v>
      </c>
      <c r="I66" s="19">
        <v>19</v>
      </c>
      <c r="J66" s="7">
        <v>435</v>
      </c>
      <c r="K66" s="7">
        <v>435</v>
      </c>
      <c r="L66" s="7">
        <v>435</v>
      </c>
      <c r="M66" s="7">
        <v>5</v>
      </c>
      <c r="N66" s="7">
        <v>156.25</v>
      </c>
      <c r="O66" s="7">
        <v>156.25</v>
      </c>
      <c r="P66" s="7">
        <v>156.25</v>
      </c>
      <c r="Q66" s="10">
        <v>4</v>
      </c>
    </row>
    <row r="67" spans="1:17" x14ac:dyDescent="0.25">
      <c r="A67" s="1" t="s">
        <v>66</v>
      </c>
      <c r="B67" s="1"/>
      <c r="C67" s="1" t="s">
        <v>54</v>
      </c>
      <c r="D67" s="2"/>
      <c r="E67" s="1"/>
      <c r="F67" s="2"/>
      <c r="G67" s="1"/>
      <c r="H67" s="6">
        <v>45827</v>
      </c>
      <c r="I67" s="19">
        <v>4</v>
      </c>
      <c r="J67" s="7">
        <v>435</v>
      </c>
      <c r="K67" s="7">
        <v>435</v>
      </c>
      <c r="L67" s="7">
        <v>435</v>
      </c>
      <c r="M67" s="7">
        <v>5</v>
      </c>
      <c r="N67" s="7">
        <v>19.53</v>
      </c>
      <c r="O67" s="7">
        <v>19.53</v>
      </c>
      <c r="P67" s="7">
        <v>19.53</v>
      </c>
      <c r="Q67" s="10">
        <v>7</v>
      </c>
    </row>
    <row r="68" spans="1:17" x14ac:dyDescent="0.25">
      <c r="A68" s="1" t="s">
        <v>66</v>
      </c>
      <c r="B68" s="1"/>
      <c r="C68" s="1"/>
      <c r="D68" s="2"/>
      <c r="E68" s="1"/>
      <c r="F68" s="2"/>
      <c r="G68" s="1"/>
      <c r="H68" s="6">
        <v>45831</v>
      </c>
      <c r="I68" s="19">
        <v>116</v>
      </c>
      <c r="J68" s="7">
        <v>435</v>
      </c>
      <c r="K68" s="7">
        <v>435</v>
      </c>
      <c r="L68" s="7">
        <v>435</v>
      </c>
      <c r="M68" s="7">
        <v>5</v>
      </c>
      <c r="N68" s="7">
        <v>19.53</v>
      </c>
      <c r="O68" s="7">
        <v>19.53</v>
      </c>
      <c r="P68" s="7">
        <v>19.53</v>
      </c>
      <c r="Q68" s="10">
        <v>7</v>
      </c>
    </row>
    <row r="69" spans="1:17" x14ac:dyDescent="0.25">
      <c r="A69" s="1"/>
      <c r="B69" s="1"/>
      <c r="C69" s="1"/>
      <c r="D69" s="1" t="s">
        <v>19</v>
      </c>
      <c r="E69" s="1" t="s">
        <v>20</v>
      </c>
      <c r="F69" s="1" t="s">
        <v>21</v>
      </c>
      <c r="G69" s="1" t="s">
        <v>22</v>
      </c>
      <c r="H69" s="5" t="s">
        <v>24</v>
      </c>
      <c r="I69" s="5" t="s">
        <v>25</v>
      </c>
      <c r="J69" s="5" t="s">
        <v>26</v>
      </c>
      <c r="K69" s="5" t="s">
        <v>27</v>
      </c>
      <c r="L69" s="5" t="s">
        <v>28</v>
      </c>
      <c r="M69" s="5" t="s">
        <v>81</v>
      </c>
      <c r="N69" s="20" t="s">
        <v>26</v>
      </c>
      <c r="O69" s="20" t="s">
        <v>27</v>
      </c>
      <c r="P69" s="20" t="s">
        <v>28</v>
      </c>
      <c r="Q69" s="5" t="s">
        <v>81</v>
      </c>
    </row>
    <row r="70" spans="1:17" x14ac:dyDescent="0.25">
      <c r="A70" s="1" t="s">
        <v>67</v>
      </c>
      <c r="B70" s="1">
        <v>27</v>
      </c>
      <c r="C70" s="1" t="s">
        <v>83</v>
      </c>
      <c r="D70" s="1" t="s">
        <v>34</v>
      </c>
      <c r="E70" s="1" t="s">
        <v>34</v>
      </c>
      <c r="F70" s="2" t="s">
        <v>15</v>
      </c>
      <c r="G70" s="1" t="s">
        <v>34</v>
      </c>
      <c r="H70" s="6">
        <v>45825</v>
      </c>
      <c r="I70" s="19">
        <v>60</v>
      </c>
      <c r="J70" s="7">
        <v>435</v>
      </c>
      <c r="K70" s="7">
        <v>435</v>
      </c>
      <c r="L70" s="7">
        <v>435</v>
      </c>
      <c r="M70" s="7">
        <v>5</v>
      </c>
      <c r="N70" s="7">
        <v>19.53</v>
      </c>
      <c r="O70" s="7">
        <v>19.53</v>
      </c>
      <c r="P70" s="7">
        <v>19.53</v>
      </c>
      <c r="Q70" s="10">
        <v>7</v>
      </c>
    </row>
    <row r="71" spans="1:17" x14ac:dyDescent="0.25">
      <c r="A71" s="1" t="s">
        <v>67</v>
      </c>
      <c r="B71" s="1"/>
      <c r="C71" s="1" t="s">
        <v>52</v>
      </c>
      <c r="D71" s="1"/>
      <c r="E71" s="1"/>
      <c r="F71" s="2"/>
      <c r="G71" s="1"/>
      <c r="H71" s="6">
        <v>45827</v>
      </c>
      <c r="I71" s="19">
        <v>5</v>
      </c>
      <c r="J71" s="7">
        <v>435</v>
      </c>
      <c r="K71" s="7">
        <v>435</v>
      </c>
      <c r="L71" s="7">
        <v>435</v>
      </c>
      <c r="M71" s="7">
        <v>5</v>
      </c>
      <c r="N71" s="7">
        <v>9.76</v>
      </c>
      <c r="O71" s="7">
        <v>9.76</v>
      </c>
      <c r="P71" s="7">
        <v>9.76</v>
      </c>
      <c r="Q71" s="10">
        <v>8</v>
      </c>
    </row>
    <row r="72" spans="1:17" x14ac:dyDescent="0.25">
      <c r="A72" s="1" t="s">
        <v>67</v>
      </c>
      <c r="B72" s="1"/>
      <c r="C72" s="1"/>
      <c r="D72" s="1"/>
      <c r="E72" s="1"/>
      <c r="F72" s="2"/>
      <c r="G72" s="1"/>
      <c r="H72" s="6">
        <v>45831</v>
      </c>
      <c r="I72" s="19">
        <v>32</v>
      </c>
      <c r="J72" s="7">
        <v>435</v>
      </c>
      <c r="K72" s="7">
        <v>435</v>
      </c>
      <c r="L72" s="7">
        <v>435</v>
      </c>
      <c r="M72" s="7">
        <v>5</v>
      </c>
      <c r="N72" s="7">
        <v>9.76</v>
      </c>
      <c r="O72" s="7">
        <v>9.76</v>
      </c>
      <c r="P72" s="7">
        <v>9.76</v>
      </c>
      <c r="Q72" s="10">
        <v>8</v>
      </c>
    </row>
    <row r="73" spans="1:17" x14ac:dyDescent="0.25">
      <c r="A73" s="1"/>
      <c r="B73" s="1"/>
      <c r="C73" s="1"/>
      <c r="D73" s="1"/>
      <c r="E73" s="1"/>
      <c r="F73" s="1"/>
      <c r="G73" s="1"/>
      <c r="H73" s="6"/>
      <c r="I73" s="7"/>
      <c r="J73" s="7"/>
      <c r="K73" s="7"/>
      <c r="L73" s="7"/>
      <c r="M73" s="7"/>
      <c r="N73" s="7"/>
      <c r="O73" s="7"/>
      <c r="P73" s="7"/>
      <c r="Q73" s="10"/>
    </row>
    <row r="74" spans="1:17" x14ac:dyDescent="0.25">
      <c r="A74" s="1" t="s">
        <v>69</v>
      </c>
      <c r="B74" s="1">
        <v>6964</v>
      </c>
      <c r="C74" s="1" t="s">
        <v>83</v>
      </c>
      <c r="D74" s="2" t="s">
        <v>15</v>
      </c>
      <c r="E74" s="1" t="s">
        <v>34</v>
      </c>
      <c r="F74" s="2" t="s">
        <v>15</v>
      </c>
      <c r="G74" s="1" t="s">
        <v>34</v>
      </c>
      <c r="H74" s="6">
        <v>45825</v>
      </c>
      <c r="I74" s="19">
        <v>31</v>
      </c>
      <c r="J74" s="7">
        <v>435</v>
      </c>
      <c r="K74" s="7">
        <v>435</v>
      </c>
      <c r="L74" s="7">
        <v>435</v>
      </c>
      <c r="M74" s="7">
        <v>5</v>
      </c>
      <c r="N74" s="7">
        <v>9.76</v>
      </c>
      <c r="O74" s="7">
        <v>9.76</v>
      </c>
      <c r="P74" s="7">
        <v>9.76</v>
      </c>
      <c r="Q74" s="10">
        <v>8</v>
      </c>
    </row>
    <row r="75" spans="1:17" x14ac:dyDescent="0.25">
      <c r="A75" s="1" t="s">
        <v>69</v>
      </c>
      <c r="B75" s="1"/>
      <c r="C75" s="1" t="s">
        <v>52</v>
      </c>
      <c r="D75" s="2"/>
      <c r="E75" s="1"/>
      <c r="F75" s="2"/>
      <c r="G75" s="1"/>
      <c r="H75" s="6">
        <v>45827</v>
      </c>
      <c r="I75" s="19">
        <v>15</v>
      </c>
      <c r="J75" s="7">
        <v>435</v>
      </c>
      <c r="K75" s="7">
        <v>435</v>
      </c>
      <c r="L75" s="7">
        <v>435</v>
      </c>
      <c r="M75" s="7">
        <v>5</v>
      </c>
      <c r="N75" s="7">
        <v>9.76</v>
      </c>
      <c r="O75" s="7">
        <v>9.76</v>
      </c>
      <c r="P75" s="7">
        <v>9.76</v>
      </c>
      <c r="Q75" s="10">
        <v>8</v>
      </c>
    </row>
    <row r="76" spans="1:17" x14ac:dyDescent="0.25">
      <c r="A76" s="1" t="s">
        <v>69</v>
      </c>
      <c r="B76" s="1"/>
      <c r="C76" s="1" t="s">
        <v>54</v>
      </c>
      <c r="D76" s="2"/>
      <c r="E76" s="1"/>
      <c r="F76" s="2"/>
      <c r="G76" s="1"/>
      <c r="H76" s="6">
        <v>45831</v>
      </c>
      <c r="I76" s="19">
        <v>30</v>
      </c>
      <c r="J76" s="7">
        <v>435</v>
      </c>
      <c r="K76" s="7">
        <v>435</v>
      </c>
      <c r="L76" s="7">
        <v>435</v>
      </c>
      <c r="M76" s="7">
        <v>5</v>
      </c>
      <c r="N76" s="7">
        <v>9.76</v>
      </c>
      <c r="O76" s="7">
        <v>9.76</v>
      </c>
      <c r="P76" s="7">
        <v>9.76</v>
      </c>
      <c r="Q76" s="10">
        <v>8</v>
      </c>
    </row>
    <row r="77" spans="1:17" x14ac:dyDescent="0.25">
      <c r="A77" s="1"/>
      <c r="B77" s="1"/>
      <c r="C77" s="1"/>
      <c r="D77" s="1"/>
      <c r="E77" s="1"/>
      <c r="F77" s="1"/>
      <c r="G77" s="1"/>
      <c r="H77" s="6"/>
      <c r="I77" s="7"/>
      <c r="J77" s="7"/>
      <c r="K77" s="7"/>
      <c r="L77" s="7"/>
      <c r="M77" s="7"/>
      <c r="N77" s="7"/>
      <c r="O77" s="7"/>
      <c r="P77" s="7"/>
      <c r="Q77" s="10"/>
    </row>
    <row r="78" spans="1:17" x14ac:dyDescent="0.25">
      <c r="A78" s="1" t="s">
        <v>71</v>
      </c>
      <c r="B78" s="1">
        <v>1919</v>
      </c>
      <c r="C78" s="1" t="s">
        <v>52</v>
      </c>
      <c r="D78" s="2" t="s">
        <v>15</v>
      </c>
      <c r="E78" s="1" t="s">
        <v>34</v>
      </c>
      <c r="F78" s="2" t="s">
        <v>15</v>
      </c>
      <c r="G78" s="1" t="s">
        <v>34</v>
      </c>
      <c r="H78" s="6">
        <v>45825</v>
      </c>
      <c r="I78" s="19">
        <v>7</v>
      </c>
      <c r="J78" s="7">
        <v>217.5</v>
      </c>
      <c r="K78" s="7">
        <v>217.5</v>
      </c>
      <c r="L78" s="7">
        <v>217.5</v>
      </c>
      <c r="M78" s="7">
        <v>6</v>
      </c>
      <c r="N78" s="7">
        <v>9.76</v>
      </c>
      <c r="O78" s="7">
        <v>9.76</v>
      </c>
      <c r="P78" s="7">
        <v>9.76</v>
      </c>
      <c r="Q78" s="10">
        <v>8</v>
      </c>
    </row>
    <row r="79" spans="1:17" x14ac:dyDescent="0.25">
      <c r="A79" s="1" t="s">
        <v>71</v>
      </c>
      <c r="B79" s="1"/>
      <c r="C79" s="1" t="s">
        <v>54</v>
      </c>
      <c r="D79" s="2"/>
      <c r="E79" s="1"/>
      <c r="F79" s="2"/>
      <c r="G79" s="1"/>
      <c r="H79" s="6">
        <v>45827</v>
      </c>
      <c r="I79" s="19">
        <v>4</v>
      </c>
      <c r="J79" s="7">
        <v>435</v>
      </c>
      <c r="K79" s="7">
        <v>435</v>
      </c>
      <c r="L79" s="7">
        <v>435</v>
      </c>
      <c r="M79" s="7">
        <v>5</v>
      </c>
      <c r="N79" s="7">
        <v>9.76</v>
      </c>
      <c r="O79" s="7">
        <v>9.76</v>
      </c>
      <c r="P79" s="7">
        <v>9.76</v>
      </c>
      <c r="Q79" s="10">
        <v>8</v>
      </c>
    </row>
    <row r="80" spans="1:17" x14ac:dyDescent="0.25">
      <c r="A80" s="1" t="s">
        <v>71</v>
      </c>
      <c r="B80" s="1"/>
      <c r="C80" s="1"/>
      <c r="D80" s="2"/>
      <c r="E80" s="1"/>
      <c r="F80" s="2"/>
      <c r="G80" s="1"/>
      <c r="H80" s="6">
        <v>45831</v>
      </c>
      <c r="I80" s="19">
        <v>27</v>
      </c>
      <c r="J80" s="7">
        <v>435</v>
      </c>
      <c r="K80" s="7">
        <v>435</v>
      </c>
      <c r="L80" s="7">
        <v>435</v>
      </c>
      <c r="M80" s="7">
        <v>5</v>
      </c>
      <c r="N80" s="7">
        <v>19.53</v>
      </c>
      <c r="O80" s="7">
        <v>19.53</v>
      </c>
      <c r="P80" s="7">
        <v>19.53</v>
      </c>
      <c r="Q80" s="10">
        <v>7</v>
      </c>
    </row>
    <row r="81" spans="1:17" x14ac:dyDescent="0.25">
      <c r="A81" s="1"/>
      <c r="B81" s="1"/>
      <c r="C81" s="1"/>
      <c r="D81" s="1"/>
      <c r="E81" s="1"/>
      <c r="F81" s="1"/>
      <c r="G81" s="1"/>
      <c r="H81" s="6"/>
      <c r="I81" s="7"/>
      <c r="J81" s="7"/>
      <c r="K81" s="7"/>
      <c r="L81" s="7"/>
      <c r="M81" s="7"/>
      <c r="N81" s="7"/>
      <c r="O81" s="7"/>
      <c r="P81" s="7"/>
      <c r="Q81" s="10"/>
    </row>
    <row r="82" spans="1:17" x14ac:dyDescent="0.25">
      <c r="A82" s="1" t="s">
        <v>72</v>
      </c>
      <c r="B82" s="1">
        <v>8187</v>
      </c>
      <c r="C82" s="1" t="s">
        <v>54</v>
      </c>
      <c r="D82" s="2" t="s">
        <v>15</v>
      </c>
      <c r="E82" s="1" t="s">
        <v>34</v>
      </c>
      <c r="F82" s="1" t="s">
        <v>34</v>
      </c>
      <c r="G82" s="1" t="s">
        <v>34</v>
      </c>
      <c r="H82" s="6">
        <v>45825</v>
      </c>
      <c r="I82" s="19">
        <v>42</v>
      </c>
      <c r="J82" s="7">
        <v>435</v>
      </c>
      <c r="K82" s="7">
        <v>435</v>
      </c>
      <c r="L82" s="7">
        <v>435</v>
      </c>
      <c r="M82" s="7">
        <v>5</v>
      </c>
      <c r="N82" s="7">
        <v>4.88</v>
      </c>
      <c r="O82" s="7">
        <v>4.88</v>
      </c>
      <c r="P82" s="7">
        <v>4.88</v>
      </c>
      <c r="Q82" s="10">
        <v>9</v>
      </c>
    </row>
    <row r="83" spans="1:17" x14ac:dyDescent="0.25">
      <c r="A83" s="1" t="s">
        <v>72</v>
      </c>
      <c r="B83" s="1"/>
      <c r="C83" s="1"/>
      <c r="D83" s="2"/>
      <c r="E83" s="1"/>
      <c r="F83" s="1"/>
      <c r="G83" s="1"/>
      <c r="H83" s="6">
        <v>45827</v>
      </c>
      <c r="I83" s="19">
        <v>5</v>
      </c>
      <c r="J83" s="7">
        <v>217.5</v>
      </c>
      <c r="K83" s="7">
        <v>217.5</v>
      </c>
      <c r="L83" s="7">
        <v>217.5</v>
      </c>
      <c r="M83" s="7">
        <v>6</v>
      </c>
      <c r="N83" s="7">
        <v>19.53</v>
      </c>
      <c r="O83" s="7">
        <v>19.53</v>
      </c>
      <c r="P83" s="7">
        <v>19.53</v>
      </c>
      <c r="Q83" s="10">
        <v>7</v>
      </c>
    </row>
    <row r="84" spans="1:17" x14ac:dyDescent="0.25">
      <c r="A84" s="1" t="s">
        <v>72</v>
      </c>
      <c r="B84" s="1"/>
      <c r="C84" s="1"/>
      <c r="D84" s="2"/>
      <c r="E84" s="1"/>
      <c r="F84" s="1"/>
      <c r="G84" s="1"/>
      <c r="H84" s="6">
        <v>45831</v>
      </c>
      <c r="I84" s="19">
        <v>13</v>
      </c>
      <c r="J84" s="7">
        <v>435</v>
      </c>
      <c r="K84" s="7">
        <v>435</v>
      </c>
      <c r="L84" s="7">
        <v>435</v>
      </c>
      <c r="M84" s="7">
        <v>5</v>
      </c>
      <c r="N84" s="7">
        <v>19.53</v>
      </c>
      <c r="O84" s="7">
        <v>19.53</v>
      </c>
      <c r="P84" s="7">
        <v>19.53</v>
      </c>
      <c r="Q84" s="10">
        <v>7</v>
      </c>
    </row>
    <row r="85" spans="1:17" x14ac:dyDescent="0.25">
      <c r="A85" s="1"/>
      <c r="B85" s="1"/>
      <c r="C85" s="1"/>
      <c r="D85" s="1"/>
      <c r="E85" s="1"/>
      <c r="F85" s="1"/>
      <c r="G85" s="1"/>
      <c r="H85" s="6"/>
      <c r="I85" s="7"/>
      <c r="J85" s="7"/>
      <c r="K85" s="7"/>
      <c r="L85" s="7"/>
      <c r="M85" s="7"/>
      <c r="N85" s="7"/>
      <c r="O85" s="7"/>
      <c r="P85" s="7"/>
      <c r="Q85" s="10"/>
    </row>
    <row r="86" spans="1:17" x14ac:dyDescent="0.25">
      <c r="A86" s="3" t="s">
        <v>73</v>
      </c>
      <c r="B86" s="1"/>
      <c r="C86" s="1" t="s">
        <v>78</v>
      </c>
      <c r="D86" s="1" t="s">
        <v>34</v>
      </c>
      <c r="E86" s="1" t="s">
        <v>34</v>
      </c>
      <c r="F86" s="1" t="s">
        <v>34</v>
      </c>
      <c r="G86" s="1" t="s">
        <v>34</v>
      </c>
      <c r="H86" s="6">
        <v>45825</v>
      </c>
      <c r="I86" s="19">
        <v>12</v>
      </c>
      <c r="J86" s="7">
        <v>435</v>
      </c>
      <c r="K86" s="7">
        <v>435</v>
      </c>
      <c r="L86" s="7">
        <v>435</v>
      </c>
      <c r="M86" s="7">
        <v>5</v>
      </c>
      <c r="N86" s="7">
        <v>9.76</v>
      </c>
      <c r="O86" s="7">
        <v>9.76</v>
      </c>
      <c r="P86" s="7">
        <v>9.76</v>
      </c>
      <c r="Q86" s="10">
        <v>8</v>
      </c>
    </row>
    <row r="87" spans="1:17" x14ac:dyDescent="0.25">
      <c r="A87" s="3" t="s">
        <v>73</v>
      </c>
      <c r="B87" s="1"/>
      <c r="C87" s="1"/>
      <c r="D87" s="1"/>
      <c r="E87" s="1"/>
      <c r="F87" s="1"/>
      <c r="G87" s="1"/>
      <c r="H87" s="6">
        <v>45827</v>
      </c>
      <c r="I87" s="19">
        <v>6</v>
      </c>
      <c r="J87" s="7">
        <v>435</v>
      </c>
      <c r="K87" s="7">
        <v>435</v>
      </c>
      <c r="L87" s="7">
        <v>435</v>
      </c>
      <c r="M87" s="7">
        <v>5</v>
      </c>
      <c r="N87" s="7">
        <v>9.76</v>
      </c>
      <c r="O87" s="7">
        <v>9.76</v>
      </c>
      <c r="P87" s="7">
        <v>9.76</v>
      </c>
      <c r="Q87" s="10">
        <v>8</v>
      </c>
    </row>
    <row r="88" spans="1:17" x14ac:dyDescent="0.25">
      <c r="A88" s="3" t="s">
        <v>73</v>
      </c>
      <c r="B88" s="1"/>
      <c r="C88" s="1"/>
      <c r="D88" s="1"/>
      <c r="E88" s="1"/>
      <c r="F88" s="1"/>
      <c r="G88" s="1"/>
      <c r="H88" s="6">
        <v>45831</v>
      </c>
      <c r="I88" s="19">
        <v>99</v>
      </c>
      <c r="J88" s="7">
        <v>435</v>
      </c>
      <c r="K88" s="7">
        <v>435</v>
      </c>
      <c r="L88" s="7">
        <v>435</v>
      </c>
      <c r="M88" s="7">
        <v>5</v>
      </c>
      <c r="N88" s="7">
        <v>9.76</v>
      </c>
      <c r="O88" s="7">
        <v>9.76</v>
      </c>
      <c r="P88" s="7">
        <v>9.76</v>
      </c>
      <c r="Q88" s="10">
        <v>8</v>
      </c>
    </row>
    <row r="98" spans="1:13" x14ac:dyDescent="0.25">
      <c r="A98" s="4" t="s">
        <v>85</v>
      </c>
    </row>
    <row r="99" spans="1:13" ht="15.75" thickBot="1" x14ac:dyDescent="0.3">
      <c r="A99" s="4" t="s">
        <v>86</v>
      </c>
    </row>
    <row r="100" spans="1:13" ht="15.75" thickBot="1" x14ac:dyDescent="0.3">
      <c r="A100" s="4" t="s">
        <v>87</v>
      </c>
      <c r="B100" s="21">
        <v>1</v>
      </c>
      <c r="C100" s="22">
        <v>2</v>
      </c>
      <c r="D100" s="22">
        <v>3</v>
      </c>
      <c r="E100" s="22">
        <v>4</v>
      </c>
      <c r="F100" s="22">
        <v>5</v>
      </c>
      <c r="G100" s="22">
        <v>6</v>
      </c>
      <c r="H100" s="22">
        <v>7</v>
      </c>
      <c r="I100" s="22">
        <v>8</v>
      </c>
      <c r="J100" s="22">
        <v>9</v>
      </c>
      <c r="K100" s="22">
        <v>10</v>
      </c>
      <c r="L100" s="22">
        <v>11</v>
      </c>
      <c r="M100" s="22">
        <v>12</v>
      </c>
    </row>
    <row r="101" spans="1:13" ht="15.75" thickBot="1" x14ac:dyDescent="0.3">
      <c r="A101" s="4" t="s">
        <v>88</v>
      </c>
      <c r="B101" s="23">
        <v>12</v>
      </c>
      <c r="C101" s="24">
        <v>6</v>
      </c>
      <c r="D101" s="24">
        <v>3</v>
      </c>
      <c r="E101" s="24">
        <v>1.5</v>
      </c>
      <c r="F101" s="24">
        <v>0.75</v>
      </c>
      <c r="G101" s="24">
        <v>0.37</v>
      </c>
      <c r="H101" s="24">
        <v>0.18</v>
      </c>
      <c r="I101" s="24">
        <v>0.09</v>
      </c>
      <c r="J101" s="24">
        <v>0.04</v>
      </c>
      <c r="K101" s="24">
        <v>0.02</v>
      </c>
      <c r="L101" s="24">
        <v>0.01</v>
      </c>
      <c r="M101" s="24">
        <v>5.0000000000000001E-3</v>
      </c>
    </row>
    <row r="102" spans="1:13" ht="15.75" thickBot="1" x14ac:dyDescent="0.3">
      <c r="A102" s="4" t="s">
        <v>89</v>
      </c>
      <c r="B102" s="23">
        <v>6960</v>
      </c>
      <c r="C102" s="24">
        <v>3480</v>
      </c>
      <c r="D102" s="24">
        <v>1740</v>
      </c>
      <c r="E102" s="24">
        <v>870</v>
      </c>
      <c r="F102" s="24">
        <v>435</v>
      </c>
      <c r="G102" s="24">
        <v>217.5</v>
      </c>
      <c r="H102" s="24">
        <v>108.75</v>
      </c>
      <c r="I102" s="24">
        <v>54.37</v>
      </c>
      <c r="J102" s="24">
        <v>27.18</v>
      </c>
      <c r="K102" s="24">
        <v>13.59</v>
      </c>
      <c r="L102" s="24">
        <v>6.79</v>
      </c>
      <c r="M102" s="24">
        <v>3.39</v>
      </c>
    </row>
    <row r="104" spans="1:13" ht="15.75" thickBot="1" x14ac:dyDescent="0.3">
      <c r="A104" s="4" t="s">
        <v>90</v>
      </c>
    </row>
    <row r="105" spans="1:13" ht="15.75" thickBot="1" x14ac:dyDescent="0.3">
      <c r="A105" s="4" t="s">
        <v>87</v>
      </c>
      <c r="B105" s="21">
        <v>1</v>
      </c>
      <c r="C105" s="22">
        <v>2</v>
      </c>
      <c r="D105" s="22">
        <v>3</v>
      </c>
      <c r="E105" s="22">
        <v>4</v>
      </c>
      <c r="F105" s="22">
        <v>5</v>
      </c>
      <c r="G105" s="22">
        <v>6</v>
      </c>
      <c r="H105" s="22">
        <v>7</v>
      </c>
      <c r="I105" s="22">
        <v>8</v>
      </c>
      <c r="J105" s="22">
        <v>9</v>
      </c>
      <c r="K105" s="22">
        <v>10</v>
      </c>
      <c r="L105" s="22">
        <v>11</v>
      </c>
      <c r="M105" s="22">
        <v>12</v>
      </c>
    </row>
    <row r="106" spans="1:13" ht="15.75" thickBot="1" x14ac:dyDescent="0.3">
      <c r="A106" s="4" t="s">
        <v>88</v>
      </c>
      <c r="B106" s="23">
        <v>5</v>
      </c>
      <c r="C106" s="24">
        <v>2.5</v>
      </c>
      <c r="D106" s="24">
        <v>1.2</v>
      </c>
      <c r="E106" s="24">
        <v>0.6</v>
      </c>
      <c r="F106" s="24">
        <v>0.3</v>
      </c>
      <c r="G106" s="24">
        <v>0.15</v>
      </c>
      <c r="H106" s="24">
        <v>7.4999999999999997E-2</v>
      </c>
      <c r="I106" s="24">
        <v>0.03</v>
      </c>
      <c r="J106" s="24">
        <v>0.01</v>
      </c>
      <c r="K106" s="24">
        <v>5.0000000000000001E-3</v>
      </c>
      <c r="L106" s="24">
        <v>2E-3</v>
      </c>
      <c r="M106" s="24">
        <v>1E-3</v>
      </c>
    </row>
    <row r="107" spans="1:13" ht="15.75" thickBot="1" x14ac:dyDescent="0.3">
      <c r="A107" s="4" t="s">
        <v>89</v>
      </c>
      <c r="B107" s="23">
        <v>1250</v>
      </c>
      <c r="C107" s="24">
        <v>625</v>
      </c>
      <c r="D107" s="24">
        <v>312.5</v>
      </c>
      <c r="E107" s="24">
        <v>156.25</v>
      </c>
      <c r="F107" s="24">
        <v>78.099999999999994</v>
      </c>
      <c r="G107" s="24">
        <v>39.06</v>
      </c>
      <c r="H107" s="24">
        <v>19.53</v>
      </c>
      <c r="I107" s="24">
        <v>9.76</v>
      </c>
      <c r="J107" s="24">
        <v>4.88</v>
      </c>
      <c r="K107" s="24">
        <v>2.44</v>
      </c>
      <c r="L107" s="24">
        <v>1.22</v>
      </c>
      <c r="M107" s="24">
        <v>0.61</v>
      </c>
    </row>
  </sheetData>
  <mergeCells count="5">
    <mergeCell ref="D2:G2"/>
    <mergeCell ref="H1:L1"/>
    <mergeCell ref="H2:L2"/>
    <mergeCell ref="N1:Q1"/>
    <mergeCell ref="N2:Q2"/>
  </mergeCells>
  <pageMargins left="0.7" right="0.7" top="0.75" bottom="0.75" header="0.3" footer="0.3"/>
  <pageSetup paperSize="9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977F-1355-4C2D-BCA2-56126D60AC30}">
  <dimension ref="A1:AB28"/>
  <sheetViews>
    <sheetView tabSelected="1" zoomScale="145" zoomScaleNormal="145" workbookViewId="0">
      <selection activeCell="A5" sqref="A5:T5"/>
    </sheetView>
  </sheetViews>
  <sheetFormatPr defaultRowHeight="15" x14ac:dyDescent="0.25"/>
  <cols>
    <col min="1" max="1" width="14.140625" bestFit="1" customWidth="1"/>
    <col min="2" max="2" width="6.5703125" bestFit="1" customWidth="1"/>
    <col min="3" max="3" width="7.85546875" bestFit="1" customWidth="1"/>
    <col min="4" max="4" width="20.140625" hidden="1" customWidth="1"/>
    <col min="5" max="5" width="23.85546875" hidden="1" customWidth="1"/>
    <col min="6" max="6" width="22.5703125" bestFit="1" customWidth="1"/>
    <col min="7" max="7" width="14.140625" hidden="1" customWidth="1"/>
    <col min="8" max="8" width="7.7109375" hidden="1" customWidth="1"/>
    <col min="9" max="11" width="9.140625" hidden="1" customWidth="1"/>
    <col min="12" max="12" width="10.7109375" bestFit="1" customWidth="1"/>
    <col min="13" max="13" width="9.140625" customWidth="1"/>
    <col min="14" max="14" width="10.7109375" bestFit="1" customWidth="1"/>
    <col min="15" max="15" width="9.140625" customWidth="1"/>
    <col min="16" max="16" width="10.7109375" bestFit="1" customWidth="1"/>
    <col min="17" max="17" width="9.140625" customWidth="1"/>
    <col min="18" max="18" width="10.7109375" bestFit="1" customWidth="1"/>
    <col min="19" max="19" width="5" customWidth="1"/>
    <col min="20" max="20" width="10.7109375" bestFit="1" customWidth="1"/>
    <col min="21" max="21" width="6" customWidth="1"/>
    <col min="27" max="27" width="20.140625" bestFit="1" customWidth="1"/>
  </cols>
  <sheetData>
    <row r="1" spans="1:28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38" t="s">
        <v>1</v>
      </c>
      <c r="M1" s="39"/>
      <c r="N1" s="39"/>
      <c r="O1" s="39"/>
      <c r="P1" s="39"/>
      <c r="Q1" s="39"/>
      <c r="R1" s="39"/>
      <c r="S1" s="39"/>
      <c r="T1" s="39"/>
      <c r="U1" s="40"/>
    </row>
    <row r="2" spans="1:28" x14ac:dyDescent="0.25">
      <c r="A2" s="4"/>
      <c r="B2" s="4"/>
      <c r="C2" s="4"/>
      <c r="D2" s="4"/>
      <c r="E2" s="4"/>
      <c r="F2" s="4"/>
      <c r="G2" s="4"/>
      <c r="H2" s="4"/>
      <c r="I2" s="10" t="s">
        <v>7</v>
      </c>
      <c r="J2" s="10"/>
      <c r="K2" s="10"/>
      <c r="L2" s="38" t="s">
        <v>8</v>
      </c>
      <c r="M2" s="40"/>
      <c r="N2" s="38" t="s">
        <v>9</v>
      </c>
      <c r="O2" s="40"/>
      <c r="P2" s="38" t="s">
        <v>10</v>
      </c>
      <c r="Q2" s="40"/>
      <c r="R2" s="38" t="s">
        <v>86</v>
      </c>
      <c r="S2" s="40"/>
      <c r="T2" s="38" t="s">
        <v>90</v>
      </c>
      <c r="U2" s="40"/>
    </row>
    <row r="3" spans="1:28" x14ac:dyDescent="0.25">
      <c r="A3" s="1" t="s">
        <v>16</v>
      </c>
      <c r="B3" s="1" t="s">
        <v>17</v>
      </c>
      <c r="C3" s="1" t="s">
        <v>2</v>
      </c>
      <c r="D3" s="1" t="s">
        <v>115</v>
      </c>
      <c r="E3" s="1" t="s">
        <v>116</v>
      </c>
      <c r="F3" s="1" t="s">
        <v>188</v>
      </c>
      <c r="G3" s="1" t="s">
        <v>16</v>
      </c>
      <c r="H3" s="1" t="s">
        <v>2</v>
      </c>
      <c r="I3" s="1" t="s">
        <v>19</v>
      </c>
      <c r="J3" s="1" t="s">
        <v>20</v>
      </c>
      <c r="K3" s="1" t="s">
        <v>21</v>
      </c>
      <c r="L3" s="5" t="s">
        <v>140</v>
      </c>
      <c r="M3" s="5" t="s">
        <v>29</v>
      </c>
      <c r="N3" s="5" t="s">
        <v>140</v>
      </c>
      <c r="O3" s="5" t="s">
        <v>29</v>
      </c>
      <c r="P3" s="5" t="s">
        <v>140</v>
      </c>
      <c r="Q3" s="5" t="s">
        <v>29</v>
      </c>
      <c r="R3" s="5" t="s">
        <v>140</v>
      </c>
      <c r="S3" s="5" t="s">
        <v>88</v>
      </c>
      <c r="T3" s="5" t="s">
        <v>140</v>
      </c>
      <c r="U3" s="5" t="s">
        <v>88</v>
      </c>
    </row>
    <row r="4" spans="1:28" x14ac:dyDescent="0.25">
      <c r="A4" s="1" t="s">
        <v>32</v>
      </c>
      <c r="B4" s="1" t="str">
        <f>VLOOKUP(A4,[1]only_resistant!$A$2:$B$21,2,FALSE)</f>
        <v>ST825</v>
      </c>
      <c r="C4" s="1" t="s">
        <v>136</v>
      </c>
      <c r="D4" s="1" t="s">
        <v>98</v>
      </c>
      <c r="E4" s="1" t="s">
        <v>117</v>
      </c>
      <c r="F4" s="10" t="s">
        <v>33</v>
      </c>
      <c r="G4" s="1" t="s">
        <v>32</v>
      </c>
      <c r="H4" s="1" t="s">
        <v>136</v>
      </c>
      <c r="I4" s="1" t="s">
        <v>34</v>
      </c>
      <c r="J4" s="2" t="s">
        <v>15</v>
      </c>
      <c r="K4" s="1" t="s">
        <v>34</v>
      </c>
      <c r="L4" s="7">
        <v>1</v>
      </c>
      <c r="M4" s="7" t="s">
        <v>34</v>
      </c>
      <c r="N4" s="7">
        <v>0.06</v>
      </c>
      <c r="O4" s="7" t="s">
        <v>34</v>
      </c>
      <c r="P4" s="7">
        <v>2</v>
      </c>
      <c r="Q4" s="7" t="s">
        <v>34</v>
      </c>
      <c r="R4" s="7">
        <v>217.5</v>
      </c>
      <c r="S4" s="7">
        <v>0.37</v>
      </c>
      <c r="T4" s="7">
        <v>9.7650000000000006</v>
      </c>
      <c r="U4" s="7">
        <v>0.03</v>
      </c>
    </row>
    <row r="5" spans="1:28" x14ac:dyDescent="0.25">
      <c r="A5" s="1" t="s">
        <v>42</v>
      </c>
      <c r="B5" s="1" t="str">
        <f>VLOOKUP(A5,[1]only_resistant!$A$2:$B$21,2,FALSE)</f>
        <v>ST6964</v>
      </c>
      <c r="C5" s="1" t="s">
        <v>137</v>
      </c>
      <c r="D5" s="1" t="s">
        <v>99</v>
      </c>
      <c r="E5" s="1" t="s">
        <v>118</v>
      </c>
      <c r="F5" s="10" t="s">
        <v>174</v>
      </c>
      <c r="G5" s="1" t="s">
        <v>42</v>
      </c>
      <c r="H5" s="1" t="s">
        <v>137</v>
      </c>
      <c r="I5" s="2" t="s">
        <v>15</v>
      </c>
      <c r="J5" s="1" t="s">
        <v>34</v>
      </c>
      <c r="K5" s="2" t="s">
        <v>15</v>
      </c>
      <c r="L5" s="7">
        <v>32</v>
      </c>
      <c r="M5" s="8" t="s">
        <v>15</v>
      </c>
      <c r="N5" s="7">
        <v>4</v>
      </c>
      <c r="O5" s="8" t="s">
        <v>15</v>
      </c>
      <c r="P5" s="7" t="s">
        <v>44</v>
      </c>
      <c r="Q5" s="7" t="s">
        <v>44</v>
      </c>
      <c r="R5" s="7">
        <v>217.5</v>
      </c>
      <c r="S5" s="7">
        <v>0.37</v>
      </c>
      <c r="T5" s="7">
        <v>9.7650000000000006</v>
      </c>
      <c r="U5" s="7">
        <v>0.03</v>
      </c>
    </row>
    <row r="6" spans="1:28" x14ac:dyDescent="0.25">
      <c r="A6" s="32" t="s">
        <v>46</v>
      </c>
      <c r="B6" s="1" t="str">
        <f>VLOOKUP(A6,[1]only_resistant!$A$2:$B$21,2,FALSE)</f>
        <v>ST12752</v>
      </c>
      <c r="C6" s="1" t="s">
        <v>137</v>
      </c>
      <c r="D6" s="1" t="s">
        <v>100</v>
      </c>
      <c r="E6" s="1" t="s">
        <v>119</v>
      </c>
      <c r="F6" s="10" t="s">
        <v>175</v>
      </c>
      <c r="G6" s="1" t="s">
        <v>46</v>
      </c>
      <c r="H6" s="1" t="s">
        <v>137</v>
      </c>
      <c r="I6" s="2" t="s">
        <v>15</v>
      </c>
      <c r="J6" s="1" t="s">
        <v>34</v>
      </c>
      <c r="K6" s="2" t="s">
        <v>15</v>
      </c>
      <c r="L6" s="7">
        <v>64</v>
      </c>
      <c r="M6" s="8" t="s">
        <v>50</v>
      </c>
      <c r="N6" s="7">
        <v>8</v>
      </c>
      <c r="O6" s="8" t="s">
        <v>50</v>
      </c>
      <c r="P6" s="7" t="s">
        <v>44</v>
      </c>
      <c r="Q6" s="7" t="s">
        <v>44</v>
      </c>
      <c r="R6" s="7">
        <v>217.5</v>
      </c>
      <c r="S6" s="7">
        <v>0.37</v>
      </c>
      <c r="T6" s="33">
        <v>19.53</v>
      </c>
      <c r="U6" s="7">
        <v>7.4999999999999997E-2</v>
      </c>
    </row>
    <row r="7" spans="1:28" x14ac:dyDescent="0.25">
      <c r="A7" s="1" t="s">
        <v>51</v>
      </c>
      <c r="B7" s="1" t="str">
        <f>VLOOKUP(A7,[1]only_resistant!$A$2:$B$21,2,FALSE)</f>
        <v>ST50</v>
      </c>
      <c r="C7" s="1" t="s">
        <v>137</v>
      </c>
      <c r="D7" s="1" t="s">
        <v>101</v>
      </c>
      <c r="E7" s="1" t="s">
        <v>120</v>
      </c>
      <c r="F7" t="s">
        <v>176</v>
      </c>
      <c r="G7" s="1" t="s">
        <v>51</v>
      </c>
      <c r="H7" s="1" t="s">
        <v>137</v>
      </c>
      <c r="I7" s="1" t="s">
        <v>34</v>
      </c>
      <c r="J7" s="1" t="s">
        <v>34</v>
      </c>
      <c r="K7" s="2" t="s">
        <v>15</v>
      </c>
      <c r="L7" s="7">
        <v>0.12</v>
      </c>
      <c r="M7" s="7" t="s">
        <v>34</v>
      </c>
      <c r="N7" s="7">
        <v>4</v>
      </c>
      <c r="O7" s="8" t="s">
        <v>15</v>
      </c>
      <c r="P7" s="7" t="s">
        <v>44</v>
      </c>
      <c r="Q7" s="7" t="s">
        <v>44</v>
      </c>
      <c r="R7" s="7">
        <v>217.5</v>
      </c>
      <c r="S7" s="7">
        <v>0.37</v>
      </c>
      <c r="T7" s="7">
        <v>4.88</v>
      </c>
      <c r="U7" s="7">
        <v>0.01</v>
      </c>
    </row>
    <row r="8" spans="1:28" x14ac:dyDescent="0.25">
      <c r="A8" s="1" t="s">
        <v>53</v>
      </c>
      <c r="B8" s="1" t="str">
        <f>VLOOKUP(A8,[1]only_resistant!$A$2:$B$21,2,FALSE)</f>
        <v>ST45</v>
      </c>
      <c r="C8" s="1" t="s">
        <v>137</v>
      </c>
      <c r="D8" s="1" t="s">
        <v>102</v>
      </c>
      <c r="E8" s="1" t="s">
        <v>121</v>
      </c>
      <c r="F8" s="10" t="s">
        <v>177</v>
      </c>
      <c r="G8" s="1" t="s">
        <v>53</v>
      </c>
      <c r="H8" s="1" t="s">
        <v>137</v>
      </c>
      <c r="I8" s="2" t="s">
        <v>15</v>
      </c>
      <c r="J8" s="1" t="s">
        <v>34</v>
      </c>
      <c r="K8" s="1" t="s">
        <v>34</v>
      </c>
      <c r="L8" s="7">
        <v>64</v>
      </c>
      <c r="M8" s="8" t="s">
        <v>15</v>
      </c>
      <c r="N8" s="7">
        <v>0.03</v>
      </c>
      <c r="O8" s="7" t="s">
        <v>34</v>
      </c>
      <c r="P8" s="7" t="s">
        <v>44</v>
      </c>
      <c r="Q8" s="7" t="s">
        <v>44</v>
      </c>
      <c r="R8" s="7">
        <v>217.5</v>
      </c>
      <c r="S8" s="7">
        <v>0.37</v>
      </c>
      <c r="T8" s="7">
        <v>9.7650000000000006</v>
      </c>
      <c r="U8" s="7">
        <v>0.03</v>
      </c>
    </row>
    <row r="9" spans="1:28" x14ac:dyDescent="0.25">
      <c r="A9" s="1" t="s">
        <v>55</v>
      </c>
      <c r="B9" s="1" t="str">
        <f>VLOOKUP(A9,[1]only_resistant!$A$2:$B$21,2,FALSE)</f>
        <v>ST436</v>
      </c>
      <c r="C9" s="1" t="s">
        <v>137</v>
      </c>
      <c r="D9" s="1" t="s">
        <v>103</v>
      </c>
      <c r="E9" s="1" t="s">
        <v>122</v>
      </c>
      <c r="F9" s="10" t="s">
        <v>33</v>
      </c>
      <c r="G9" s="1" t="s">
        <v>55</v>
      </c>
      <c r="H9" s="1" t="s">
        <v>137</v>
      </c>
      <c r="I9" s="2" t="s">
        <v>15</v>
      </c>
      <c r="J9" s="1" t="s">
        <v>34</v>
      </c>
      <c r="K9" s="1" t="s">
        <v>34</v>
      </c>
      <c r="L9" s="7">
        <v>64</v>
      </c>
      <c r="M9" s="8" t="s">
        <v>15</v>
      </c>
      <c r="N9" s="7">
        <v>0.03</v>
      </c>
      <c r="O9" s="7" t="s">
        <v>34</v>
      </c>
      <c r="P9" s="7" t="s">
        <v>44</v>
      </c>
      <c r="Q9" s="7" t="s">
        <v>44</v>
      </c>
      <c r="R9" s="7">
        <v>217.5</v>
      </c>
      <c r="S9" s="7">
        <v>0.37</v>
      </c>
      <c r="T9" s="7">
        <v>9.7650000000000006</v>
      </c>
      <c r="U9" s="7">
        <v>0.03</v>
      </c>
    </row>
    <row r="10" spans="1:28" x14ac:dyDescent="0.25">
      <c r="A10" s="1" t="s">
        <v>56</v>
      </c>
      <c r="B10" s="1" t="str">
        <f>VLOOKUP(A10,[1]only_resistant!$A$2:$B$21,2,FALSE)</f>
        <v>ST50</v>
      </c>
      <c r="C10" s="1" t="s">
        <v>137</v>
      </c>
      <c r="D10" s="1" t="s">
        <v>104</v>
      </c>
      <c r="E10" s="1" t="s">
        <v>123</v>
      </c>
      <c r="F10" s="10" t="s">
        <v>178</v>
      </c>
      <c r="G10" s="1" t="s">
        <v>56</v>
      </c>
      <c r="H10" s="1" t="s">
        <v>137</v>
      </c>
      <c r="I10" s="2" t="s">
        <v>15</v>
      </c>
      <c r="J10" s="1" t="s">
        <v>34</v>
      </c>
      <c r="K10" s="2" t="s">
        <v>15</v>
      </c>
      <c r="L10" s="7">
        <v>32</v>
      </c>
      <c r="M10" s="8" t="s">
        <v>15</v>
      </c>
      <c r="N10" s="7">
        <v>4</v>
      </c>
      <c r="O10" s="8" t="s">
        <v>15</v>
      </c>
      <c r="P10" s="7" t="s">
        <v>44</v>
      </c>
      <c r="Q10" s="7" t="s">
        <v>44</v>
      </c>
      <c r="R10" s="7">
        <v>217.5</v>
      </c>
      <c r="S10" s="7">
        <v>0.37</v>
      </c>
      <c r="T10" s="7">
        <v>9.7650000000000006</v>
      </c>
      <c r="U10" s="7">
        <v>0.03</v>
      </c>
      <c r="AA10" s="30" t="s">
        <v>144</v>
      </c>
      <c r="AB10" t="s">
        <v>158</v>
      </c>
    </row>
    <row r="11" spans="1:28" x14ac:dyDescent="0.25">
      <c r="A11" s="1" t="s">
        <v>57</v>
      </c>
      <c r="B11" s="1" t="str">
        <f>VLOOKUP(A11,[1]only_resistant!$A$2:$B$21,2,FALSE)</f>
        <v>ST2081</v>
      </c>
      <c r="C11" s="1" t="s">
        <v>137</v>
      </c>
      <c r="D11" s="1" t="s">
        <v>114</v>
      </c>
      <c r="E11" s="1" t="s">
        <v>124</v>
      </c>
      <c r="F11" s="10" t="s">
        <v>179</v>
      </c>
      <c r="G11" s="1" t="s">
        <v>57</v>
      </c>
      <c r="H11" s="1" t="s">
        <v>137</v>
      </c>
      <c r="I11" s="2" t="s">
        <v>15</v>
      </c>
      <c r="J11" s="1" t="s">
        <v>34</v>
      </c>
      <c r="K11" s="2" t="s">
        <v>15</v>
      </c>
      <c r="L11" s="7">
        <v>32</v>
      </c>
      <c r="M11" s="8" t="s">
        <v>15</v>
      </c>
      <c r="N11" s="7">
        <v>4</v>
      </c>
      <c r="O11" s="8" t="s">
        <v>15</v>
      </c>
      <c r="P11" s="7" t="s">
        <v>44</v>
      </c>
      <c r="Q11" s="7" t="s">
        <v>44</v>
      </c>
      <c r="R11" s="7">
        <v>217.5</v>
      </c>
      <c r="S11" s="7">
        <v>0.37</v>
      </c>
      <c r="T11" s="7">
        <v>9.7650000000000006</v>
      </c>
      <c r="U11" s="7">
        <v>0.03</v>
      </c>
      <c r="AA11" s="30" t="s">
        <v>145</v>
      </c>
      <c r="AB11" t="s">
        <v>158</v>
      </c>
    </row>
    <row r="12" spans="1:28" x14ac:dyDescent="0.25">
      <c r="A12" s="1" t="s">
        <v>58</v>
      </c>
      <c r="B12" s="1" t="str">
        <f>VLOOKUP(A12,[1]only_resistant!$A$2:$B$21,2,FALSE)</f>
        <v>ST530</v>
      </c>
      <c r="C12" s="1" t="s">
        <v>137</v>
      </c>
      <c r="D12" s="1" t="s">
        <v>105</v>
      </c>
      <c r="E12" s="1" t="s">
        <v>125</v>
      </c>
      <c r="F12" s="10" t="s">
        <v>180</v>
      </c>
      <c r="G12" s="1" t="s">
        <v>58</v>
      </c>
      <c r="H12" s="1" t="s">
        <v>137</v>
      </c>
      <c r="I12" s="2" t="s">
        <v>15</v>
      </c>
      <c r="J12" s="1" t="s">
        <v>34</v>
      </c>
      <c r="K12" s="2" t="s">
        <v>15</v>
      </c>
      <c r="L12" s="7">
        <v>32</v>
      </c>
      <c r="M12" s="8" t="s">
        <v>15</v>
      </c>
      <c r="N12" s="7">
        <v>4</v>
      </c>
      <c r="O12" s="8" t="s">
        <v>15</v>
      </c>
      <c r="P12" s="7" t="s">
        <v>44</v>
      </c>
      <c r="Q12" s="7" t="s">
        <v>44</v>
      </c>
      <c r="R12" s="7">
        <v>217.5</v>
      </c>
      <c r="S12" s="7">
        <v>0.37</v>
      </c>
      <c r="T12" s="7">
        <v>4.88</v>
      </c>
      <c r="U12" s="7">
        <v>0.01</v>
      </c>
      <c r="AA12" s="30" t="s">
        <v>146</v>
      </c>
      <c r="AB12" t="s">
        <v>158</v>
      </c>
    </row>
    <row r="13" spans="1:28" x14ac:dyDescent="0.25">
      <c r="A13" s="1" t="s">
        <v>59</v>
      </c>
      <c r="B13" s="1" t="str">
        <f>VLOOKUP(A13,[1]only_resistant!$A$2:$B$21,2,FALSE)</f>
        <v>ST50</v>
      </c>
      <c r="C13" s="1" t="s">
        <v>137</v>
      </c>
      <c r="D13" s="1" t="s">
        <v>106</v>
      </c>
      <c r="E13" s="1" t="s">
        <v>126</v>
      </c>
      <c r="F13" s="10" t="s">
        <v>181</v>
      </c>
      <c r="G13" s="1" t="s">
        <v>59</v>
      </c>
      <c r="H13" s="1" t="s">
        <v>137</v>
      </c>
      <c r="I13" s="2" t="s">
        <v>15</v>
      </c>
      <c r="J13" s="1" t="s">
        <v>34</v>
      </c>
      <c r="K13" s="2" t="s">
        <v>15</v>
      </c>
      <c r="L13" s="7">
        <v>32</v>
      </c>
      <c r="M13" s="8" t="s">
        <v>15</v>
      </c>
      <c r="N13" s="7">
        <v>4</v>
      </c>
      <c r="O13" s="8" t="s">
        <v>15</v>
      </c>
      <c r="P13" s="7" t="s">
        <v>44</v>
      </c>
      <c r="Q13" s="7" t="s">
        <v>44</v>
      </c>
      <c r="R13" s="7">
        <v>217.5</v>
      </c>
      <c r="S13" s="7">
        <v>0.37</v>
      </c>
      <c r="T13" s="7">
        <v>9.7650000000000006</v>
      </c>
      <c r="U13" s="7">
        <v>0.03</v>
      </c>
      <c r="AA13" s="30" t="s">
        <v>147</v>
      </c>
      <c r="AB13" t="s">
        <v>158</v>
      </c>
    </row>
    <row r="14" spans="1:28" x14ac:dyDescent="0.25">
      <c r="A14" s="1" t="s">
        <v>60</v>
      </c>
      <c r="B14" s="1" t="str">
        <f>VLOOKUP(A14,[1]only_resistant!$A$2:$B$21,2,FALSE)</f>
        <v>ST830</v>
      </c>
      <c r="C14" s="1" t="s">
        <v>136</v>
      </c>
      <c r="D14" s="1" t="s">
        <v>107</v>
      </c>
      <c r="E14" s="1" t="s">
        <v>127</v>
      </c>
      <c r="F14" s="10" t="s">
        <v>182</v>
      </c>
      <c r="G14" s="1" t="s">
        <v>60</v>
      </c>
      <c r="H14" s="1" t="s">
        <v>136</v>
      </c>
      <c r="I14" s="2" t="s">
        <v>15</v>
      </c>
      <c r="J14" s="2" t="s">
        <v>15</v>
      </c>
      <c r="K14" s="2" t="s">
        <v>15</v>
      </c>
      <c r="L14" s="7">
        <v>32</v>
      </c>
      <c r="M14" s="8" t="s">
        <v>15</v>
      </c>
      <c r="N14" s="7">
        <v>4</v>
      </c>
      <c r="O14" s="8" t="s">
        <v>15</v>
      </c>
      <c r="P14" s="7">
        <v>32</v>
      </c>
      <c r="Q14" s="7" t="s">
        <v>50</v>
      </c>
      <c r="R14" s="7">
        <v>217.5</v>
      </c>
      <c r="S14" s="7">
        <v>0.37</v>
      </c>
      <c r="T14" s="7">
        <v>9.7650000000000006</v>
      </c>
      <c r="U14" s="7">
        <v>0.03</v>
      </c>
      <c r="AA14" s="30" t="s">
        <v>148</v>
      </c>
      <c r="AB14" t="s">
        <v>158</v>
      </c>
    </row>
    <row r="15" spans="1:28" x14ac:dyDescent="0.25">
      <c r="A15" s="32" t="s">
        <v>61</v>
      </c>
      <c r="B15" s="1" t="str">
        <f>VLOOKUP(A15,[1]only_resistant!$A$2:$B$21,2,FALSE)</f>
        <v>ST12072</v>
      </c>
      <c r="C15" s="1" t="s">
        <v>136</v>
      </c>
      <c r="D15" s="1" t="s">
        <v>108</v>
      </c>
      <c r="E15" s="1" t="s">
        <v>128</v>
      </c>
      <c r="F15" s="10" t="s">
        <v>181</v>
      </c>
      <c r="G15" s="1" t="s">
        <v>61</v>
      </c>
      <c r="H15" s="1" t="s">
        <v>136</v>
      </c>
      <c r="I15" s="2" t="s">
        <v>15</v>
      </c>
      <c r="J15" s="1" t="s">
        <v>34</v>
      </c>
      <c r="K15" s="2" t="s">
        <v>15</v>
      </c>
      <c r="L15" s="7">
        <v>32</v>
      </c>
      <c r="M15" s="8" t="s">
        <v>15</v>
      </c>
      <c r="N15" s="7">
        <v>8</v>
      </c>
      <c r="O15" s="8" t="s">
        <v>15</v>
      </c>
      <c r="P15" s="7" t="s">
        <v>44</v>
      </c>
      <c r="Q15" s="7" t="s">
        <v>44</v>
      </c>
      <c r="R15" s="7">
        <v>217.5</v>
      </c>
      <c r="S15" s="7">
        <v>0.37</v>
      </c>
      <c r="T15" s="33">
        <v>19.53</v>
      </c>
      <c r="U15" s="7">
        <v>7.4999999999999997E-2</v>
      </c>
      <c r="AA15" s="30" t="s">
        <v>149</v>
      </c>
      <c r="AB15" t="s">
        <v>158</v>
      </c>
    </row>
    <row r="16" spans="1:28" x14ac:dyDescent="0.25">
      <c r="A16" s="1" t="s">
        <v>63</v>
      </c>
      <c r="B16" s="1" t="str">
        <f>VLOOKUP(A16,[1]only_resistant!$A$2:$B$21,2,FALSE)</f>
        <v>ST535</v>
      </c>
      <c r="C16" s="1" t="s">
        <v>137</v>
      </c>
      <c r="D16" s="1" t="s">
        <v>109</v>
      </c>
      <c r="E16" s="1" t="s">
        <v>129</v>
      </c>
      <c r="F16" t="s">
        <v>183</v>
      </c>
      <c r="G16" s="1" t="s">
        <v>63</v>
      </c>
      <c r="H16" s="1" t="s">
        <v>137</v>
      </c>
      <c r="I16" s="1" t="s">
        <v>34</v>
      </c>
      <c r="J16" s="1" t="s">
        <v>34</v>
      </c>
      <c r="K16" s="2" t="s">
        <v>15</v>
      </c>
      <c r="L16" s="7">
        <v>0.25</v>
      </c>
      <c r="M16" s="7" t="s">
        <v>34</v>
      </c>
      <c r="N16" s="7">
        <v>2</v>
      </c>
      <c r="O16" s="8" t="s">
        <v>15</v>
      </c>
      <c r="P16" s="7" t="s">
        <v>44</v>
      </c>
      <c r="Q16" s="7" t="s">
        <v>44</v>
      </c>
      <c r="R16" s="7">
        <v>217.5</v>
      </c>
      <c r="S16" s="7">
        <v>0.37</v>
      </c>
      <c r="T16" s="7">
        <v>9.7650000000000006</v>
      </c>
      <c r="U16" s="7">
        <v>0.03</v>
      </c>
      <c r="AA16" s="30" t="s">
        <v>150</v>
      </c>
      <c r="AB16" t="s">
        <v>158</v>
      </c>
    </row>
    <row r="17" spans="1:28" x14ac:dyDescent="0.25">
      <c r="A17" s="1" t="s">
        <v>64</v>
      </c>
      <c r="B17" s="1" t="str">
        <f>VLOOKUP(A17,[1]only_resistant!$A$2:$B$21,2,FALSE)</f>
        <v>ST12755</v>
      </c>
      <c r="C17" s="1" t="s">
        <v>137</v>
      </c>
      <c r="D17" s="1" t="s">
        <v>110</v>
      </c>
      <c r="E17" s="1" t="s">
        <v>130</v>
      </c>
      <c r="F17" s="10" t="s">
        <v>178</v>
      </c>
      <c r="G17" s="1" t="s">
        <v>64</v>
      </c>
      <c r="H17" s="1" t="s">
        <v>137</v>
      </c>
      <c r="I17" s="2" t="s">
        <v>15</v>
      </c>
      <c r="J17" s="1" t="s">
        <v>34</v>
      </c>
      <c r="K17" s="2" t="s">
        <v>15</v>
      </c>
      <c r="L17" s="7">
        <v>64</v>
      </c>
      <c r="M17" s="8" t="s">
        <v>15</v>
      </c>
      <c r="N17" s="7">
        <v>2</v>
      </c>
      <c r="O17" s="8" t="s">
        <v>15</v>
      </c>
      <c r="P17" s="7" t="s">
        <v>44</v>
      </c>
      <c r="Q17" s="7" t="s">
        <v>44</v>
      </c>
      <c r="R17" s="7">
        <v>217.5</v>
      </c>
      <c r="S17" s="7">
        <v>0.37</v>
      </c>
      <c r="T17" s="7">
        <v>9.7650000000000006</v>
      </c>
      <c r="U17" s="7">
        <v>0.03</v>
      </c>
      <c r="AA17" s="30" t="s">
        <v>151</v>
      </c>
      <c r="AB17" t="s">
        <v>158</v>
      </c>
    </row>
    <row r="18" spans="1:28" x14ac:dyDescent="0.25">
      <c r="A18" s="1" t="s">
        <v>66</v>
      </c>
      <c r="B18" s="1" t="str">
        <f>VLOOKUP(A18,[1]only_resistant!$A$2:$B$21,2,FALSE)</f>
        <v>ST8658</v>
      </c>
      <c r="C18" s="1" t="s">
        <v>137</v>
      </c>
      <c r="D18" s="1" t="s">
        <v>111</v>
      </c>
      <c r="E18" s="1" t="s">
        <v>131</v>
      </c>
      <c r="F18" s="10" t="s">
        <v>184</v>
      </c>
      <c r="G18" s="1" t="s">
        <v>66</v>
      </c>
      <c r="H18" s="1" t="s">
        <v>137</v>
      </c>
      <c r="I18" s="2" t="s">
        <v>15</v>
      </c>
      <c r="J18" s="1" t="s">
        <v>34</v>
      </c>
      <c r="K18" s="2" t="s">
        <v>15</v>
      </c>
      <c r="L18" s="7">
        <v>32</v>
      </c>
      <c r="M18" s="8" t="s">
        <v>15</v>
      </c>
      <c r="N18" s="7">
        <v>8</v>
      </c>
      <c r="O18" s="7" t="s">
        <v>15</v>
      </c>
      <c r="P18" s="7" t="s">
        <v>44</v>
      </c>
      <c r="Q18" s="7" t="s">
        <v>44</v>
      </c>
      <c r="R18" s="7">
        <v>217.5</v>
      </c>
      <c r="S18" s="7">
        <v>0.37</v>
      </c>
      <c r="T18" s="7">
        <v>9.7650000000000006</v>
      </c>
      <c r="U18" s="7">
        <v>0.03</v>
      </c>
      <c r="AA18" s="30" t="s">
        <v>152</v>
      </c>
      <c r="AB18" t="s">
        <v>158</v>
      </c>
    </row>
    <row r="19" spans="1:28" x14ac:dyDescent="0.25">
      <c r="A19" s="1" t="s">
        <v>67</v>
      </c>
      <c r="B19" s="1" t="str">
        <f>VLOOKUP(A19,[1]only_resistant!$A$2:$B$21,2,FALSE)</f>
        <v>ST27</v>
      </c>
      <c r="C19" s="1" t="s">
        <v>137</v>
      </c>
      <c r="D19" s="1" t="s">
        <v>112</v>
      </c>
      <c r="E19" s="1" t="s">
        <v>132</v>
      </c>
      <c r="F19" s="10" t="s">
        <v>185</v>
      </c>
      <c r="G19" s="1" t="s">
        <v>67</v>
      </c>
      <c r="H19" s="1" t="s">
        <v>137</v>
      </c>
      <c r="I19" s="1" t="s">
        <v>34</v>
      </c>
      <c r="J19" s="1" t="s">
        <v>34</v>
      </c>
      <c r="K19" s="2" t="s">
        <v>15</v>
      </c>
      <c r="L19" s="7">
        <v>0.12</v>
      </c>
      <c r="M19" s="7" t="s">
        <v>34</v>
      </c>
      <c r="N19" s="7">
        <v>4</v>
      </c>
      <c r="O19" s="7" t="s">
        <v>15</v>
      </c>
      <c r="P19" s="7" t="s">
        <v>44</v>
      </c>
      <c r="Q19" s="7" t="s">
        <v>44</v>
      </c>
      <c r="R19" s="7">
        <v>217.5</v>
      </c>
      <c r="S19" s="7">
        <v>0.37</v>
      </c>
      <c r="T19" s="7">
        <v>4.88</v>
      </c>
      <c r="U19" s="7">
        <v>0.01</v>
      </c>
      <c r="AA19" s="30" t="s">
        <v>153</v>
      </c>
      <c r="AB19" t="s">
        <v>158</v>
      </c>
    </row>
    <row r="20" spans="1:28" x14ac:dyDescent="0.25">
      <c r="A20" s="1" t="s">
        <v>69</v>
      </c>
      <c r="B20" s="1" t="str">
        <f>VLOOKUP(A20,[1]only_resistant!$A$2:$B$21,2,FALSE)</f>
        <v>ST6964</v>
      </c>
      <c r="C20" s="1" t="s">
        <v>137</v>
      </c>
      <c r="D20" s="1" t="s">
        <v>99</v>
      </c>
      <c r="E20" s="1" t="s">
        <v>118</v>
      </c>
      <c r="F20" s="10" t="s">
        <v>186</v>
      </c>
      <c r="G20" s="1" t="s">
        <v>69</v>
      </c>
      <c r="H20" s="1" t="s">
        <v>137</v>
      </c>
      <c r="I20" s="2" t="s">
        <v>15</v>
      </c>
      <c r="J20" s="1" t="s">
        <v>34</v>
      </c>
      <c r="K20" s="2" t="s">
        <v>15</v>
      </c>
      <c r="L20" s="7">
        <v>32</v>
      </c>
      <c r="M20" s="8" t="s">
        <v>15</v>
      </c>
      <c r="N20" s="7">
        <v>8</v>
      </c>
      <c r="O20" s="7" t="s">
        <v>15</v>
      </c>
      <c r="P20" s="7" t="s">
        <v>44</v>
      </c>
      <c r="Q20" s="7" t="s">
        <v>44</v>
      </c>
      <c r="R20" s="7">
        <v>217.5</v>
      </c>
      <c r="S20" s="7">
        <v>0.37</v>
      </c>
      <c r="T20" s="7">
        <v>4.88</v>
      </c>
      <c r="U20" s="7">
        <v>0.01</v>
      </c>
      <c r="AA20" s="30" t="s">
        <v>154</v>
      </c>
      <c r="AB20" t="s">
        <v>158</v>
      </c>
    </row>
    <row r="21" spans="1:28" x14ac:dyDescent="0.25">
      <c r="A21" s="1" t="s">
        <v>71</v>
      </c>
      <c r="B21" s="1" t="str">
        <f>VLOOKUP(A21,[1]only_resistant!$A$2:$B$21,2,FALSE)</f>
        <v>ST1919</v>
      </c>
      <c r="C21" s="1" t="s">
        <v>137</v>
      </c>
      <c r="D21" s="1" t="s">
        <v>105</v>
      </c>
      <c r="E21" s="1" t="s">
        <v>133</v>
      </c>
      <c r="F21" s="10" t="s">
        <v>187</v>
      </c>
      <c r="G21" s="1" t="s">
        <v>71</v>
      </c>
      <c r="H21" s="1" t="s">
        <v>137</v>
      </c>
      <c r="I21" s="2" t="s">
        <v>15</v>
      </c>
      <c r="J21" s="1" t="s">
        <v>34</v>
      </c>
      <c r="K21" s="2" t="s">
        <v>15</v>
      </c>
      <c r="L21" s="7">
        <v>64</v>
      </c>
      <c r="M21" s="8" t="s">
        <v>15</v>
      </c>
      <c r="N21" s="7">
        <v>2</v>
      </c>
      <c r="O21" s="8" t="s">
        <v>15</v>
      </c>
      <c r="P21" s="7" t="s">
        <v>44</v>
      </c>
      <c r="Q21" s="7" t="s">
        <v>44</v>
      </c>
      <c r="R21" s="7">
        <v>217.5</v>
      </c>
      <c r="S21" s="7">
        <v>0.37</v>
      </c>
      <c r="T21" s="7">
        <v>4.88</v>
      </c>
      <c r="U21" s="7">
        <v>0.01</v>
      </c>
      <c r="AA21" s="30" t="s">
        <v>155</v>
      </c>
      <c r="AB21" t="s">
        <v>158</v>
      </c>
    </row>
    <row r="22" spans="1:28" x14ac:dyDescent="0.25">
      <c r="A22" s="1" t="s">
        <v>94</v>
      </c>
      <c r="B22" s="1" t="str">
        <f>VLOOKUP(A22,[1]only_resistant!$A$2:$B$21,2,FALSE)</f>
        <v>ST45</v>
      </c>
      <c r="C22" s="1" t="s">
        <v>137</v>
      </c>
      <c r="D22" s="1"/>
      <c r="E22" s="1" t="s">
        <v>121</v>
      </c>
      <c r="F22" s="10" t="s">
        <v>177</v>
      </c>
      <c r="G22" s="1" t="s">
        <v>94</v>
      </c>
      <c r="H22" s="1" t="s">
        <v>137</v>
      </c>
      <c r="I22" s="2" t="s">
        <v>15</v>
      </c>
      <c r="J22" s="1" t="s">
        <v>44</v>
      </c>
      <c r="K22" s="1" t="s">
        <v>44</v>
      </c>
      <c r="L22" s="7">
        <v>32</v>
      </c>
      <c r="M22" s="8" t="s">
        <v>15</v>
      </c>
      <c r="N22" s="7" t="s">
        <v>44</v>
      </c>
      <c r="O22" s="7" t="s">
        <v>44</v>
      </c>
      <c r="P22" s="7" t="s">
        <v>44</v>
      </c>
      <c r="Q22" s="7" t="s">
        <v>44</v>
      </c>
      <c r="R22" s="7" t="s">
        <v>44</v>
      </c>
      <c r="S22" s="7" t="s">
        <v>44</v>
      </c>
      <c r="T22" s="7" t="s">
        <v>44</v>
      </c>
      <c r="U22" s="7" t="s">
        <v>44</v>
      </c>
      <c r="AA22" s="30" t="s">
        <v>156</v>
      </c>
      <c r="AB22" t="s">
        <v>158</v>
      </c>
    </row>
    <row r="23" spans="1:28" x14ac:dyDescent="0.25">
      <c r="A23" s="1" t="s">
        <v>72</v>
      </c>
      <c r="B23" s="1" t="str">
        <f>VLOOKUP(A23,[1]only_resistant!$A$2:$B$21,2,FALSE)</f>
        <v>ST8187</v>
      </c>
      <c r="C23" s="1" t="s">
        <v>137</v>
      </c>
      <c r="D23" s="1" t="s">
        <v>113</v>
      </c>
      <c r="E23" s="1" t="s">
        <v>134</v>
      </c>
      <c r="F23" s="10" t="s">
        <v>177</v>
      </c>
      <c r="G23" s="1" t="s">
        <v>72</v>
      </c>
      <c r="H23" s="1" t="s">
        <v>137</v>
      </c>
      <c r="I23" s="2" t="s">
        <v>15</v>
      </c>
      <c r="J23" s="1" t="s">
        <v>34</v>
      </c>
      <c r="K23" s="1" t="s">
        <v>34</v>
      </c>
      <c r="L23" s="7">
        <v>16</v>
      </c>
      <c r="M23" s="8" t="s">
        <v>15</v>
      </c>
      <c r="N23" s="7">
        <v>0.12</v>
      </c>
      <c r="O23" s="7" t="s">
        <v>34</v>
      </c>
      <c r="P23" s="7" t="s">
        <v>44</v>
      </c>
      <c r="Q23" s="7" t="s">
        <v>44</v>
      </c>
      <c r="R23" s="7">
        <v>217.5</v>
      </c>
      <c r="S23" s="7">
        <v>0.37</v>
      </c>
      <c r="T23" s="7">
        <v>9.7650000000000006</v>
      </c>
      <c r="U23" s="7">
        <v>0.03</v>
      </c>
      <c r="AA23" s="30" t="s">
        <v>144</v>
      </c>
      <c r="AB23" t="s">
        <v>158</v>
      </c>
    </row>
    <row r="24" spans="1:28" x14ac:dyDescent="0.25">
      <c r="A24" s="3" t="s">
        <v>73</v>
      </c>
      <c r="B24" s="1"/>
      <c r="C24" s="1" t="s">
        <v>137</v>
      </c>
      <c r="D24" s="1" t="s">
        <v>74</v>
      </c>
      <c r="E24" s="1" t="s">
        <v>135</v>
      </c>
      <c r="F24" s="1" t="s">
        <v>91</v>
      </c>
      <c r="G24" s="3" t="s">
        <v>73</v>
      </c>
      <c r="H24" s="1" t="s">
        <v>137</v>
      </c>
      <c r="I24" s="1" t="s">
        <v>34</v>
      </c>
      <c r="J24" s="1" t="s">
        <v>34</v>
      </c>
      <c r="K24" s="1" t="s">
        <v>34</v>
      </c>
      <c r="L24" s="7">
        <v>0.03</v>
      </c>
      <c r="M24" s="7" t="s">
        <v>34</v>
      </c>
      <c r="N24" s="7">
        <v>0.06</v>
      </c>
      <c r="O24" s="7" t="s">
        <v>34</v>
      </c>
      <c r="P24" s="7" t="s">
        <v>44</v>
      </c>
      <c r="Q24" s="7" t="s">
        <v>44</v>
      </c>
      <c r="R24" s="7">
        <v>217.5</v>
      </c>
      <c r="S24" s="7">
        <v>0.37</v>
      </c>
      <c r="T24" s="7">
        <v>4.88</v>
      </c>
      <c r="U24" s="7">
        <v>0.01</v>
      </c>
      <c r="AA24" s="30" t="s">
        <v>151</v>
      </c>
      <c r="AB24" t="s">
        <v>158</v>
      </c>
    </row>
    <row r="25" spans="1:28" x14ac:dyDescent="0.25">
      <c r="A25" s="3" t="s">
        <v>75</v>
      </c>
      <c r="B25" s="1"/>
      <c r="C25" s="1"/>
      <c r="D25" s="1"/>
      <c r="E25" s="1"/>
      <c r="F25" s="1" t="s">
        <v>91</v>
      </c>
      <c r="G25" s="3" t="s">
        <v>75</v>
      </c>
      <c r="H25" s="1"/>
      <c r="I25" s="1" t="s">
        <v>34</v>
      </c>
      <c r="J25" s="1" t="s">
        <v>34</v>
      </c>
      <c r="K25" s="1" t="s">
        <v>34</v>
      </c>
      <c r="L25" s="7">
        <v>0.25</v>
      </c>
      <c r="M25" s="7" t="s">
        <v>34</v>
      </c>
      <c r="N25" s="7">
        <v>0.12</v>
      </c>
      <c r="O25" s="7" t="s">
        <v>34</v>
      </c>
      <c r="P25" s="7">
        <v>0.25</v>
      </c>
      <c r="Q25" s="7" t="s">
        <v>34</v>
      </c>
      <c r="R25" s="7" t="s">
        <v>44</v>
      </c>
      <c r="S25" s="10" t="s">
        <v>44</v>
      </c>
      <c r="T25" s="10" t="s">
        <v>44</v>
      </c>
      <c r="U25" s="10" t="s">
        <v>44</v>
      </c>
      <c r="AA25" s="30" t="s">
        <v>147</v>
      </c>
      <c r="AB25" t="s">
        <v>158</v>
      </c>
    </row>
    <row r="26" spans="1:28" x14ac:dyDescent="0.25">
      <c r="AA26" s="30" t="s">
        <v>157</v>
      </c>
    </row>
    <row r="28" spans="1:28" x14ac:dyDescent="0.25">
      <c r="O28" s="14" t="s">
        <v>159</v>
      </c>
    </row>
  </sheetData>
  <mergeCells count="6">
    <mergeCell ref="L1:U1"/>
    <mergeCell ref="L2:M2"/>
    <mergeCell ref="N2:O2"/>
    <mergeCell ref="P2:Q2"/>
    <mergeCell ref="R2:S2"/>
    <mergeCell ref="T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EFF5-2AC5-4843-BBCA-372249D473C5}">
  <dimension ref="A1:N25"/>
  <sheetViews>
    <sheetView workbookViewId="0">
      <selection activeCell="O37" sqref="O37"/>
    </sheetView>
  </sheetViews>
  <sheetFormatPr defaultRowHeight="15" x14ac:dyDescent="0.25"/>
  <cols>
    <col min="4" max="4" width="44.7109375" bestFit="1" customWidth="1"/>
  </cols>
  <sheetData>
    <row r="1" spans="1:14" x14ac:dyDescent="0.25">
      <c r="A1" s="10"/>
      <c r="B1" s="10"/>
      <c r="C1" s="10"/>
      <c r="D1" s="10"/>
      <c r="E1" s="10" t="s">
        <v>1</v>
      </c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5">
      <c r="A2" s="10" t="s">
        <v>205</v>
      </c>
      <c r="B2" s="10" t="s">
        <v>205</v>
      </c>
      <c r="C2" s="10" t="s">
        <v>205</v>
      </c>
      <c r="D2" s="10" t="s">
        <v>205</v>
      </c>
      <c r="E2" s="35" t="s">
        <v>8</v>
      </c>
      <c r="F2" s="37"/>
      <c r="G2" s="35" t="s">
        <v>9</v>
      </c>
      <c r="H2" s="37"/>
      <c r="I2" s="35" t="s">
        <v>10</v>
      </c>
      <c r="J2" s="37"/>
      <c r="K2" s="35" t="s">
        <v>86</v>
      </c>
      <c r="L2" s="37"/>
      <c r="M2" s="35" t="s">
        <v>90</v>
      </c>
      <c r="N2" s="37"/>
    </row>
    <row r="3" spans="1:14" x14ac:dyDescent="0.25">
      <c r="A3" s="10" t="s">
        <v>16</v>
      </c>
      <c r="B3" s="10" t="s">
        <v>17</v>
      </c>
      <c r="C3" s="10" t="s">
        <v>2</v>
      </c>
      <c r="D3" s="10" t="s">
        <v>188</v>
      </c>
      <c r="E3" s="10" t="s">
        <v>140</v>
      </c>
      <c r="F3" s="10" t="s">
        <v>29</v>
      </c>
      <c r="G3" s="10" t="s">
        <v>140</v>
      </c>
      <c r="H3" s="10" t="s">
        <v>29</v>
      </c>
      <c r="I3" s="10" t="s">
        <v>140</v>
      </c>
      <c r="J3" s="10" t="s">
        <v>29</v>
      </c>
      <c r="K3" s="10" t="s">
        <v>140</v>
      </c>
      <c r="L3" s="10" t="s">
        <v>88</v>
      </c>
      <c r="M3" s="10" t="s">
        <v>140</v>
      </c>
      <c r="N3" s="10" t="s">
        <v>88</v>
      </c>
    </row>
    <row r="4" spans="1:14" x14ac:dyDescent="0.25">
      <c r="A4" s="10" t="s">
        <v>32</v>
      </c>
      <c r="B4" s="10" t="s">
        <v>189</v>
      </c>
      <c r="C4" s="10" t="s">
        <v>136</v>
      </c>
      <c r="D4" s="10" t="s">
        <v>33</v>
      </c>
      <c r="E4" s="10">
        <v>1</v>
      </c>
      <c r="F4" s="10" t="s">
        <v>34</v>
      </c>
      <c r="G4" s="10">
        <v>0.06</v>
      </c>
      <c r="H4" s="10" t="s">
        <v>34</v>
      </c>
      <c r="I4" s="10">
        <v>2</v>
      </c>
      <c r="J4" s="10" t="s">
        <v>34</v>
      </c>
      <c r="K4" s="10">
        <v>217.5</v>
      </c>
      <c r="L4" s="10">
        <v>0.37</v>
      </c>
      <c r="M4" s="10">
        <v>9.7650000000000006</v>
      </c>
      <c r="N4" s="10">
        <v>0.03</v>
      </c>
    </row>
    <row r="5" spans="1:14" x14ac:dyDescent="0.25">
      <c r="A5" s="10" t="s">
        <v>42</v>
      </c>
      <c r="B5" s="10" t="s">
        <v>190</v>
      </c>
      <c r="C5" s="10" t="s">
        <v>137</v>
      </c>
      <c r="D5" s="10" t="s">
        <v>174</v>
      </c>
      <c r="E5" s="10">
        <v>32</v>
      </c>
      <c r="F5" s="10" t="s">
        <v>15</v>
      </c>
      <c r="G5" s="10">
        <v>4</v>
      </c>
      <c r="H5" s="10" t="s">
        <v>15</v>
      </c>
      <c r="I5" s="10" t="s">
        <v>44</v>
      </c>
      <c r="J5" s="10" t="s">
        <v>44</v>
      </c>
      <c r="K5" s="10">
        <v>217.5</v>
      </c>
      <c r="L5" s="10">
        <v>0.37</v>
      </c>
      <c r="M5" s="10">
        <v>9.7650000000000006</v>
      </c>
      <c r="N5" s="10">
        <v>0.03</v>
      </c>
    </row>
    <row r="6" spans="1:14" x14ac:dyDescent="0.25">
      <c r="A6" s="10" t="s">
        <v>46</v>
      </c>
      <c r="B6" s="10" t="s">
        <v>191</v>
      </c>
      <c r="C6" s="10" t="s">
        <v>137</v>
      </c>
      <c r="D6" s="10" t="s">
        <v>175</v>
      </c>
      <c r="E6" s="10">
        <v>64</v>
      </c>
      <c r="F6" s="10" t="s">
        <v>50</v>
      </c>
      <c r="G6" s="10">
        <v>8</v>
      </c>
      <c r="H6" s="10" t="s">
        <v>50</v>
      </c>
      <c r="I6" s="10" t="s">
        <v>44</v>
      </c>
      <c r="J6" s="10" t="s">
        <v>44</v>
      </c>
      <c r="K6" s="10">
        <v>217.5</v>
      </c>
      <c r="L6" s="10">
        <v>0.37</v>
      </c>
      <c r="M6" s="10">
        <v>19.53</v>
      </c>
      <c r="N6" s="10">
        <v>7.4999999999999997E-2</v>
      </c>
    </row>
    <row r="7" spans="1:14" x14ac:dyDescent="0.25">
      <c r="A7" s="10" t="s">
        <v>51</v>
      </c>
      <c r="B7" s="10" t="s">
        <v>192</v>
      </c>
      <c r="C7" s="10" t="s">
        <v>137</v>
      </c>
      <c r="D7" s="10" t="s">
        <v>176</v>
      </c>
      <c r="E7" s="10">
        <v>0.12</v>
      </c>
      <c r="F7" s="10" t="s">
        <v>34</v>
      </c>
      <c r="G7" s="10">
        <v>4</v>
      </c>
      <c r="H7" s="10" t="s">
        <v>15</v>
      </c>
      <c r="I7" s="10" t="s">
        <v>44</v>
      </c>
      <c r="J7" s="10" t="s">
        <v>44</v>
      </c>
      <c r="K7" s="10">
        <v>217.5</v>
      </c>
      <c r="L7" s="10">
        <v>0.37</v>
      </c>
      <c r="M7" s="10">
        <v>4.88</v>
      </c>
      <c r="N7" s="10">
        <v>0.01</v>
      </c>
    </row>
    <row r="8" spans="1:14" x14ac:dyDescent="0.25">
      <c r="A8" s="10" t="s">
        <v>53</v>
      </c>
      <c r="B8" s="10" t="s">
        <v>193</v>
      </c>
      <c r="C8" s="10" t="s">
        <v>137</v>
      </c>
      <c r="D8" s="10" t="s">
        <v>177</v>
      </c>
      <c r="E8" s="10">
        <v>64</v>
      </c>
      <c r="F8" s="10" t="s">
        <v>15</v>
      </c>
      <c r="G8" s="10">
        <v>0.03</v>
      </c>
      <c r="H8" s="10" t="s">
        <v>34</v>
      </c>
      <c r="I8" s="10" t="s">
        <v>44</v>
      </c>
      <c r="J8" s="10" t="s">
        <v>44</v>
      </c>
      <c r="K8" s="10">
        <v>217.5</v>
      </c>
      <c r="L8" s="10">
        <v>0.37</v>
      </c>
      <c r="M8" s="10">
        <v>9.7650000000000006</v>
      </c>
      <c r="N8" s="10">
        <v>0.03</v>
      </c>
    </row>
    <row r="9" spans="1:14" x14ac:dyDescent="0.25">
      <c r="A9" s="10" t="s">
        <v>55</v>
      </c>
      <c r="B9" s="10" t="s">
        <v>194</v>
      </c>
      <c r="C9" s="10" t="s">
        <v>137</v>
      </c>
      <c r="D9" s="10" t="s">
        <v>33</v>
      </c>
      <c r="E9" s="10">
        <v>64</v>
      </c>
      <c r="F9" s="10" t="s">
        <v>15</v>
      </c>
      <c r="G9" s="10">
        <v>0.03</v>
      </c>
      <c r="H9" s="10" t="s">
        <v>34</v>
      </c>
      <c r="I9" s="10" t="s">
        <v>44</v>
      </c>
      <c r="J9" s="10" t="s">
        <v>44</v>
      </c>
      <c r="K9" s="10">
        <v>217.5</v>
      </c>
      <c r="L9" s="10">
        <v>0.37</v>
      </c>
      <c r="M9" s="10">
        <v>9.7650000000000006</v>
      </c>
      <c r="N9" s="10">
        <v>0.03</v>
      </c>
    </row>
    <row r="10" spans="1:14" x14ac:dyDescent="0.25">
      <c r="A10" s="10" t="s">
        <v>56</v>
      </c>
      <c r="B10" s="10" t="s">
        <v>192</v>
      </c>
      <c r="C10" s="10" t="s">
        <v>137</v>
      </c>
      <c r="D10" s="10" t="s">
        <v>178</v>
      </c>
      <c r="E10" s="10">
        <v>32</v>
      </c>
      <c r="F10" s="10" t="s">
        <v>15</v>
      </c>
      <c r="G10" s="10">
        <v>4</v>
      </c>
      <c r="H10" s="10" t="s">
        <v>15</v>
      </c>
      <c r="I10" s="10" t="s">
        <v>44</v>
      </c>
      <c r="J10" s="10" t="s">
        <v>44</v>
      </c>
      <c r="K10" s="10">
        <v>217.5</v>
      </c>
      <c r="L10" s="10">
        <v>0.37</v>
      </c>
      <c r="M10" s="10">
        <v>9.7650000000000006</v>
      </c>
      <c r="N10" s="10">
        <v>0.03</v>
      </c>
    </row>
    <row r="11" spans="1:14" x14ac:dyDescent="0.25">
      <c r="A11" s="10" t="s">
        <v>57</v>
      </c>
      <c r="B11" s="10" t="s">
        <v>195</v>
      </c>
      <c r="C11" s="10" t="s">
        <v>137</v>
      </c>
      <c r="D11" s="10" t="s">
        <v>179</v>
      </c>
      <c r="E11" s="10">
        <v>32</v>
      </c>
      <c r="F11" s="10" t="s">
        <v>15</v>
      </c>
      <c r="G11" s="10">
        <v>4</v>
      </c>
      <c r="H11" s="10" t="s">
        <v>15</v>
      </c>
      <c r="I11" s="10" t="s">
        <v>44</v>
      </c>
      <c r="J11" s="10" t="s">
        <v>44</v>
      </c>
      <c r="K11" s="10">
        <v>217.5</v>
      </c>
      <c r="L11" s="10">
        <v>0.37</v>
      </c>
      <c r="M11" s="10">
        <v>9.7650000000000006</v>
      </c>
      <c r="N11" s="10">
        <v>0.03</v>
      </c>
    </row>
    <row r="12" spans="1:14" x14ac:dyDescent="0.25">
      <c r="A12" s="10" t="s">
        <v>58</v>
      </c>
      <c r="B12" s="10" t="s">
        <v>196</v>
      </c>
      <c r="C12" s="10" t="s">
        <v>137</v>
      </c>
      <c r="D12" s="10" t="s">
        <v>180</v>
      </c>
      <c r="E12" s="10">
        <v>32</v>
      </c>
      <c r="F12" s="10" t="s">
        <v>15</v>
      </c>
      <c r="G12" s="10">
        <v>4</v>
      </c>
      <c r="H12" s="10" t="s">
        <v>15</v>
      </c>
      <c r="I12" s="10" t="s">
        <v>44</v>
      </c>
      <c r="J12" s="10" t="s">
        <v>44</v>
      </c>
      <c r="K12" s="10">
        <v>217.5</v>
      </c>
      <c r="L12" s="10">
        <v>0.37</v>
      </c>
      <c r="M12" s="10">
        <v>4.88</v>
      </c>
      <c r="N12" s="10">
        <v>0.01</v>
      </c>
    </row>
    <row r="13" spans="1:14" x14ac:dyDescent="0.25">
      <c r="A13" s="10" t="s">
        <v>59</v>
      </c>
      <c r="B13" s="10" t="s">
        <v>192</v>
      </c>
      <c r="C13" s="10" t="s">
        <v>137</v>
      </c>
      <c r="D13" s="10" t="s">
        <v>181</v>
      </c>
      <c r="E13" s="10">
        <v>32</v>
      </c>
      <c r="F13" s="10" t="s">
        <v>15</v>
      </c>
      <c r="G13" s="10">
        <v>4</v>
      </c>
      <c r="H13" s="10" t="s">
        <v>15</v>
      </c>
      <c r="I13" s="10" t="s">
        <v>44</v>
      </c>
      <c r="J13" s="10" t="s">
        <v>44</v>
      </c>
      <c r="K13" s="10">
        <v>217.5</v>
      </c>
      <c r="L13" s="10">
        <v>0.37</v>
      </c>
      <c r="M13" s="10">
        <v>9.7650000000000006</v>
      </c>
      <c r="N13" s="10">
        <v>0.03</v>
      </c>
    </row>
    <row r="14" spans="1:14" x14ac:dyDescent="0.25">
      <c r="A14" s="10" t="s">
        <v>60</v>
      </c>
      <c r="B14" s="10" t="s">
        <v>197</v>
      </c>
      <c r="C14" s="10" t="s">
        <v>136</v>
      </c>
      <c r="D14" s="10" t="s">
        <v>182</v>
      </c>
      <c r="E14" s="10">
        <v>32</v>
      </c>
      <c r="F14" s="10" t="s">
        <v>15</v>
      </c>
      <c r="G14" s="10">
        <v>4</v>
      </c>
      <c r="H14" s="10" t="s">
        <v>15</v>
      </c>
      <c r="I14" s="10">
        <v>32</v>
      </c>
      <c r="J14" s="10" t="s">
        <v>50</v>
      </c>
      <c r="K14" s="10">
        <v>217.5</v>
      </c>
      <c r="L14" s="10">
        <v>0.37</v>
      </c>
      <c r="M14" s="10">
        <v>9.7650000000000006</v>
      </c>
      <c r="N14" s="10">
        <v>0.03</v>
      </c>
    </row>
    <row r="15" spans="1:14" x14ac:dyDescent="0.25">
      <c r="A15" s="10" t="s">
        <v>61</v>
      </c>
      <c r="B15" s="10" t="s">
        <v>198</v>
      </c>
      <c r="C15" s="10" t="s">
        <v>136</v>
      </c>
      <c r="D15" s="10" t="s">
        <v>181</v>
      </c>
      <c r="E15" s="10">
        <v>32</v>
      </c>
      <c r="F15" s="10" t="s">
        <v>15</v>
      </c>
      <c r="G15" s="10">
        <v>8</v>
      </c>
      <c r="H15" s="10" t="s">
        <v>15</v>
      </c>
      <c r="I15" s="10" t="s">
        <v>44</v>
      </c>
      <c r="J15" s="10" t="s">
        <v>44</v>
      </c>
      <c r="K15" s="10">
        <v>217.5</v>
      </c>
      <c r="L15" s="10">
        <v>0.37</v>
      </c>
      <c r="M15" s="10">
        <v>19.53</v>
      </c>
      <c r="N15" s="10">
        <v>7.4999999999999997E-2</v>
      </c>
    </row>
    <row r="16" spans="1:14" x14ac:dyDescent="0.25">
      <c r="A16" s="10" t="s">
        <v>63</v>
      </c>
      <c r="B16" s="10" t="s">
        <v>199</v>
      </c>
      <c r="C16" s="10" t="s">
        <v>137</v>
      </c>
      <c r="D16" s="10" t="s">
        <v>183</v>
      </c>
      <c r="E16" s="10">
        <v>0.25</v>
      </c>
      <c r="F16" s="10" t="s">
        <v>34</v>
      </c>
      <c r="G16" s="10">
        <v>2</v>
      </c>
      <c r="H16" s="10" t="s">
        <v>15</v>
      </c>
      <c r="I16" s="10" t="s">
        <v>44</v>
      </c>
      <c r="J16" s="10" t="s">
        <v>44</v>
      </c>
      <c r="K16" s="10">
        <v>217.5</v>
      </c>
      <c r="L16" s="10">
        <v>0.37</v>
      </c>
      <c r="M16" s="10">
        <v>9.7650000000000006</v>
      </c>
      <c r="N16" s="10">
        <v>0.03</v>
      </c>
    </row>
    <row r="17" spans="1:14" x14ac:dyDescent="0.25">
      <c r="A17" s="10" t="s">
        <v>64</v>
      </c>
      <c r="B17" s="10" t="s">
        <v>200</v>
      </c>
      <c r="C17" s="10" t="s">
        <v>137</v>
      </c>
      <c r="D17" s="10" t="s">
        <v>178</v>
      </c>
      <c r="E17" s="10">
        <v>64</v>
      </c>
      <c r="F17" s="10" t="s">
        <v>15</v>
      </c>
      <c r="G17" s="10">
        <v>2</v>
      </c>
      <c r="H17" s="10" t="s">
        <v>15</v>
      </c>
      <c r="I17" s="10" t="s">
        <v>44</v>
      </c>
      <c r="J17" s="10" t="s">
        <v>44</v>
      </c>
      <c r="K17" s="10">
        <v>217.5</v>
      </c>
      <c r="L17" s="10">
        <v>0.37</v>
      </c>
      <c r="M17" s="10">
        <v>9.7650000000000006</v>
      </c>
      <c r="N17" s="10">
        <v>0.03</v>
      </c>
    </row>
    <row r="18" spans="1:14" x14ac:dyDescent="0.25">
      <c r="A18" s="10" t="s">
        <v>66</v>
      </c>
      <c r="B18" s="10" t="s">
        <v>201</v>
      </c>
      <c r="C18" s="10" t="s">
        <v>137</v>
      </c>
      <c r="D18" s="10" t="s">
        <v>184</v>
      </c>
      <c r="E18" s="10">
        <v>32</v>
      </c>
      <c r="F18" s="10" t="s">
        <v>15</v>
      </c>
      <c r="G18" s="10">
        <v>8</v>
      </c>
      <c r="H18" s="10" t="s">
        <v>15</v>
      </c>
      <c r="I18" s="10" t="s">
        <v>44</v>
      </c>
      <c r="J18" s="10" t="s">
        <v>44</v>
      </c>
      <c r="K18" s="10">
        <v>217.5</v>
      </c>
      <c r="L18" s="10">
        <v>0.37</v>
      </c>
      <c r="M18" s="10">
        <v>9.7650000000000006</v>
      </c>
      <c r="N18" s="10">
        <v>0.03</v>
      </c>
    </row>
    <row r="19" spans="1:14" x14ac:dyDescent="0.25">
      <c r="A19" s="10" t="s">
        <v>67</v>
      </c>
      <c r="B19" s="10" t="s">
        <v>202</v>
      </c>
      <c r="C19" s="10" t="s">
        <v>137</v>
      </c>
      <c r="D19" s="10" t="s">
        <v>185</v>
      </c>
      <c r="E19" s="10">
        <v>0.12</v>
      </c>
      <c r="F19" s="10" t="s">
        <v>34</v>
      </c>
      <c r="G19" s="10">
        <v>4</v>
      </c>
      <c r="H19" s="10" t="s">
        <v>15</v>
      </c>
      <c r="I19" s="10" t="s">
        <v>44</v>
      </c>
      <c r="J19" s="10" t="s">
        <v>44</v>
      </c>
      <c r="K19" s="10">
        <v>217.5</v>
      </c>
      <c r="L19" s="10">
        <v>0.37</v>
      </c>
      <c r="M19" s="10">
        <v>4.88</v>
      </c>
      <c r="N19" s="10">
        <v>0.01</v>
      </c>
    </row>
    <row r="20" spans="1:14" x14ac:dyDescent="0.25">
      <c r="A20" s="10" t="s">
        <v>69</v>
      </c>
      <c r="B20" s="10" t="s">
        <v>190</v>
      </c>
      <c r="C20" s="10" t="s">
        <v>137</v>
      </c>
      <c r="D20" s="10" t="s">
        <v>186</v>
      </c>
      <c r="E20" s="10">
        <v>32</v>
      </c>
      <c r="F20" s="10" t="s">
        <v>15</v>
      </c>
      <c r="G20" s="10">
        <v>8</v>
      </c>
      <c r="H20" s="10" t="s">
        <v>15</v>
      </c>
      <c r="I20" s="10" t="s">
        <v>44</v>
      </c>
      <c r="J20" s="10" t="s">
        <v>44</v>
      </c>
      <c r="K20" s="10">
        <v>217.5</v>
      </c>
      <c r="L20" s="10">
        <v>0.37</v>
      </c>
      <c r="M20" s="10">
        <v>4.88</v>
      </c>
      <c r="N20" s="10">
        <v>0.01</v>
      </c>
    </row>
    <row r="21" spans="1:14" x14ac:dyDescent="0.25">
      <c r="A21" s="10" t="s">
        <v>71</v>
      </c>
      <c r="B21" s="10" t="s">
        <v>203</v>
      </c>
      <c r="C21" s="10" t="s">
        <v>137</v>
      </c>
      <c r="D21" s="10" t="s">
        <v>187</v>
      </c>
      <c r="E21" s="10">
        <v>64</v>
      </c>
      <c r="F21" s="10" t="s">
        <v>15</v>
      </c>
      <c r="G21" s="10">
        <v>2</v>
      </c>
      <c r="H21" s="10" t="s">
        <v>15</v>
      </c>
      <c r="I21" s="10" t="s">
        <v>44</v>
      </c>
      <c r="J21" s="10" t="s">
        <v>44</v>
      </c>
      <c r="K21" s="10">
        <v>217.5</v>
      </c>
      <c r="L21" s="10">
        <v>0.37</v>
      </c>
      <c r="M21" s="10">
        <v>4.88</v>
      </c>
      <c r="N21" s="10">
        <v>0.01</v>
      </c>
    </row>
    <row r="22" spans="1:14" x14ac:dyDescent="0.25">
      <c r="A22" s="10" t="s">
        <v>94</v>
      </c>
      <c r="B22" s="10" t="s">
        <v>193</v>
      </c>
      <c r="C22" s="10" t="s">
        <v>137</v>
      </c>
      <c r="D22" s="10" t="s">
        <v>177</v>
      </c>
      <c r="E22" s="10">
        <v>32</v>
      </c>
      <c r="F22" s="10" t="s">
        <v>15</v>
      </c>
      <c r="G22" s="10" t="s">
        <v>44</v>
      </c>
      <c r="H22" s="10" t="s">
        <v>44</v>
      </c>
      <c r="I22" s="10" t="s">
        <v>44</v>
      </c>
      <c r="J22" s="10" t="s">
        <v>44</v>
      </c>
      <c r="K22" s="10" t="s">
        <v>44</v>
      </c>
      <c r="L22" s="10" t="s">
        <v>44</v>
      </c>
      <c r="M22" s="10" t="s">
        <v>44</v>
      </c>
      <c r="N22" s="10" t="s">
        <v>44</v>
      </c>
    </row>
    <row r="23" spans="1:14" x14ac:dyDescent="0.25">
      <c r="A23" s="10" t="s">
        <v>72</v>
      </c>
      <c r="B23" s="10" t="s">
        <v>204</v>
      </c>
      <c r="C23" s="10" t="s">
        <v>137</v>
      </c>
      <c r="D23" s="10" t="s">
        <v>177</v>
      </c>
      <c r="E23" s="10">
        <v>16</v>
      </c>
      <c r="F23" s="10" t="s">
        <v>15</v>
      </c>
      <c r="G23" s="10">
        <v>0.12</v>
      </c>
      <c r="H23" s="10" t="s">
        <v>34</v>
      </c>
      <c r="I23" s="10" t="s">
        <v>44</v>
      </c>
      <c r="J23" s="10" t="s">
        <v>44</v>
      </c>
      <c r="K23" s="10">
        <v>217.5</v>
      </c>
      <c r="L23" s="10">
        <v>0.37</v>
      </c>
      <c r="M23" s="10">
        <v>9.7650000000000006</v>
      </c>
      <c r="N23" s="10">
        <v>0.03</v>
      </c>
    </row>
    <row r="24" spans="1:14" x14ac:dyDescent="0.25">
      <c r="A24" s="10" t="s">
        <v>73</v>
      </c>
      <c r="B24" s="10"/>
      <c r="C24" s="10" t="s">
        <v>137</v>
      </c>
      <c r="D24" s="10" t="s">
        <v>91</v>
      </c>
      <c r="E24" s="10">
        <v>0.03</v>
      </c>
      <c r="F24" s="10" t="s">
        <v>34</v>
      </c>
      <c r="G24" s="10">
        <v>0.06</v>
      </c>
      <c r="H24" s="10" t="s">
        <v>34</v>
      </c>
      <c r="I24" s="10" t="s">
        <v>44</v>
      </c>
      <c r="J24" s="10" t="s">
        <v>44</v>
      </c>
      <c r="K24" s="10">
        <v>217.5</v>
      </c>
      <c r="L24" s="10">
        <v>0.37</v>
      </c>
      <c r="M24" s="10">
        <v>4.88</v>
      </c>
      <c r="N24" s="10">
        <v>0.01</v>
      </c>
    </row>
    <row r="25" spans="1:14" x14ac:dyDescent="0.25">
      <c r="A25" s="10" t="s">
        <v>75</v>
      </c>
      <c r="B25" s="10"/>
      <c r="C25" s="10"/>
      <c r="D25" s="10" t="s">
        <v>91</v>
      </c>
      <c r="E25" s="10">
        <v>0.25</v>
      </c>
      <c r="F25" s="10" t="s">
        <v>34</v>
      </c>
      <c r="G25" s="10">
        <v>0.12</v>
      </c>
      <c r="H25" s="10" t="s">
        <v>34</v>
      </c>
      <c r="I25" s="10">
        <v>0.25</v>
      </c>
      <c r="J25" s="10" t="s">
        <v>34</v>
      </c>
      <c r="K25" s="10" t="s">
        <v>44</v>
      </c>
      <c r="L25" s="10" t="s">
        <v>44</v>
      </c>
      <c r="M25" s="10" t="s">
        <v>44</v>
      </c>
      <c r="N25" s="10" t="s">
        <v>44</v>
      </c>
    </row>
  </sheetData>
  <mergeCells count="5"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68D4-4240-4F43-9072-ADA52DEA97EE}">
  <dimension ref="A1:F21"/>
  <sheetViews>
    <sheetView workbookViewId="0">
      <selection activeCell="J18" sqref="J18"/>
    </sheetView>
  </sheetViews>
  <sheetFormatPr defaultRowHeight="15" x14ac:dyDescent="0.25"/>
  <cols>
    <col min="1" max="1" width="14.140625" bestFit="1" customWidth="1"/>
    <col min="2" max="2" width="6.5703125" bestFit="1" customWidth="1"/>
    <col min="3" max="3" width="7.85546875" bestFit="1" customWidth="1"/>
    <col min="4" max="4" width="7.85546875" customWidth="1"/>
    <col min="5" max="5" width="23.85546875" customWidth="1"/>
    <col min="6" max="6" width="25.140625" bestFit="1" customWidth="1"/>
  </cols>
  <sheetData>
    <row r="1" spans="1:6" x14ac:dyDescent="0.25">
      <c r="A1" s="1" t="s">
        <v>16</v>
      </c>
      <c r="B1" s="1" t="s">
        <v>17</v>
      </c>
      <c r="C1" s="1" t="s">
        <v>2</v>
      </c>
      <c r="D1" s="1" t="s">
        <v>160</v>
      </c>
      <c r="E1" s="1" t="s">
        <v>165</v>
      </c>
      <c r="F1" s="1" t="s">
        <v>18</v>
      </c>
    </row>
    <row r="2" spans="1:6" x14ac:dyDescent="0.25">
      <c r="A2" s="1" t="s">
        <v>32</v>
      </c>
      <c r="B2" s="1">
        <v>825</v>
      </c>
      <c r="C2" s="1" t="s">
        <v>136</v>
      </c>
      <c r="D2" s="1" t="s">
        <v>161</v>
      </c>
      <c r="E2" s="1" t="s">
        <v>166</v>
      </c>
      <c r="F2" s="1" t="s">
        <v>139</v>
      </c>
    </row>
    <row r="3" spans="1:6" x14ac:dyDescent="0.25">
      <c r="A3" s="1" t="s">
        <v>42</v>
      </c>
      <c r="B3" s="1">
        <v>6964</v>
      </c>
      <c r="C3" s="1" t="s">
        <v>137</v>
      </c>
      <c r="D3" s="1" t="s">
        <v>162</v>
      </c>
      <c r="E3" s="1" t="s">
        <v>144</v>
      </c>
      <c r="F3" s="1" t="s">
        <v>169</v>
      </c>
    </row>
    <row r="4" spans="1:6" x14ac:dyDescent="0.25">
      <c r="A4" s="1" t="s">
        <v>46</v>
      </c>
      <c r="B4" s="1">
        <v>12752</v>
      </c>
      <c r="C4" s="1" t="s">
        <v>137</v>
      </c>
      <c r="D4" s="1" t="s">
        <v>162</v>
      </c>
      <c r="E4" s="1" t="s">
        <v>145</v>
      </c>
      <c r="F4" s="1" t="s">
        <v>172</v>
      </c>
    </row>
    <row r="5" spans="1:6" x14ac:dyDescent="0.25">
      <c r="A5" s="1" t="s">
        <v>51</v>
      </c>
      <c r="B5" s="1">
        <v>50</v>
      </c>
      <c r="C5" s="1" t="s">
        <v>137</v>
      </c>
      <c r="D5" s="1" t="s">
        <v>162</v>
      </c>
      <c r="E5" s="1" t="s">
        <v>146</v>
      </c>
      <c r="F5" s="1" t="s">
        <v>52</v>
      </c>
    </row>
    <row r="6" spans="1:6" x14ac:dyDescent="0.25">
      <c r="A6" s="1" t="s">
        <v>53</v>
      </c>
      <c r="B6" s="1">
        <v>45</v>
      </c>
      <c r="C6" s="1" t="s">
        <v>137</v>
      </c>
      <c r="D6" s="1" t="s">
        <v>163</v>
      </c>
      <c r="E6" s="1" t="s">
        <v>147</v>
      </c>
      <c r="F6" s="1" t="s">
        <v>54</v>
      </c>
    </row>
    <row r="7" spans="1:6" x14ac:dyDescent="0.25">
      <c r="A7" s="1" t="s">
        <v>55</v>
      </c>
      <c r="B7" s="1">
        <v>436</v>
      </c>
      <c r="C7" s="1" t="s">
        <v>137</v>
      </c>
      <c r="D7" s="1" t="s">
        <v>162</v>
      </c>
      <c r="E7" s="1" t="s">
        <v>148</v>
      </c>
      <c r="F7" s="1" t="s">
        <v>139</v>
      </c>
    </row>
    <row r="8" spans="1:6" x14ac:dyDescent="0.25">
      <c r="A8" s="1" t="s">
        <v>56</v>
      </c>
      <c r="B8" s="1">
        <v>50</v>
      </c>
      <c r="C8" s="1" t="s">
        <v>137</v>
      </c>
      <c r="D8" s="1" t="s">
        <v>162</v>
      </c>
      <c r="E8" s="1" t="s">
        <v>149</v>
      </c>
      <c r="F8" s="1" t="s">
        <v>169</v>
      </c>
    </row>
    <row r="9" spans="1:6" x14ac:dyDescent="0.25">
      <c r="A9" s="1" t="s">
        <v>57</v>
      </c>
      <c r="B9" s="1">
        <v>2081</v>
      </c>
      <c r="C9" s="1" t="s">
        <v>137</v>
      </c>
      <c r="D9" s="1" t="s">
        <v>162</v>
      </c>
      <c r="E9" s="1" t="s">
        <v>150</v>
      </c>
      <c r="F9" s="1" t="s">
        <v>169</v>
      </c>
    </row>
    <row r="10" spans="1:6" x14ac:dyDescent="0.25">
      <c r="A10" s="1" t="s">
        <v>58</v>
      </c>
      <c r="B10" s="1">
        <v>530</v>
      </c>
      <c r="C10" s="1" t="s">
        <v>137</v>
      </c>
      <c r="D10" s="1" t="s">
        <v>162</v>
      </c>
      <c r="E10" s="1" t="s">
        <v>151</v>
      </c>
      <c r="F10" s="1" t="s">
        <v>169</v>
      </c>
    </row>
    <row r="11" spans="1:6" x14ac:dyDescent="0.25">
      <c r="A11" s="1" t="s">
        <v>59</v>
      </c>
      <c r="B11" s="1">
        <v>50</v>
      </c>
      <c r="C11" s="1" t="s">
        <v>137</v>
      </c>
      <c r="D11" s="1" t="s">
        <v>162</v>
      </c>
      <c r="E11" s="1" t="s">
        <v>152</v>
      </c>
      <c r="F11" s="1" t="s">
        <v>169</v>
      </c>
    </row>
    <row r="12" spans="1:6" x14ac:dyDescent="0.25">
      <c r="A12" s="1" t="s">
        <v>60</v>
      </c>
      <c r="B12" s="1">
        <v>830</v>
      </c>
      <c r="C12" s="1" t="s">
        <v>136</v>
      </c>
      <c r="D12" s="1" t="s">
        <v>162</v>
      </c>
      <c r="E12" s="1" t="s">
        <v>167</v>
      </c>
      <c r="F12" s="1" t="s">
        <v>173</v>
      </c>
    </row>
    <row r="13" spans="1:6" x14ac:dyDescent="0.25">
      <c r="A13" s="1" t="s">
        <v>61</v>
      </c>
      <c r="B13" s="1">
        <v>12072</v>
      </c>
      <c r="C13" s="1" t="s">
        <v>136</v>
      </c>
      <c r="D13" s="1" t="s">
        <v>162</v>
      </c>
      <c r="E13" s="1" t="s">
        <v>168</v>
      </c>
      <c r="F13" s="1" t="s">
        <v>169</v>
      </c>
    </row>
    <row r="14" spans="1:6" x14ac:dyDescent="0.25">
      <c r="A14" s="1" t="s">
        <v>63</v>
      </c>
      <c r="B14" s="1">
        <v>535</v>
      </c>
      <c r="C14" s="1" t="s">
        <v>137</v>
      </c>
      <c r="D14" s="1" t="s">
        <v>164</v>
      </c>
      <c r="E14" s="1" t="s">
        <v>153</v>
      </c>
      <c r="F14" s="1" t="s">
        <v>139</v>
      </c>
    </row>
    <row r="15" spans="1:6" x14ac:dyDescent="0.25">
      <c r="A15" s="1" t="s">
        <v>64</v>
      </c>
      <c r="B15" s="1">
        <v>12755</v>
      </c>
      <c r="C15" s="1" t="s">
        <v>137</v>
      </c>
      <c r="D15" s="1" t="s">
        <v>162</v>
      </c>
      <c r="E15" s="1" t="s">
        <v>154</v>
      </c>
      <c r="F15" s="1" t="s">
        <v>169</v>
      </c>
    </row>
    <row r="16" spans="1:6" x14ac:dyDescent="0.25">
      <c r="A16" s="1" t="s">
        <v>66</v>
      </c>
      <c r="B16" s="1">
        <v>8658</v>
      </c>
      <c r="C16" s="1" t="s">
        <v>137</v>
      </c>
      <c r="D16" s="1" t="s">
        <v>162</v>
      </c>
      <c r="E16" s="1" t="s">
        <v>155</v>
      </c>
      <c r="F16" s="1" t="s">
        <v>169</v>
      </c>
    </row>
    <row r="17" spans="1:6" x14ac:dyDescent="0.25">
      <c r="A17" s="1" t="s">
        <v>67</v>
      </c>
      <c r="B17" s="1">
        <v>27</v>
      </c>
      <c r="C17" s="1" t="s">
        <v>137</v>
      </c>
      <c r="D17" s="1" t="s">
        <v>162</v>
      </c>
      <c r="E17" s="1" t="s">
        <v>156</v>
      </c>
      <c r="F17" s="1" t="s">
        <v>170</v>
      </c>
    </row>
    <row r="18" spans="1:6" x14ac:dyDescent="0.25">
      <c r="A18" s="1" t="s">
        <v>69</v>
      </c>
      <c r="B18" s="1">
        <v>6964</v>
      </c>
      <c r="C18" s="1" t="s">
        <v>137</v>
      </c>
      <c r="D18" s="1" t="s">
        <v>162</v>
      </c>
      <c r="E18" s="1" t="s">
        <v>144</v>
      </c>
      <c r="F18" s="1" t="s">
        <v>171</v>
      </c>
    </row>
    <row r="19" spans="1:6" x14ac:dyDescent="0.25">
      <c r="A19" s="1" t="s">
        <v>71</v>
      </c>
      <c r="B19" s="1">
        <v>1919</v>
      </c>
      <c r="C19" s="1" t="s">
        <v>137</v>
      </c>
      <c r="D19" s="1" t="s">
        <v>162</v>
      </c>
      <c r="E19" s="1" t="s">
        <v>151</v>
      </c>
      <c r="F19" s="1" t="s">
        <v>169</v>
      </c>
    </row>
    <row r="20" spans="1:6" x14ac:dyDescent="0.25">
      <c r="A20" s="1" t="s">
        <v>94</v>
      </c>
      <c r="B20" s="1">
        <v>45</v>
      </c>
      <c r="C20" s="1" t="s">
        <v>137</v>
      </c>
      <c r="D20" s="1" t="s">
        <v>163</v>
      </c>
      <c r="E20" s="1" t="s">
        <v>147</v>
      </c>
      <c r="F20" s="1" t="s">
        <v>54</v>
      </c>
    </row>
    <row r="21" spans="1:6" x14ac:dyDescent="0.25">
      <c r="A21" s="1" t="s">
        <v>72</v>
      </c>
      <c r="B21" s="1">
        <v>8187</v>
      </c>
      <c r="C21" s="1" t="s">
        <v>137</v>
      </c>
      <c r="D21" s="1" t="s">
        <v>163</v>
      </c>
      <c r="E21" s="1" t="s">
        <v>157</v>
      </c>
      <c r="F21" s="1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867F-592B-45A7-A406-CA76D414ED44}">
  <dimension ref="A1:S26"/>
  <sheetViews>
    <sheetView zoomScale="115" zoomScaleNormal="115" workbookViewId="0">
      <selection activeCell="W27" sqref="W27"/>
    </sheetView>
  </sheetViews>
  <sheetFormatPr defaultRowHeight="15" x14ac:dyDescent="0.25"/>
  <cols>
    <col min="3" max="3" width="6.85546875" bestFit="1" customWidth="1"/>
    <col min="4" max="4" width="7.85546875" bestFit="1" customWidth="1"/>
    <col min="5" max="5" width="20.140625" bestFit="1" customWidth="1"/>
    <col min="6" max="6" width="23.85546875" bestFit="1" customWidth="1"/>
    <col min="7" max="7" width="22.5703125" bestFit="1" customWidth="1"/>
    <col min="8" max="8" width="11.7109375" bestFit="1" customWidth="1"/>
    <col min="9" max="9" width="7.85546875" bestFit="1" customWidth="1"/>
    <col min="10" max="10" width="4" bestFit="1" customWidth="1"/>
    <col min="11" max="11" width="4.42578125" customWidth="1"/>
    <col min="12" max="12" width="4.140625" customWidth="1"/>
    <col min="13" max="14" width="5" bestFit="1" customWidth="1"/>
    <col min="15" max="16" width="4.85546875" bestFit="1" customWidth="1"/>
    <col min="17" max="17" width="6.28515625" customWidth="1"/>
    <col min="18" max="18" width="6" bestFit="1" customWidth="1"/>
    <col min="19" max="19" width="5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8" t="s">
        <v>82</v>
      </c>
      <c r="N1" s="39"/>
      <c r="O1" s="39"/>
      <c r="P1" s="39"/>
      <c r="Q1" s="39"/>
      <c r="R1" s="39"/>
      <c r="S1" s="40"/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44" t="s">
        <v>7</v>
      </c>
      <c r="K2" s="45"/>
      <c r="L2" s="46"/>
      <c r="M2" s="29" t="s">
        <v>19</v>
      </c>
      <c r="N2" s="29" t="s">
        <v>21</v>
      </c>
      <c r="O2" s="29" t="s">
        <v>20</v>
      </c>
      <c r="P2" s="38" t="s">
        <v>86</v>
      </c>
      <c r="Q2" s="40"/>
      <c r="R2" s="47" t="s">
        <v>90</v>
      </c>
      <c r="S2" s="48"/>
    </row>
    <row r="3" spans="1:19" x14ac:dyDescent="0.25">
      <c r="A3" s="1" t="s">
        <v>16</v>
      </c>
      <c r="B3" s="1" t="s">
        <v>142</v>
      </c>
      <c r="C3" s="1" t="s">
        <v>17</v>
      </c>
      <c r="D3" s="1" t="s">
        <v>2</v>
      </c>
      <c r="E3" s="1" t="s">
        <v>115</v>
      </c>
      <c r="F3" s="1" t="s">
        <v>116</v>
      </c>
      <c r="G3" s="1" t="s">
        <v>18</v>
      </c>
      <c r="H3" s="1" t="s">
        <v>16</v>
      </c>
      <c r="I3" s="1" t="s">
        <v>2</v>
      </c>
      <c r="J3" s="1" t="s">
        <v>19</v>
      </c>
      <c r="K3" s="1" t="s">
        <v>20</v>
      </c>
      <c r="L3" s="1" t="s">
        <v>21</v>
      </c>
      <c r="M3" s="5" t="s">
        <v>141</v>
      </c>
      <c r="N3" s="5" t="s">
        <v>141</v>
      </c>
      <c r="O3" s="5" t="s">
        <v>141</v>
      </c>
      <c r="P3" s="5" t="s">
        <v>141</v>
      </c>
      <c r="Q3" s="5" t="s">
        <v>88</v>
      </c>
      <c r="R3" s="5" t="s">
        <v>141</v>
      </c>
      <c r="S3" s="5" t="s">
        <v>88</v>
      </c>
    </row>
    <row r="4" spans="1:19" x14ac:dyDescent="0.25">
      <c r="A4" s="1" t="s">
        <v>32</v>
      </c>
      <c r="B4" s="1">
        <f>VLOOKUP(A4,[2]all_isolates_I_ran!$A$2:$J$1424,10,FALSE)</f>
        <v>253</v>
      </c>
      <c r="C4" s="1">
        <v>825</v>
      </c>
      <c r="D4" s="1" t="s">
        <v>136</v>
      </c>
      <c r="E4" s="1" t="s">
        <v>98</v>
      </c>
      <c r="F4" s="1" t="s">
        <v>117</v>
      </c>
      <c r="G4" s="1" t="s">
        <v>33</v>
      </c>
      <c r="H4" s="1" t="s">
        <v>32</v>
      </c>
      <c r="I4" s="1" t="s">
        <v>136</v>
      </c>
      <c r="J4" s="1" t="s">
        <v>34</v>
      </c>
      <c r="K4" s="2" t="s">
        <v>15</v>
      </c>
      <c r="L4" s="1" t="s">
        <v>34</v>
      </c>
      <c r="M4" s="7" t="s">
        <v>44</v>
      </c>
      <c r="N4" s="7" t="s">
        <v>44</v>
      </c>
      <c r="O4" s="7">
        <v>8</v>
      </c>
      <c r="P4" s="7">
        <v>435</v>
      </c>
      <c r="Q4" s="7">
        <f>0.37*2</f>
        <v>0.74</v>
      </c>
      <c r="R4" s="7">
        <v>19.53</v>
      </c>
      <c r="S4" s="7">
        <v>0.06</v>
      </c>
    </row>
    <row r="5" spans="1:19" x14ac:dyDescent="0.25">
      <c r="A5" s="1" t="s">
        <v>42</v>
      </c>
      <c r="B5" s="1">
        <f>VLOOKUP(A5,[2]all_isolates_I_ran!$A$2:$J$1424,10,FALSE)</f>
        <v>1451</v>
      </c>
      <c r="C5" s="1">
        <v>6964</v>
      </c>
      <c r="D5" s="1" t="s">
        <v>137</v>
      </c>
      <c r="E5" s="1" t="s">
        <v>99</v>
      </c>
      <c r="F5" s="1" t="s">
        <v>118</v>
      </c>
      <c r="G5" s="1" t="s">
        <v>43</v>
      </c>
      <c r="H5" s="1" t="s">
        <v>42</v>
      </c>
      <c r="I5" s="1" t="s">
        <v>137</v>
      </c>
      <c r="J5" s="2" t="s">
        <v>15</v>
      </c>
      <c r="K5" s="1" t="s">
        <v>34</v>
      </c>
      <c r="L5" s="2" t="s">
        <v>15</v>
      </c>
      <c r="M5" s="7">
        <v>64</v>
      </c>
      <c r="N5" s="7">
        <v>4</v>
      </c>
      <c r="O5" s="7" t="s">
        <v>44</v>
      </c>
      <c r="P5" s="7">
        <v>435</v>
      </c>
      <c r="Q5" s="7">
        <f t="shared" ref="Q5:Q21" si="0">0.37*2</f>
        <v>0.74</v>
      </c>
      <c r="R5" s="7">
        <v>19.53</v>
      </c>
      <c r="S5" s="7">
        <v>0.06</v>
      </c>
    </row>
    <row r="6" spans="1:19" x14ac:dyDescent="0.25">
      <c r="A6" s="1" t="s">
        <v>46</v>
      </c>
      <c r="B6" s="1">
        <f>VLOOKUP(A6,[2]all_isolates_I_ran!$A$2:$J$1424,10,FALSE)</f>
        <v>3619</v>
      </c>
      <c r="C6" s="1" t="s">
        <v>47</v>
      </c>
      <c r="D6" s="1" t="s">
        <v>137</v>
      </c>
      <c r="E6" s="1" t="s">
        <v>100</v>
      </c>
      <c r="F6" s="1" t="s">
        <v>119</v>
      </c>
      <c r="G6" s="1" t="s">
        <v>48</v>
      </c>
      <c r="H6" s="1" t="s">
        <v>46</v>
      </c>
      <c r="I6" s="1" t="s">
        <v>137</v>
      </c>
      <c r="J6" s="2" t="s">
        <v>15</v>
      </c>
      <c r="K6" s="1" t="s">
        <v>34</v>
      </c>
      <c r="L6" s="2" t="s">
        <v>15</v>
      </c>
      <c r="M6" s="7">
        <v>128</v>
      </c>
      <c r="N6" s="7">
        <v>16</v>
      </c>
      <c r="O6" s="7" t="s">
        <v>44</v>
      </c>
      <c r="P6" s="7">
        <v>435</v>
      </c>
      <c r="Q6" s="7">
        <f t="shared" si="0"/>
        <v>0.74</v>
      </c>
      <c r="R6" s="31">
        <v>39.06</v>
      </c>
      <c r="S6" s="31">
        <v>0.15</v>
      </c>
    </row>
    <row r="7" spans="1:19" x14ac:dyDescent="0.25">
      <c r="A7" s="1" t="s">
        <v>51</v>
      </c>
      <c r="B7" s="1">
        <f>VLOOKUP(A7,[2]all_isolates_I_ran!$A$2:$J$1424,10,FALSE)</f>
        <v>3617</v>
      </c>
      <c r="C7" s="1">
        <v>50</v>
      </c>
      <c r="D7" s="1" t="s">
        <v>137</v>
      </c>
      <c r="E7" s="1" t="s">
        <v>101</v>
      </c>
      <c r="F7" s="1" t="s">
        <v>120</v>
      </c>
      <c r="G7" s="1" t="s">
        <v>52</v>
      </c>
      <c r="H7" s="1" t="s">
        <v>51</v>
      </c>
      <c r="I7" s="1" t="s">
        <v>137</v>
      </c>
      <c r="J7" s="1" t="s">
        <v>34</v>
      </c>
      <c r="K7" s="1" t="s">
        <v>34</v>
      </c>
      <c r="L7" s="2" t="s">
        <v>15</v>
      </c>
      <c r="M7" s="7" t="s">
        <v>44</v>
      </c>
      <c r="N7" s="7">
        <v>8</v>
      </c>
      <c r="O7" s="7" t="s">
        <v>44</v>
      </c>
      <c r="P7" s="7">
        <v>435</v>
      </c>
      <c r="Q7" s="7">
        <f t="shared" si="0"/>
        <v>0.74</v>
      </c>
      <c r="R7" s="7">
        <v>9.76</v>
      </c>
      <c r="S7" s="7">
        <v>0.02</v>
      </c>
    </row>
    <row r="8" spans="1:19" x14ac:dyDescent="0.25">
      <c r="A8" s="1" t="s">
        <v>53</v>
      </c>
      <c r="B8" s="1">
        <f>VLOOKUP(A8,[2]all_isolates_I_ran!$A$2:$J$1424,10,FALSE)</f>
        <v>27</v>
      </c>
      <c r="C8" s="1">
        <v>45</v>
      </c>
      <c r="D8" s="1" t="s">
        <v>137</v>
      </c>
      <c r="E8" s="1" t="s">
        <v>102</v>
      </c>
      <c r="F8" s="1" t="s">
        <v>121</v>
      </c>
      <c r="G8" s="1" t="s">
        <v>54</v>
      </c>
      <c r="H8" s="1" t="s">
        <v>53</v>
      </c>
      <c r="I8" s="1" t="s">
        <v>137</v>
      </c>
      <c r="J8" s="2" t="s">
        <v>15</v>
      </c>
      <c r="K8" s="1" t="s">
        <v>34</v>
      </c>
      <c r="L8" s="1" t="s">
        <v>34</v>
      </c>
      <c r="M8" s="7">
        <v>128</v>
      </c>
      <c r="N8" s="7" t="s">
        <v>44</v>
      </c>
      <c r="O8" s="7" t="s">
        <v>44</v>
      </c>
      <c r="P8" s="7">
        <v>435</v>
      </c>
      <c r="Q8" s="7">
        <f t="shared" si="0"/>
        <v>0.74</v>
      </c>
      <c r="R8" s="7">
        <v>19.53</v>
      </c>
      <c r="S8" s="7">
        <v>0.06</v>
      </c>
    </row>
    <row r="9" spans="1:19" x14ac:dyDescent="0.25">
      <c r="A9" s="1" t="s">
        <v>55</v>
      </c>
      <c r="B9" s="1">
        <f>VLOOKUP(A9,[2]all_isolates_I_ran!$A$2:$J$1424,10,FALSE)</f>
        <v>252</v>
      </c>
      <c r="C9" s="1">
        <v>436</v>
      </c>
      <c r="D9" s="1" t="s">
        <v>137</v>
      </c>
      <c r="E9" s="1" t="s">
        <v>103</v>
      </c>
      <c r="F9" s="1" t="s">
        <v>122</v>
      </c>
      <c r="G9" s="1" t="s">
        <v>33</v>
      </c>
      <c r="H9" s="1" t="s">
        <v>55</v>
      </c>
      <c r="I9" s="1" t="s">
        <v>137</v>
      </c>
      <c r="J9" s="2" t="s">
        <v>15</v>
      </c>
      <c r="K9" s="1" t="s">
        <v>34</v>
      </c>
      <c r="L9" s="1" t="s">
        <v>34</v>
      </c>
      <c r="M9" s="7">
        <v>128</v>
      </c>
      <c r="N9" s="7" t="s">
        <v>44</v>
      </c>
      <c r="O9" s="7" t="s">
        <v>44</v>
      </c>
      <c r="P9" s="7">
        <v>435</v>
      </c>
      <c r="Q9" s="7">
        <f t="shared" si="0"/>
        <v>0.74</v>
      </c>
      <c r="R9" s="7">
        <v>19.53</v>
      </c>
      <c r="S9" s="7">
        <v>0.06</v>
      </c>
    </row>
    <row r="10" spans="1:19" x14ac:dyDescent="0.25">
      <c r="A10" s="1" t="s">
        <v>56</v>
      </c>
      <c r="B10" s="1">
        <f>VLOOKUP(A10,[2]all_isolates_I_ran!$A$2:$J$1424,10,FALSE)</f>
        <v>1</v>
      </c>
      <c r="C10" s="1">
        <v>50</v>
      </c>
      <c r="D10" s="1" t="s">
        <v>137</v>
      </c>
      <c r="E10" s="1" t="s">
        <v>104</v>
      </c>
      <c r="F10" s="1" t="s">
        <v>123</v>
      </c>
      <c r="G10" s="1" t="s">
        <v>43</v>
      </c>
      <c r="H10" s="1" t="s">
        <v>56</v>
      </c>
      <c r="I10" s="1" t="s">
        <v>137</v>
      </c>
      <c r="J10" s="2" t="s">
        <v>15</v>
      </c>
      <c r="K10" s="1" t="s">
        <v>34</v>
      </c>
      <c r="L10" s="2" t="s">
        <v>15</v>
      </c>
      <c r="M10" s="7">
        <v>64</v>
      </c>
      <c r="N10" s="7">
        <v>8</v>
      </c>
      <c r="O10" s="7" t="s">
        <v>44</v>
      </c>
      <c r="P10" s="7">
        <v>435</v>
      </c>
      <c r="Q10" s="7">
        <f t="shared" si="0"/>
        <v>0.74</v>
      </c>
      <c r="R10" s="7">
        <v>19.53</v>
      </c>
      <c r="S10" s="7">
        <v>0.06</v>
      </c>
    </row>
    <row r="11" spans="1:19" x14ac:dyDescent="0.25">
      <c r="A11" s="1" t="s">
        <v>57</v>
      </c>
      <c r="B11" s="1">
        <f>VLOOKUP(A11,[2]all_isolates_I_ran!$A$2:$J$1424,10,FALSE)</f>
        <v>1092</v>
      </c>
      <c r="C11" s="1">
        <v>2081</v>
      </c>
      <c r="D11" s="1" t="s">
        <v>137</v>
      </c>
      <c r="E11" s="1" t="s">
        <v>114</v>
      </c>
      <c r="F11" s="1" t="s">
        <v>124</v>
      </c>
      <c r="G11" s="1" t="s">
        <v>52</v>
      </c>
      <c r="H11" s="1" t="s">
        <v>57</v>
      </c>
      <c r="I11" s="1" t="s">
        <v>137</v>
      </c>
      <c r="J11" s="2" t="s">
        <v>15</v>
      </c>
      <c r="K11" s="1" t="s">
        <v>34</v>
      </c>
      <c r="L11" s="2" t="s">
        <v>15</v>
      </c>
      <c r="M11" s="7">
        <v>64</v>
      </c>
      <c r="N11" s="7">
        <v>8</v>
      </c>
      <c r="O11" s="7" t="s">
        <v>44</v>
      </c>
      <c r="P11" s="7">
        <v>435</v>
      </c>
      <c r="Q11" s="7">
        <f t="shared" si="0"/>
        <v>0.74</v>
      </c>
      <c r="R11" s="7">
        <v>19.53</v>
      </c>
      <c r="S11" s="7">
        <v>0.06</v>
      </c>
    </row>
    <row r="12" spans="1:19" x14ac:dyDescent="0.25">
      <c r="A12" s="1" t="s">
        <v>58</v>
      </c>
      <c r="B12" s="1">
        <f>VLOOKUP(A12,[2]all_isolates_I_ran!$A$2:$J$1424,10,FALSE)</f>
        <v>506</v>
      </c>
      <c r="C12" s="1">
        <v>530</v>
      </c>
      <c r="D12" s="1" t="s">
        <v>137</v>
      </c>
      <c r="E12" s="1" t="s">
        <v>105</v>
      </c>
      <c r="F12" s="1" t="s">
        <v>125</v>
      </c>
      <c r="G12" s="1" t="s">
        <v>52</v>
      </c>
      <c r="H12" s="1" t="s">
        <v>58</v>
      </c>
      <c r="I12" s="1" t="s">
        <v>137</v>
      </c>
      <c r="J12" s="2" t="s">
        <v>15</v>
      </c>
      <c r="K12" s="1" t="s">
        <v>34</v>
      </c>
      <c r="L12" s="2" t="s">
        <v>15</v>
      </c>
      <c r="M12" s="7">
        <v>64</v>
      </c>
      <c r="N12" s="7">
        <v>8</v>
      </c>
      <c r="O12" s="7" t="s">
        <v>44</v>
      </c>
      <c r="P12" s="7">
        <v>435</v>
      </c>
      <c r="Q12" s="7">
        <f t="shared" si="0"/>
        <v>0.74</v>
      </c>
      <c r="R12" s="7">
        <v>9.76</v>
      </c>
      <c r="S12" s="7">
        <v>0.02</v>
      </c>
    </row>
    <row r="13" spans="1:19" x14ac:dyDescent="0.25">
      <c r="A13" s="1" t="s">
        <v>59</v>
      </c>
      <c r="B13" s="1">
        <f>VLOOKUP(A13,[2]all_isolates_I_ran!$A$2:$J$1424,10,FALSE)</f>
        <v>1087</v>
      </c>
      <c r="C13" s="1">
        <v>50</v>
      </c>
      <c r="D13" s="1" t="s">
        <v>137</v>
      </c>
      <c r="E13" s="1" t="s">
        <v>106</v>
      </c>
      <c r="F13" s="1" t="s">
        <v>126</v>
      </c>
      <c r="G13" s="1" t="s">
        <v>43</v>
      </c>
      <c r="H13" s="1" t="s">
        <v>59</v>
      </c>
      <c r="I13" s="1" t="s">
        <v>137</v>
      </c>
      <c r="J13" s="2" t="s">
        <v>15</v>
      </c>
      <c r="K13" s="1" t="s">
        <v>34</v>
      </c>
      <c r="L13" s="2" t="s">
        <v>15</v>
      </c>
      <c r="M13" s="7">
        <v>64</v>
      </c>
      <c r="N13" s="7">
        <v>8</v>
      </c>
      <c r="O13" s="7" t="s">
        <v>44</v>
      </c>
      <c r="P13" s="7">
        <v>435</v>
      </c>
      <c r="Q13" s="7">
        <f t="shared" si="0"/>
        <v>0.74</v>
      </c>
      <c r="R13" s="7">
        <v>9.76</v>
      </c>
      <c r="S13" s="7">
        <v>0.06</v>
      </c>
    </row>
    <row r="14" spans="1:19" x14ac:dyDescent="0.25">
      <c r="A14" s="1" t="s">
        <v>60</v>
      </c>
      <c r="B14" s="1">
        <f>VLOOKUP(A14,[2]all_isolates_I_ran!$A$2:$J$1424,10,FALSE)</f>
        <v>3072</v>
      </c>
      <c r="C14" s="1">
        <v>830</v>
      </c>
      <c r="D14" s="1" t="s">
        <v>136</v>
      </c>
      <c r="E14" s="1" t="s">
        <v>107</v>
      </c>
      <c r="F14" s="1" t="s">
        <v>127</v>
      </c>
      <c r="G14" s="1" t="s">
        <v>54</v>
      </c>
      <c r="H14" s="1" t="s">
        <v>60</v>
      </c>
      <c r="I14" s="1" t="s">
        <v>136</v>
      </c>
      <c r="J14" s="2" t="s">
        <v>15</v>
      </c>
      <c r="K14" s="2" t="s">
        <v>15</v>
      </c>
      <c r="L14" s="2" t="s">
        <v>15</v>
      </c>
      <c r="M14" s="7">
        <v>64</v>
      </c>
      <c r="N14" s="7">
        <v>8</v>
      </c>
      <c r="O14" s="7">
        <v>64</v>
      </c>
      <c r="P14" s="7">
        <v>435</v>
      </c>
      <c r="Q14" s="7">
        <f t="shared" si="0"/>
        <v>0.74</v>
      </c>
      <c r="R14" s="7">
        <v>19.53</v>
      </c>
      <c r="S14" s="7">
        <v>0.06</v>
      </c>
    </row>
    <row r="15" spans="1:19" x14ac:dyDescent="0.25">
      <c r="A15" s="1" t="s">
        <v>61</v>
      </c>
      <c r="B15" s="1">
        <f>VLOOKUP(A15,[2]all_isolates_I_ran!$A$2:$J$1424,10,FALSE)</f>
        <v>258</v>
      </c>
      <c r="C15" s="1" t="s">
        <v>62</v>
      </c>
      <c r="D15" s="1" t="s">
        <v>136</v>
      </c>
      <c r="E15" s="1" t="s">
        <v>108</v>
      </c>
      <c r="F15" s="1" t="s">
        <v>128</v>
      </c>
      <c r="G15" s="1" t="s">
        <v>54</v>
      </c>
      <c r="H15" s="1" t="s">
        <v>61</v>
      </c>
      <c r="I15" s="1" t="s">
        <v>136</v>
      </c>
      <c r="J15" s="2" t="s">
        <v>15</v>
      </c>
      <c r="K15" s="1" t="s">
        <v>34</v>
      </c>
      <c r="L15" s="2" t="s">
        <v>15</v>
      </c>
      <c r="M15" s="7">
        <v>64</v>
      </c>
      <c r="N15" s="7">
        <v>16</v>
      </c>
      <c r="O15" s="7" t="s">
        <v>44</v>
      </c>
      <c r="P15" s="7">
        <v>435</v>
      </c>
      <c r="Q15" s="7">
        <f t="shared" si="0"/>
        <v>0.74</v>
      </c>
      <c r="R15" s="31">
        <v>39.06</v>
      </c>
      <c r="S15" s="31">
        <v>0.15</v>
      </c>
    </row>
    <row r="16" spans="1:19" x14ac:dyDescent="0.25">
      <c r="A16" s="1" t="s">
        <v>63</v>
      </c>
      <c r="B16" s="1">
        <f>VLOOKUP(A16,[2]all_isolates_I_ran!$A$2:$J$1424,10,FALSE)</f>
        <v>53</v>
      </c>
      <c r="C16" s="1">
        <v>535</v>
      </c>
      <c r="D16" s="1" t="s">
        <v>137</v>
      </c>
      <c r="E16" s="1" t="s">
        <v>109</v>
      </c>
      <c r="F16" s="1" t="s">
        <v>129</v>
      </c>
      <c r="G16" s="1" t="s">
        <v>33</v>
      </c>
      <c r="H16" s="1" t="s">
        <v>63</v>
      </c>
      <c r="I16" s="1" t="s">
        <v>137</v>
      </c>
      <c r="J16" s="1" t="s">
        <v>34</v>
      </c>
      <c r="K16" s="1" t="s">
        <v>34</v>
      </c>
      <c r="L16" s="2" t="s">
        <v>15</v>
      </c>
      <c r="M16" s="7" t="s">
        <v>44</v>
      </c>
      <c r="N16" s="7">
        <v>4</v>
      </c>
      <c r="O16" s="7" t="s">
        <v>44</v>
      </c>
      <c r="P16" s="7">
        <v>435</v>
      </c>
      <c r="Q16" s="7">
        <f t="shared" si="0"/>
        <v>0.74</v>
      </c>
      <c r="R16" s="7">
        <v>19.53</v>
      </c>
      <c r="S16" s="7">
        <v>0.06</v>
      </c>
    </row>
    <row r="17" spans="1:19" x14ac:dyDescent="0.25">
      <c r="A17" s="1" t="s">
        <v>64</v>
      </c>
      <c r="B17" s="1">
        <f>VLOOKUP(A17,[2]all_isolates_I_ran!$A$2:$J$1424,10,FALSE)</f>
        <v>64</v>
      </c>
      <c r="C17" s="1" t="s">
        <v>65</v>
      </c>
      <c r="D17" s="1" t="s">
        <v>137</v>
      </c>
      <c r="E17" s="1" t="s">
        <v>110</v>
      </c>
      <c r="F17" s="1" t="s">
        <v>130</v>
      </c>
      <c r="G17" s="1" t="s">
        <v>43</v>
      </c>
      <c r="H17" s="1" t="s">
        <v>64</v>
      </c>
      <c r="I17" s="1" t="s">
        <v>137</v>
      </c>
      <c r="J17" s="2" t="s">
        <v>15</v>
      </c>
      <c r="K17" s="1" t="s">
        <v>34</v>
      </c>
      <c r="L17" s="2" t="s">
        <v>15</v>
      </c>
      <c r="M17" s="7">
        <v>128</v>
      </c>
      <c r="N17" s="7">
        <v>4</v>
      </c>
      <c r="O17" s="7" t="s">
        <v>44</v>
      </c>
      <c r="P17" s="7">
        <v>435</v>
      </c>
      <c r="Q17" s="7">
        <f t="shared" si="0"/>
        <v>0.74</v>
      </c>
      <c r="R17" s="7">
        <v>19.53</v>
      </c>
      <c r="S17" s="7">
        <v>0.06</v>
      </c>
    </row>
    <row r="18" spans="1:19" x14ac:dyDescent="0.25">
      <c r="A18" s="1" t="s">
        <v>66</v>
      </c>
      <c r="B18" s="1">
        <f>VLOOKUP(A18,[2]all_isolates_I_ran!$A$2:$J$1424,10,FALSE)</f>
        <v>1718</v>
      </c>
      <c r="C18" s="1">
        <v>8658</v>
      </c>
      <c r="D18" s="1" t="s">
        <v>137</v>
      </c>
      <c r="E18" s="1" t="s">
        <v>111</v>
      </c>
      <c r="F18" s="1" t="s">
        <v>131</v>
      </c>
      <c r="G18" s="1" t="s">
        <v>43</v>
      </c>
      <c r="H18" s="1" t="s">
        <v>66</v>
      </c>
      <c r="I18" s="1" t="s">
        <v>137</v>
      </c>
      <c r="J18" s="2" t="s">
        <v>15</v>
      </c>
      <c r="K18" s="1" t="s">
        <v>34</v>
      </c>
      <c r="L18" s="2" t="s">
        <v>15</v>
      </c>
      <c r="M18" s="7">
        <v>64</v>
      </c>
      <c r="N18" s="7">
        <v>16</v>
      </c>
      <c r="O18" s="7" t="s">
        <v>44</v>
      </c>
      <c r="P18" s="7">
        <v>435</v>
      </c>
      <c r="Q18" s="7">
        <f t="shared" si="0"/>
        <v>0.74</v>
      </c>
      <c r="R18" s="7">
        <v>19.53</v>
      </c>
      <c r="S18" s="7">
        <v>0.06</v>
      </c>
    </row>
    <row r="19" spans="1:19" x14ac:dyDescent="0.25">
      <c r="A19" s="1" t="s">
        <v>67</v>
      </c>
      <c r="B19" s="1">
        <f>VLOOKUP(A19,[2]all_isolates_I_ran!$A$2:$J$1424,10,FALSE)</f>
        <v>1329</v>
      </c>
      <c r="C19" s="1">
        <v>27</v>
      </c>
      <c r="D19" s="1" t="s">
        <v>137</v>
      </c>
      <c r="E19" s="1" t="s">
        <v>112</v>
      </c>
      <c r="F19" s="1" t="s">
        <v>132</v>
      </c>
      <c r="G19" s="1" t="s">
        <v>68</v>
      </c>
      <c r="H19" s="1" t="s">
        <v>67</v>
      </c>
      <c r="I19" s="1" t="s">
        <v>137</v>
      </c>
      <c r="J19" s="1" t="s">
        <v>34</v>
      </c>
      <c r="K19" s="1" t="s">
        <v>34</v>
      </c>
      <c r="L19" s="2" t="s">
        <v>15</v>
      </c>
      <c r="M19" s="7" t="s">
        <v>44</v>
      </c>
      <c r="N19" s="7">
        <v>8</v>
      </c>
      <c r="O19" s="7" t="s">
        <v>44</v>
      </c>
      <c r="P19" s="7">
        <v>435</v>
      </c>
      <c r="Q19" s="7">
        <f t="shared" si="0"/>
        <v>0.74</v>
      </c>
      <c r="R19" s="7">
        <v>9.76</v>
      </c>
      <c r="S19" s="7">
        <v>0.02</v>
      </c>
    </row>
    <row r="20" spans="1:19" x14ac:dyDescent="0.25">
      <c r="A20" s="1" t="s">
        <v>69</v>
      </c>
      <c r="B20" s="1">
        <f>VLOOKUP(A20,[2]all_isolates_I_ran!$A$2:$J$1424,10,FALSE)</f>
        <v>1451</v>
      </c>
      <c r="C20" s="1">
        <v>6964</v>
      </c>
      <c r="D20" s="1" t="s">
        <v>137</v>
      </c>
      <c r="E20" s="1" t="s">
        <v>99</v>
      </c>
      <c r="F20" s="1" t="s">
        <v>118</v>
      </c>
      <c r="G20" s="1" t="s">
        <v>70</v>
      </c>
      <c r="H20" s="1" t="s">
        <v>69</v>
      </c>
      <c r="I20" s="1" t="s">
        <v>137</v>
      </c>
      <c r="J20" s="2" t="s">
        <v>15</v>
      </c>
      <c r="K20" s="1" t="s">
        <v>34</v>
      </c>
      <c r="L20" s="2" t="s">
        <v>15</v>
      </c>
      <c r="M20" s="7">
        <v>64</v>
      </c>
      <c r="N20" s="7">
        <v>16</v>
      </c>
      <c r="O20" s="7" t="s">
        <v>44</v>
      </c>
      <c r="P20" s="7">
        <v>435</v>
      </c>
      <c r="Q20" s="7">
        <f t="shared" si="0"/>
        <v>0.74</v>
      </c>
      <c r="R20" s="7">
        <v>9.76</v>
      </c>
      <c r="S20" s="7">
        <v>0.02</v>
      </c>
    </row>
    <row r="21" spans="1:19" x14ac:dyDescent="0.25">
      <c r="A21" s="1" t="s">
        <v>71</v>
      </c>
      <c r="B21" s="1">
        <f>VLOOKUP(A21,[2]all_isolates_I_ran!$A$2:$J$1424,10,FALSE)</f>
        <v>506</v>
      </c>
      <c r="C21" s="1">
        <v>1919</v>
      </c>
      <c r="D21" s="1" t="s">
        <v>137</v>
      </c>
      <c r="E21" s="1" t="s">
        <v>105</v>
      </c>
      <c r="F21" s="1" t="s">
        <v>133</v>
      </c>
      <c r="G21" s="1" t="s">
        <v>43</v>
      </c>
      <c r="H21" s="1" t="s">
        <v>71</v>
      </c>
      <c r="I21" s="1" t="s">
        <v>137</v>
      </c>
      <c r="J21" s="2" t="s">
        <v>15</v>
      </c>
      <c r="K21" s="1" t="s">
        <v>34</v>
      </c>
      <c r="L21" s="2" t="s">
        <v>15</v>
      </c>
      <c r="M21" s="7">
        <v>128</v>
      </c>
      <c r="N21" s="7">
        <v>4</v>
      </c>
      <c r="O21" s="7" t="s">
        <v>44</v>
      </c>
      <c r="P21" s="7">
        <v>435</v>
      </c>
      <c r="Q21" s="7">
        <f t="shared" si="0"/>
        <v>0.74</v>
      </c>
      <c r="R21" s="7">
        <v>9.76</v>
      </c>
      <c r="S21" s="7">
        <v>0.02</v>
      </c>
    </row>
    <row r="22" spans="1:19" x14ac:dyDescent="0.25">
      <c r="A22" s="1" t="s">
        <v>94</v>
      </c>
      <c r="B22" s="1">
        <f>VLOOKUP(A22,[2]all_isolates_I_ran!$A$2:$J$1424,10,FALSE)</f>
        <v>27</v>
      </c>
      <c r="C22" s="1">
        <v>45</v>
      </c>
      <c r="D22" s="1" t="s">
        <v>137</v>
      </c>
      <c r="E22" s="1"/>
      <c r="F22" s="1" t="s">
        <v>121</v>
      </c>
      <c r="G22" s="1" t="s">
        <v>138</v>
      </c>
      <c r="H22" s="1" t="s">
        <v>94</v>
      </c>
      <c r="I22" s="1" t="s">
        <v>137</v>
      </c>
      <c r="J22" s="2" t="s">
        <v>15</v>
      </c>
      <c r="K22" s="1"/>
      <c r="L22" s="1"/>
      <c r="M22" s="7">
        <v>64</v>
      </c>
      <c r="N22" s="7" t="s">
        <v>44</v>
      </c>
      <c r="O22" s="7" t="s">
        <v>44</v>
      </c>
      <c r="P22" s="7" t="s">
        <v>44</v>
      </c>
      <c r="Q22" s="7" t="s">
        <v>44</v>
      </c>
      <c r="R22" s="7" t="s">
        <v>44</v>
      </c>
      <c r="S22" s="7" t="s">
        <v>44</v>
      </c>
    </row>
    <row r="23" spans="1:19" x14ac:dyDescent="0.25">
      <c r="A23" s="1" t="s">
        <v>72</v>
      </c>
      <c r="B23" s="1">
        <f>VLOOKUP(A23,[2]all_isolates_I_ran!$A$2:$J$1424,10,FALSE)</f>
        <v>142</v>
      </c>
      <c r="C23" s="1">
        <v>8187</v>
      </c>
      <c r="D23" s="1" t="s">
        <v>137</v>
      </c>
      <c r="E23" s="1" t="s">
        <v>113</v>
      </c>
      <c r="F23" s="1" t="s">
        <v>134</v>
      </c>
      <c r="G23" s="1" t="s">
        <v>54</v>
      </c>
      <c r="H23" s="1" t="s">
        <v>72</v>
      </c>
      <c r="I23" s="1" t="s">
        <v>137</v>
      </c>
      <c r="J23" s="2" t="s">
        <v>15</v>
      </c>
      <c r="K23" s="1" t="s">
        <v>34</v>
      </c>
      <c r="L23" s="1" t="s">
        <v>34</v>
      </c>
      <c r="M23" s="7">
        <v>32</v>
      </c>
      <c r="N23" s="7" t="s">
        <v>44</v>
      </c>
      <c r="O23" s="7" t="s">
        <v>44</v>
      </c>
      <c r="P23" s="7">
        <v>435</v>
      </c>
      <c r="Q23" s="7">
        <f>0.37*2</f>
        <v>0.74</v>
      </c>
      <c r="R23" s="7">
        <v>19.53</v>
      </c>
      <c r="S23" s="7">
        <v>0.06</v>
      </c>
    </row>
    <row r="24" spans="1:19" x14ac:dyDescent="0.25">
      <c r="A24" s="3" t="s">
        <v>73</v>
      </c>
      <c r="B24" s="1" t="e">
        <f>VLOOKUP(A24,[2]all_isolates_I_ran!$A$2:$J$1424,10,FALSE)</f>
        <v>#N/A</v>
      </c>
      <c r="C24" s="1"/>
      <c r="D24" s="1" t="s">
        <v>137</v>
      </c>
      <c r="E24" s="1" t="s">
        <v>74</v>
      </c>
      <c r="F24" s="1" t="s">
        <v>135</v>
      </c>
      <c r="G24" s="1" t="s">
        <v>74</v>
      </c>
      <c r="H24" s="3" t="s">
        <v>73</v>
      </c>
      <c r="I24" s="1" t="s">
        <v>137</v>
      </c>
      <c r="J24" s="1" t="s">
        <v>34</v>
      </c>
      <c r="K24" s="1" t="s">
        <v>34</v>
      </c>
      <c r="L24" s="1" t="s">
        <v>34</v>
      </c>
      <c r="M24" s="7">
        <v>0.06</v>
      </c>
      <c r="N24" s="7">
        <v>0.12</v>
      </c>
      <c r="O24" s="7" t="s">
        <v>44</v>
      </c>
      <c r="P24" s="7">
        <v>435</v>
      </c>
      <c r="Q24" s="7">
        <f>0.37*2</f>
        <v>0.74</v>
      </c>
      <c r="R24" s="7">
        <v>9.76</v>
      </c>
      <c r="S24" s="7">
        <v>0.02</v>
      </c>
    </row>
    <row r="26" spans="1:19" x14ac:dyDescent="0.25">
      <c r="B26" t="s">
        <v>143</v>
      </c>
    </row>
  </sheetData>
  <mergeCells count="4">
    <mergeCell ref="J2:L2"/>
    <mergeCell ref="P2:Q2"/>
    <mergeCell ref="R2:S2"/>
    <mergeCell ref="M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2BA37D-9CF8-477C-A835-74015A698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669E73-5678-4076-9469-B42D4B5AECA3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3.xml><?xml version="1.0" encoding="utf-8"?>
<ds:datastoreItem xmlns:ds="http://schemas.openxmlformats.org/officeDocument/2006/customXml" ds:itemID="{884713DE-D580-4EBD-A2E4-B9130C2266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MIC_DRUGS</vt:lpstr>
      <vt:lpstr>MBC_DRUGS</vt:lpstr>
      <vt:lpstr>Biocides_MIC</vt:lpstr>
      <vt:lpstr>Biocides_MBC</vt:lpstr>
      <vt:lpstr>summary_MIC</vt:lpstr>
      <vt:lpstr>Sheet1</vt:lpstr>
      <vt:lpstr>metadata_table</vt:lpstr>
      <vt:lpstr>summary_MBC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Parolin Calarga</dc:creator>
  <cp:keywords/>
  <dc:description/>
  <cp:lastModifiedBy>Aline Parolin Calarga</cp:lastModifiedBy>
  <cp:revision/>
  <cp:lastPrinted>2025-06-26T22:14:13Z</cp:lastPrinted>
  <dcterms:created xsi:type="dcterms:W3CDTF">2025-03-04T08:16:54Z</dcterms:created>
  <dcterms:modified xsi:type="dcterms:W3CDTF">2026-05-05T15:23:13Z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SIP_Label_bd9e4d68-54d0-40a5-8c9a-85a36c87352c_Enabled">
    <vt:lpwstr>true</vt:lpwstr>
  </property>
  <property fmtid="{D5CDD505-2E9C-101B-9397-08002B2CF9AE}" pid="4" name="MSIP_Label_bd9e4d68-54d0-40a5-8c9a-85a36c87352c_SetDate">
    <vt:lpwstr>2025-03-04T19:40:26Z</vt:lpwstr>
  </property>
  <property fmtid="{D5CDD505-2E9C-101B-9397-08002B2CF9AE}" pid="5" name="MSIP_Label_bd9e4d68-54d0-40a5-8c9a-85a36c87352c_Method">
    <vt:lpwstr>Standard</vt:lpwstr>
  </property>
  <property fmtid="{D5CDD505-2E9C-101B-9397-08002B2CF9AE}" pid="6" name="MSIP_Label_bd9e4d68-54d0-40a5-8c9a-85a36c87352c_Name">
    <vt:lpwstr>Unclassified</vt:lpwstr>
  </property>
  <property fmtid="{D5CDD505-2E9C-101B-9397-08002B2CF9AE}" pid="7" name="MSIP_Label_bd9e4d68-54d0-40a5-8c9a-85a36c87352c_SiteId">
    <vt:lpwstr>388728e1-bbd0-4378-98dc-f8682e644300</vt:lpwstr>
  </property>
  <property fmtid="{D5CDD505-2E9C-101B-9397-08002B2CF9AE}" pid="8" name="MSIP_Label_bd9e4d68-54d0-40a5-8c9a-85a36c87352c_ActionId">
    <vt:lpwstr>85625f05-5641-4d70-9a0b-0e27990ae95c</vt:lpwstr>
  </property>
  <property fmtid="{D5CDD505-2E9C-101B-9397-08002B2CF9AE}" pid="9" name="MSIP_Label_bd9e4d68-54d0-40a5-8c9a-85a36c87352c_ContentBits">
    <vt:lpwstr>0</vt:lpwstr>
  </property>
  <property fmtid="{D5CDD505-2E9C-101B-9397-08002B2CF9AE}" pid="10" name="MSIP_Label_bd9e4d68-54d0-40a5-8c9a-85a36c87352c_Tag">
    <vt:lpwstr>10, 3, 0, 2</vt:lpwstr>
  </property>
  <property fmtid="{D5CDD505-2E9C-101B-9397-08002B2CF9AE}" pid="11" name="MediaServiceImageTags">
    <vt:lpwstr/>
  </property>
</Properties>
</file>